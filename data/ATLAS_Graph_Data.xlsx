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923c239b6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0173537a7b34165"/>
    <x:sheet xmlns:r="http://schemas.openxmlformats.org/officeDocument/2006/relationships" name="Locations" sheetId="2" r:id="R2f5c3006b2d94385"/>
    <x:sheet xmlns:r="http://schemas.openxmlformats.org/officeDocument/2006/relationships" name="Connections" sheetId="3" r:id="R29157269eb6a4a2d"/>
    <x:sheet xmlns:r="http://schemas.openxmlformats.org/officeDocument/2006/relationships" name="Issues" sheetId="4" r:id="R3f2279be48c048bb"/>
    <x:sheet xmlns:r="http://schemas.openxmlformats.org/officeDocument/2006/relationships" name="Landmarks" sheetId="5" r:id="Rac46edc554474c33"/>
    <x:sheet xmlns:r="http://schemas.openxmlformats.org/officeDocument/2006/relationships" name="Nodes" sheetId="6" r:id="R18f4c2cf5daa4b01"/>
    <x:sheet xmlns:r="http://schemas.openxmlformats.org/officeDocument/2006/relationships" name="Edges" sheetId="7" r:id="R7d06312ad88a425f"/>
  </x:sheets>
</x:workbook>
</file>

<file path=xl/sharedStrings.xml><?xml version="1.0" encoding="utf-8"?>
<x:sst xmlns:x="http://schemas.openxmlformats.org/spreadsheetml/2006/main">
  <x:si>
    <x:t xml:space="preserve">ATLAS data for OpenPath</x:t>
  </x:si>
  <x:si>
    <x:t xml:space="preserve">Useful starter data for your map and route prototype.</x:t>
  </x:si>
  <x:si>
    <x:t xml:space="preserve">Verify the pilot buildings, entrances, and connecting paths before offering accessibility routes.</x:t>
  </x:si>
  <x:si>
    <x:t xml:space="preserve">Inventory</x:t>
  </x:si>
  <x:si>
    <x:t xml:space="preserve">Count</x:t>
  </x:si>
  <x:si>
    <x:t xml:space="preserve">Meaning</x:t>
  </x:si>
  <x:si>
    <x:t xml:space="preserve">Landmarks</x:t>
  </x:si>
  <x:si>
    <x:t xml:space="preserve">Building and place labels. These are not documented entrance locations.</x:t>
  </x:si>
  <x:si>
    <x:t xml:space="preserve">Path points</x:t>
  </x:si>
  <x:si>
    <x:t xml:space="preserve">Intermediate points used to connect routes.</x:t>
  </x:si>
  <x:si>
    <x:t xml:space="preserve">Connections</x:t>
  </x:si>
  <x:si>
    <x:t xml:space="preserve">Connections treated as bidirectional in the ATLAS app.</x:t>
  </x:si>
  <x:si>
    <x:t xml:space="preserve">Legacy TRUE labels</x:t>
  </x:si>
  <x:si>
    <x:t xml:space="preserve">The source calls these accessible. Current conditions are unverified.</x:t>
  </x:si>
  <x:si>
    <x:t xml:space="preserve">Legacy FALSE labels</x:t>
  </x:si>
  <x:si>
    <x:t xml:space="preserve">The source calls these inaccessible. The reason is not recorded.</x:t>
  </x:si>
  <x:si>
    <x:t xml:space="preserve">Field-checked connections</x:t>
  </x:si>
  <x:si>
    <x:t xml:space="preserve">Manual status in Connections. Checked does not itself mean accessible.</x:t>
  </x:si>
  <x:si>
    <x:t xml:space="preserve">Confirmed accessible</x:t>
  </x:si>
  <x:si>
    <x:t xml:space="preserve">The new field starts unknown for every connection.</x:t>
  </x:si>
  <x:si>
    <x:t xml:space="preserve">Next steps for your team</x:t>
  </x:si>
  <x:si>
    <x:t xml:space="preserve">Role</x:t>
  </x:si>
  <x:si>
    <x:t xml:space="preserve">Step</x:t>
  </x:si>
  <x:si>
    <x:t xml:space="preserve">Action</x:t>
  </x:si>
  <x:si>
    <x:t xml:space="preserve">Data team</x:t>
  </x:si>
  <x:si>
    <x:t xml:space="preserve">Start with your two or three pilot buildings and one connecting outdoor route. Verify the actual entrances.</x:t>
  </x:si>
  <x:si>
    <x:t xml:space="preserve">Walk each pilot segment. Record stairs, ramps, surface, width, slope, access restrictions, date, and evidence.</x:t>
  </x:si>
  <x:si>
    <x:t xml:space="preserve">Backend</x:t>
  </x:si>
  <x:si>
    <x:t xml:space="preserve">Import Locations and Connections by ID. Keep the legacy flag separate from confirmed accessibility.</x:t>
  </x:si>
  <x:si>
    <x:t xml:space="preserve">Pathfinder</x:t>
  </x:si>
  <x:si>
    <x:t xml:space="preserve">Use the coordinates for prototype distances. Return “no verified route available” when the verified graph cannot connect the request.</x:t>
  </x:si>
  <x:si>
    <x:t xml:space="preserve">Frontend</x:t>
  </x:si>
  <x:si>
    <x:t xml:space="preserve">Plot the points and connections in Leaflet. Label unverified data and preserve GPS accuracy information.</x:t>
  </x:si>
  <x:si>
    <x:t xml:space="preserve">How the file is organized</x:t>
  </x:si>
  <x:si>
    <x:t xml:space="preserve">Locations</x:t>
  </x:si>
  <x:si>
    <x:t xml:space="preserve">Issues</x:t>
  </x:si>
  <x:si>
    <x:t xml:space="preserve">Exact source rows, unresolved problems, code review notes, and long segments to inspect.</x:t>
  </x:si>
  <x:si>
    <x:t xml:space="preserve">Landmarks / Nodes / Edges</x:t>
  </x:si>
  <x:si>
    <x:t xml:space="preserve">Before marking a connection checked</x:t>
  </x:si>
  <x:si>
    <x:t xml:space="preserve">Fill the applicable observations, verifier, date, and evidence. Set confirmed_accessible separately.</x:t>
  </x:si>
  <x:si>
    <x:t xml:space="preserve">Unknown is never equivalent to accessible. A legacy FALSE label does not prove that the segment has stairs.</x:t>
  </x:si>
  <x:si>
    <x:t xml:space="preserve">Implementation notes</x:t>
  </x:si>
  <x:si>
    <x:t xml:space="preserve">Distance units</x:t>
  </x:si>
  <x:si>
    <x:t xml:space="preserve">straight_line_m uses Haversine distance with Earth radius 6,371,000 m. It is not a surveyed path length.</x:t>
  </x:si>
  <x:si>
    <x:t xml:space="preserve">IDs</x:t>
  </x:si>
  <x:si>
    <x:t xml:space="preserve">Do not regenerate L IDs after sorting. Keep an explicit location-to-entrance mapping as entrances are verified.</x:t>
  </x:si>
  <x:si>
    <x:t xml:space="preserve">App compatibility</x:t>
  </x:si>
  <x:si>
    <x:t xml:space="preserve">The existing app is Kotlin/Android. Its CSV data transfers to your web project. The Android UI needs a web implementation.</x:t>
  </x:si>
  <x:si>
    <x:t xml:space="preserve">L001–L071 are assigned landmark IDs. Existing N IDs are kept. IDs stay fixed when sorted.</x:t>
  </x:si>
  <x:si>
    <x:t xml:space="preserve">node_id</x:t>
  </x:si>
  <x:si>
    <x:t xml:space="preserve">label</x:t>
  </x:si>
  <x:si>
    <x:t xml:space="preserve">kind</x:t>
  </x:si>
  <x:si>
    <x:t xml:space="preserve">latitude</x:t>
  </x:si>
  <x:si>
    <x:t xml:space="preserve">longitude</x:t>
  </x:si>
  <x:si>
    <x:t xml:space="preserve">edge_count</x:t>
  </x:si>
  <x:si>
    <x:t xml:space="preserve">legacy_true_count</x:t>
  </x:si>
  <x:si>
    <x:t xml:space="preserve">confirmed_entrance</x:t>
  </x:si>
  <x:si>
    <x:t xml:space="preserve">field_status</x:t>
  </x:si>
  <x:si>
    <x:t xml:space="preserve">verified_on</x:t>
  </x:si>
  <x:si>
    <x:t xml:space="preserve">verified_by</x:t>
  </x:si>
  <x:si>
    <x:t xml:space="preserve">notes</x:t>
  </x:si>
  <x:si>
    <x:t xml:space="preserve">source_sheet</x:t>
  </x:si>
  <x:si>
    <x:t xml:space="preserve">source_row</x:t>
  </x:si>
  <x:si>
    <x:t xml:space="preserve">L069</x:t>
  </x:si>
  <x:si>
    <x:t xml:space="preserve">86 Field</x:t>
  </x:si>
  <x:si>
    <x:t xml:space="preserve">landmark</x:t>
  </x:si>
  <x:si>
    <x:t xml:space="preserve">unknown</x:t>
  </x:si>
  <x:si>
    <x:t xml:space="preserve">unverified</x:t>
  </x:si>
  <x:si>
    <x:t xml:space="preserve">L013</x:t>
  </x:si>
  <x:si>
    <x:t xml:space="preserve">87 Gymnasium</x:t>
  </x:si>
  <x:si>
    <x:t xml:space="preserve">L058</x:t>
  </x:si>
  <x:si>
    <x:t xml:space="preserve">Academy Hall</x:t>
  </x:si>
  <x:si>
    <x:t xml:space="preserve">L033</x:t>
  </x:si>
  <x:si>
    <x:t xml:space="preserve">Admissions Office</x:t>
  </x:si>
  <x:si>
    <x:t xml:space="preserve">L035</x:t>
  </x:si>
  <x:si>
    <x:t xml:space="preserve">Alumni Sports and Recreation Center (Armory)</x:t>
  </x:si>
  <x:si>
    <x:t xml:space="preserve">L026</x:t>
  </x:si>
  <x:si>
    <x:t xml:space="preserve">Amos Eaton Hall</x:t>
  </x:si>
  <x:si>
    <x:t xml:space="preserve">L060</x:t>
  </x:si>
  <x:si>
    <x:t xml:space="preserve">Barton Hall</x:t>
  </x:si>
  <x:si>
    <x:t xml:space="preserve">L027</x:t>
  </x:si>
  <x:si>
    <x:t xml:space="preserve">Black Cultural Center</x:t>
  </x:si>
  <x:si>
    <x:t xml:space="preserve">L029</x:t>
  </x:si>
  <x:si>
    <x:t xml:space="preserve">Blaw-Knox 1&amp;2</x:t>
  </x:si>
  <x:si>
    <x:t xml:space="preserve">L070</x:t>
  </x:si>
  <x:si>
    <x:t xml:space="preserve">Blitman Commons</x:t>
  </x:si>
  <x:si>
    <x:t xml:space="preserve">L007</x:t>
  </x:si>
  <x:si>
    <x:t xml:space="preserve">Boiler House</x:t>
  </x:si>
  <x:si>
    <x:t xml:space="preserve">L064</x:t>
  </x:si>
  <x:si>
    <x:t xml:space="preserve">Boiler House 2</x:t>
  </x:si>
  <x:si>
    <x:t xml:space="preserve">L047</x:t>
  </x:si>
  <x:si>
    <x:t xml:space="preserve">Bray Hall</x:t>
  </x:si>
  <x:si>
    <x:t xml:space="preserve">L055</x:t>
  </x:si>
  <x:si>
    <x:t xml:space="preserve">Bryckwyck</x:t>
  </x:si>
  <x:si>
    <x:t xml:space="preserve">L049</x:t>
  </x:si>
  <x:si>
    <x:t xml:space="preserve">Burdett Residence Hall (BARH)</x:t>
  </x:si>
  <x:si>
    <x:t xml:space="preserve">L005</x:t>
  </x:si>
  <x:si>
    <x:t xml:space="preserve">Carnegie Building</x:t>
  </x:si>
  <x:si>
    <x:t xml:space="preserve">L046</x:t>
  </x:si>
  <x:si>
    <x:t xml:space="preserve">Cary Hall</x:t>
  </x:si>
  <x:si>
    <x:t xml:space="preserve">L061</x:t>
  </x:si>
  <x:si>
    <x:t xml:space="preserve">Center for Biotechnology and Interdisciplinary Studies</x:t>
  </x:si>
  <x:si>
    <x:t xml:space="preserve">L048</x:t>
  </x:si>
  <x:si>
    <x:t xml:space="preserve">Chapel and Cultural Center</x:t>
  </x:si>
  <x:si>
    <x:t xml:space="preserve">L020</x:t>
  </x:si>
  <x:si>
    <x:t xml:space="preserve">Cogswell Laboratory</x:t>
  </x:si>
  <x:si>
    <x:t xml:space="preserve">L057</x:t>
  </x:si>
  <x:si>
    <x:t xml:space="preserve">Colonie Apartments</x:t>
  </x:si>
  <x:si>
    <x:t xml:space="preserve">L038</x:t>
  </x:si>
  <x:si>
    <x:t xml:space="preserve">Commons Dining Hall</x:t>
  </x:si>
  <x:si>
    <x:t xml:space="preserve">L039</x:t>
  </x:si>
  <x:si>
    <x:t xml:space="preserve">Crockett Hall</x:t>
  </x:si>
  <x:si>
    <x:t xml:space="preserve">L017</x:t>
  </x:si>
  <x:si>
    <x:t xml:space="preserve">Darrin Communications Center</x:t>
  </x:si>
  <x:si>
    <x:t xml:space="preserve">L041</x:t>
  </x:si>
  <x:si>
    <x:t xml:space="preserve">Davison Hall</x:t>
  </x:si>
  <x:si>
    <x:t xml:space="preserve">L011</x:t>
  </x:si>
  <x:si>
    <x:t xml:space="preserve">E Complex</x:t>
  </x:si>
  <x:si>
    <x:t xml:space="preserve">L059</x:t>
  </x:si>
  <x:si>
    <x:t xml:space="preserve">East Campus Athletic Village</x:t>
  </x:si>
  <x:si>
    <x:t xml:space="preserve">L063</x:t>
  </x:si>
  <x:si>
    <x:t xml:space="preserve">Experimental Media and Performing Arts Center</x:t>
  </x:si>
  <x:si>
    <x:t xml:space="preserve">L023</x:t>
  </x:si>
  <x:si>
    <x:t xml:space="preserve">Folsom Library</x:t>
  </x:si>
  <x:si>
    <x:t xml:space="preserve">L024</x:t>
  </x:si>
  <x:si>
    <x:t xml:space="preserve">Greene Building</x:t>
  </x:si>
  <x:si>
    <x:t xml:space="preserve">L052</x:t>
  </x:si>
  <x:si>
    <x:t xml:space="preserve">Greenhouses and Grounds Barn</x:t>
  </x:si>
  <x:si>
    <x:t xml:space="preserve">L031</x:t>
  </x:si>
  <x:si>
    <x:t xml:space="preserve">H Building</x:t>
  </x:si>
  <x:si>
    <x:t xml:space="preserve">L045</x:t>
  </x:si>
  <x:si>
    <x:t xml:space="preserve">Hall Hall</x:t>
  </x:si>
  <x:si>
    <x:t xml:space="preserve">L067</x:t>
  </x:si>
  <x:si>
    <x:t xml:space="preserve">Harkness Field</x:t>
  </x:si>
  <x:si>
    <x:t xml:space="preserve">L032</x:t>
  </x:si>
  <x:si>
    <x:t xml:space="preserve">Heffner Alumni House</x:t>
  </x:si>
  <x:si>
    <x:t xml:space="preserve">L050</x:t>
  </x:si>
  <x:si>
    <x:t xml:space="preserve">Houston Field House</x:t>
  </x:si>
  <x:si>
    <x:t xml:space="preserve">L030</x:t>
  </x:si>
  <x:si>
    <x:t xml:space="preserve">J Building</x:t>
  </x:si>
  <x:si>
    <x:t xml:space="preserve">L018</x:t>
  </x:si>
  <x:si>
    <x:t xml:space="preserve">Jonsson Engineering Center</x:t>
  </x:si>
  <x:si>
    <x:t xml:space="preserve">L019</x:t>
  </x:si>
  <x:si>
    <x:t xml:space="preserve">Jonsson-Rowland Science Center</x:t>
  </x:si>
  <x:si>
    <x:t xml:space="preserve">L025</x:t>
  </x:si>
  <x:si>
    <x:t xml:space="preserve">Lally Hall</x:t>
  </x:si>
  <x:si>
    <x:t xml:space="preserve">L015</x:t>
  </x:si>
  <x:si>
    <x:t xml:space="preserve">Low Center for Industrial Innovation</x:t>
  </x:si>
  <x:si>
    <x:t xml:space="preserve">L021</x:t>
  </x:si>
  <x:si>
    <x:t xml:space="preserve">Materials Research Center</x:t>
  </x:si>
  <x:si>
    <x:t xml:space="preserve">L036</x:t>
  </x:si>
  <x:si>
    <x:t xml:space="preserve">Mueller Center</x:t>
  </x:si>
  <x:si>
    <x:t xml:space="preserve">L040</x:t>
  </x:si>
  <x:si>
    <x:t xml:space="preserve">Nason Hall</x:t>
  </x:si>
  <x:si>
    <x:t xml:space="preserve">L010</x:t>
  </x:si>
  <x:si>
    <x:t xml:space="preserve">North hall</x:t>
  </x:si>
  <x:si>
    <x:t xml:space="preserve">L043</x:t>
  </x:si>
  <x:si>
    <x:t xml:space="preserve">Nugent Hall</x:t>
  </x:si>
  <x:si>
    <x:t xml:space="preserve">L062</x:t>
  </x:si>
  <x:si>
    <x:t xml:space="preserve">Parking Garage</x:t>
  </x:si>
  <x:si>
    <x:t xml:space="preserve">L003</x:t>
  </x:si>
  <x:si>
    <x:t xml:space="preserve">Pittsburgh Building</x:t>
  </x:si>
  <x:si>
    <x:t xml:space="preserve">L034</x:t>
  </x:si>
  <x:si>
    <x:t xml:space="preserve">Public Safety</x:t>
  </x:si>
  <x:si>
    <x:t xml:space="preserve">L014</x:t>
  </x:si>
  <x:si>
    <x:t xml:space="preserve">Quadrangle Complex</x:t>
  </x:si>
  <x:si>
    <x:t xml:space="preserve">L054</x:t>
  </x:si>
  <x:si>
    <x:t xml:space="preserve">Radio Club W2SZ</x:t>
  </x:si>
  <x:si>
    <x:t xml:space="preserve">L051</x:t>
  </x:si>
  <x:si>
    <x:t xml:space="preserve">RAHPS A</x:t>
  </x:si>
  <x:si>
    <x:t xml:space="preserve">L056</x:t>
  </x:si>
  <x:si>
    <x:t xml:space="preserve">RAHPS B</x:t>
  </x:si>
  <x:si>
    <x:t xml:space="preserve">L002</x:t>
  </x:si>
  <x:si>
    <x:t xml:space="preserve">Rensselaer Union</x:t>
  </x:si>
  <x:si>
    <x:t xml:space="preserve">L012</x:t>
  </x:si>
  <x:si>
    <x:t xml:space="preserve">Ricketts Building</x:t>
  </x:si>
  <x:si>
    <x:t xml:space="preserve">L037</x:t>
  </x:si>
  <x:si>
    <x:t xml:space="preserve">Robison Pool</x:t>
  </x:si>
  <x:si>
    <x:t xml:space="preserve">L065</x:t>
  </x:si>
  <x:si>
    <x:t xml:space="preserve">RPI Ambulance</x:t>
  </x:si>
  <x:si>
    <x:t xml:space="preserve">L016</x:t>
  </x:si>
  <x:si>
    <x:t xml:space="preserve">RPI Playhouse</x:t>
  </x:si>
  <x:si>
    <x:t xml:space="preserve">L001</x:t>
  </x:si>
  <x:si>
    <x:t xml:space="preserve">Russell Sage Dining Hall</x:t>
  </x:si>
  <x:si>
    <x:t xml:space="preserve">L008</x:t>
  </x:si>
  <x:si>
    <x:t xml:space="preserve">Russell Sage Laboratory</x:t>
  </x:si>
  <x:si>
    <x:t xml:space="preserve">L068</x:t>
  </x:si>
  <x:si>
    <x:t xml:space="preserve">Samaritan Hospital</x:t>
  </x:si>
  <x:si>
    <x:t xml:space="preserve">L028</x:t>
  </x:si>
  <x:si>
    <x:t xml:space="preserve">Service Building</x:t>
  </x:si>
  <x:si>
    <x:t xml:space="preserve">L042</x:t>
  </x:si>
  <x:si>
    <x:t xml:space="preserve">Sharp Hall</x:t>
  </x:si>
  <x:si>
    <x:t xml:space="preserve">L053</x:t>
  </x:si>
  <x:si>
    <x:t xml:space="preserve">Stacwyck Apartments</x:t>
  </x:si>
  <x:si>
    <x:t xml:space="preserve">L066</x:t>
  </x:si>
  <x:si>
    <x:t xml:space="preserve">Stadium Field</x:t>
  </x:si>
  <x:si>
    <x:t xml:space="preserve">L009</x:t>
  </x:si>
  <x:si>
    <x:t xml:space="preserve">Troy Building</x:t>
  </x:si>
  <x:si>
    <x:t xml:space="preserve">L022</x:t>
  </x:si>
  <x:si>
    <x:t xml:space="preserve">Voorhees Computing Center</x:t>
  </x:si>
  <x:si>
    <x:t xml:space="preserve">L006</x:t>
  </x:si>
  <x:si>
    <x:t xml:space="preserve">Walker Laboratory</x:t>
  </x:si>
  <x:si>
    <x:t xml:space="preserve">L044</x:t>
  </x:si>
  <x:si>
    <x:t xml:space="preserve">Warren Hall</x:t>
  </x:si>
  <x:si>
    <x:t xml:space="preserve">L004</x:t>
  </x:si>
  <x:si>
    <x:t xml:space="preserve">West Hall</x:t>
  </x:si>
  <x:si>
    <x:t xml:space="preserve">L071</x:t>
  </x:si>
  <x:si>
    <x:t xml:space="preserve">Winslow Building</x:t>
  </x:si>
  <x:si>
    <x:t xml:space="preserve">N72</x:t>
  </x:si>
  <x:si>
    <x:t xml:space="preserve">path_point</x:t>
  </x:si>
  <x:si>
    <x:t xml:space="preserve">Nodes</x:t>
  </x:si>
  <x:si>
    <x:t xml:space="preserve">N73</x:t>
  </x:si>
  <x:si>
    <x:t xml:space="preserve">N74</x:t>
  </x:si>
  <x:si>
    <x:t xml:space="preserve">N75</x:t>
  </x:si>
  <x:si>
    <x:t xml:space="preserve">N76</x:t>
  </x:si>
  <x:si>
    <x:t xml:space="preserve">N77</x:t>
  </x:si>
  <x:si>
    <x:t xml:space="preserve">N78</x:t>
  </x:si>
  <x:si>
    <x:t xml:space="preserve">N79</x:t>
  </x:si>
  <x:si>
    <x:t xml:space="preserve">N80</x:t>
  </x:si>
  <x:si>
    <x:t xml:space="preserve">N81</x:t>
  </x:si>
  <x:si>
    <x:t xml:space="preserve">N82</x:t>
  </x:si>
  <x:si>
    <x:t xml:space="preserve">N83</x:t>
  </x:si>
  <x:si>
    <x:t xml:space="preserve">N84</x:t>
  </x:si>
  <x:si>
    <x:t xml:space="preserve">N85</x:t>
  </x:si>
  <x:si>
    <x:t xml:space="preserve">N86</x:t>
  </x:si>
  <x:si>
    <x:t xml:space="preserve">N87</x:t>
  </x:si>
  <x:si>
    <x:t xml:space="preserve">N88</x:t>
  </x:si>
  <x:si>
    <x:t xml:space="preserve">N89</x:t>
  </x:si>
  <x:si>
    <x:t xml:space="preserve">N90</x:t>
  </x:si>
  <x:si>
    <x:t xml:space="preserve">N91</x:t>
  </x:si>
  <x:si>
    <x:t xml:space="preserve">N92</x:t>
  </x:si>
  <x:si>
    <x:t xml:space="preserve">N93</x:t>
  </x:si>
  <x:si>
    <x:t xml:space="preserve">N94</x:t>
  </x:si>
  <x:si>
    <x:t xml:space="preserve">N95</x:t>
  </x:si>
  <x:si>
    <x:t xml:space="preserve">N96</x:t>
  </x:si>
  <x:si>
    <x:t xml:space="preserve">N97</x:t>
  </x:si>
  <x:si>
    <x:t xml:space="preserve">N98</x:t>
  </x:si>
  <x:si>
    <x:t xml:space="preserve">N99</x:t>
  </x:si>
  <x:si>
    <x:t xml:space="preserve">N100</x:t>
  </x:si>
  <x:si>
    <x:t xml:space="preserve">N101</x:t>
  </x:si>
  <x:si>
    <x:t xml:space="preserve">N102</x:t>
  </x:si>
  <x:si>
    <x:t xml:space="preserve">N103</x:t>
  </x:si>
  <x:si>
    <x:t xml:space="preserve">N104</x:t>
  </x:si>
  <x:si>
    <x:t xml:space="preserve">N105</x:t>
  </x:si>
  <x:si>
    <x:t xml:space="preserve">N106</x:t>
  </x:si>
  <x:si>
    <x:t xml:space="preserve">N107</x:t>
  </x:si>
  <x:si>
    <x:t xml:space="preserve">N108</x:t>
  </x:si>
  <x:si>
    <x:t xml:space="preserve">N109</x:t>
  </x:si>
  <x:si>
    <x:t xml:space="preserve">N110</x:t>
  </x:si>
  <x:si>
    <x:t xml:space="preserve">N111</x:t>
  </x:si>
  <x:si>
    <x:t xml:space="preserve">N112</x:t>
  </x:si>
  <x:si>
    <x:t xml:space="preserve">N113</x:t>
  </x:si>
  <x:si>
    <x:t xml:space="preserve">N114</x:t>
  </x:si>
  <x:si>
    <x:t xml:space="preserve">N115</x:t>
  </x:si>
  <x:si>
    <x:t xml:space="preserve">N116</x:t>
  </x:si>
  <x:si>
    <x:t xml:space="preserve">N117</x:t>
  </x:si>
  <x:si>
    <x:t xml:space="preserve">N118</x:t>
  </x:si>
  <x:si>
    <x:t xml:space="preserve">N119</x:t>
  </x:si>
  <x:si>
    <x:t xml:space="preserve">N120</x:t>
  </x:si>
  <x:si>
    <x:t xml:space="preserve">N121</x:t>
  </x:si>
  <x:si>
    <x:t xml:space="preserve">N122</x:t>
  </x:si>
  <x:si>
    <x:t xml:space="preserve">N123</x:t>
  </x:si>
  <x:si>
    <x:t xml:space="preserve">N124</x:t>
  </x:si>
  <x:si>
    <x:t xml:space="preserve">N125</x:t>
  </x:si>
  <x:si>
    <x:t xml:space="preserve">N126</x:t>
  </x:si>
  <x:si>
    <x:t xml:space="preserve">N127</x:t>
  </x:si>
  <x:si>
    <x:t xml:space="preserve">N128</x:t>
  </x:si>
  <x:si>
    <x:t xml:space="preserve">N129</x:t>
  </x:si>
  <x:si>
    <x:t xml:space="preserve">N130</x:t>
  </x:si>
  <x:si>
    <x:t xml:space="preserve">N131</x:t>
  </x:si>
  <x:si>
    <x:t xml:space="preserve">N132</x:t>
  </x:si>
  <x:si>
    <x:t xml:space="preserve">N133</x:t>
  </x:si>
  <x:si>
    <x:t xml:space="preserve">N134</x:t>
  </x:si>
  <x:si>
    <x:t xml:space="preserve">N135</x:t>
  </x:si>
  <x:si>
    <x:t xml:space="preserve">N136</x:t>
  </x:si>
  <x:si>
    <x:t xml:space="preserve">N137</x:t>
  </x:si>
  <x:si>
    <x:t xml:space="preserve">N138</x:t>
  </x:si>
  <x:si>
    <x:t xml:space="preserve">N139</x:t>
  </x:si>
  <x:si>
    <x:t xml:space="preserve">N140</x:t>
  </x:si>
  <x:si>
    <x:t xml:space="preserve">N141</x:t>
  </x:si>
  <x:si>
    <x:t xml:space="preserve">N142</x:t>
  </x:si>
  <x:si>
    <x:t xml:space="preserve">N143</x:t>
  </x:si>
  <x:si>
    <x:t xml:space="preserve">N144</x:t>
  </x:si>
  <x:si>
    <x:t xml:space="preserve">N145</x:t>
  </x:si>
  <x:si>
    <x:t xml:space="preserve">N146</x:t>
  </x:si>
  <x:si>
    <x:t xml:space="preserve">N147</x:t>
  </x:si>
  <x:si>
    <x:t xml:space="preserve">N148</x:t>
  </x:si>
  <x:si>
    <x:t xml:space="preserve">N149</x:t>
  </x:si>
  <x:si>
    <x:t xml:space="preserve">N150</x:t>
  </x:si>
  <x:si>
    <x:t xml:space="preserve">N151</x:t>
  </x:si>
  <x:si>
    <x:t xml:space="preserve">N152</x:t>
  </x:si>
  <x:si>
    <x:t xml:space="preserve">N153</x:t>
  </x:si>
  <x:si>
    <x:t xml:space="preserve">N154</x:t>
  </x:si>
  <x:si>
    <x:t xml:space="preserve">N155</x:t>
  </x:si>
  <x:si>
    <x:t xml:space="preserve">N156</x:t>
  </x:si>
  <x:si>
    <x:t xml:space="preserve">N157</x:t>
  </x:si>
  <x:si>
    <x:t xml:space="preserve">N158</x:t>
  </x:si>
  <x:si>
    <x:t xml:space="preserve">N159</x:t>
  </x:si>
  <x:si>
    <x:t xml:space="preserve">N161</x:t>
  </x:si>
  <x:si>
    <x:t xml:space="preserve">N162</x:t>
  </x:si>
  <x:si>
    <x:t xml:space="preserve">N163</x:t>
  </x:si>
  <x:si>
    <x:t xml:space="preserve">N164</x:t>
  </x:si>
  <x:si>
    <x:t xml:space="preserve">N165</x:t>
  </x:si>
  <x:si>
    <x:t xml:space="preserve">N166</x:t>
  </x:si>
  <x:si>
    <x:t xml:space="preserve">N167</x:t>
  </x:si>
  <x:si>
    <x:t xml:space="preserve">N168</x:t>
  </x:si>
  <x:si>
    <x:t xml:space="preserve">N169</x:t>
  </x:si>
  <x:si>
    <x:t xml:space="preserve">N170</x:t>
  </x:si>
  <x:si>
    <x:t xml:space="preserve">N171</x:t>
  </x:si>
  <x:si>
    <x:t xml:space="preserve">N172</x:t>
  </x:si>
  <x:si>
    <x:t xml:space="preserve">N173</x:t>
  </x:si>
  <x:si>
    <x:t xml:space="preserve">N174</x:t>
  </x:si>
  <x:si>
    <x:t xml:space="preserve">N175</x:t>
  </x:si>
  <x:si>
    <x:t xml:space="preserve">N176</x:t>
  </x:si>
  <x:si>
    <x:t xml:space="preserve">N177</x:t>
  </x:si>
  <x:si>
    <x:t xml:space="preserve">N178</x:t>
  </x:si>
  <x:si>
    <x:t xml:space="preserve">N179</x:t>
  </x:si>
  <x:si>
    <x:t xml:space="preserve">N180</x:t>
  </x:si>
  <x:si>
    <x:t xml:space="preserve">N181</x:t>
  </x:si>
  <x:si>
    <x:t xml:space="preserve">N182</x:t>
  </x:si>
  <x:si>
    <x:t xml:space="preserve">N183</x:t>
  </x:si>
  <x:si>
    <x:t xml:space="preserve">N184</x:t>
  </x:si>
  <x:si>
    <x:t xml:space="preserve">N185</x:t>
  </x:si>
  <x:si>
    <x:t xml:space="preserve">N186</x:t>
  </x:si>
  <x:si>
    <x:t xml:space="preserve">N187</x:t>
  </x:si>
  <x:si>
    <x:t xml:space="preserve">N188</x:t>
  </x:si>
  <x:si>
    <x:t xml:space="preserve">N189</x:t>
  </x:si>
  <x:si>
    <x:t xml:space="preserve">N190</x:t>
  </x:si>
  <x:si>
    <x:t xml:space="preserve">N191</x:t>
  </x:si>
  <x:si>
    <x:t xml:space="preserve">N192</x:t>
  </x:si>
  <x:si>
    <x:t xml:space="preserve">N193</x:t>
  </x:si>
  <x:si>
    <x:t xml:space="preserve">N194</x:t>
  </x:si>
  <x:si>
    <x:t xml:space="preserve">N195</x:t>
  </x:si>
  <x:si>
    <x:t xml:space="preserve">N196</x:t>
  </x:si>
  <x:si>
    <x:t xml:space="preserve">N197</x:t>
  </x:si>
  <x:si>
    <x:t xml:space="preserve">N198</x:t>
  </x:si>
  <x:si>
    <x:t xml:space="preserve">N199</x:t>
  </x:si>
  <x:si>
    <x:t xml:space="preserve">N200</x:t>
  </x:si>
  <x:si>
    <x:t xml:space="preserve">N201</x:t>
  </x:si>
  <x:si>
    <x:t xml:space="preserve">N202</x:t>
  </x:si>
  <x:si>
    <x:t xml:space="preserve">N203</x:t>
  </x:si>
  <x:si>
    <x:t xml:space="preserve">N204</x:t>
  </x:si>
  <x:si>
    <x:t xml:space="preserve">N205</x:t>
  </x:si>
  <x:si>
    <x:t xml:space="preserve">N206</x:t>
  </x:si>
  <x:si>
    <x:t xml:space="preserve">N207</x:t>
  </x:si>
  <x:si>
    <x:t xml:space="preserve">N208</x:t>
  </x:si>
  <x:si>
    <x:t xml:space="preserve">N209</x:t>
  </x:si>
  <x:si>
    <x:t xml:space="preserve">N210</x:t>
  </x:si>
  <x:si>
    <x:t xml:space="preserve">N211</x:t>
  </x:si>
  <x:si>
    <x:t xml:space="preserve">N212</x:t>
  </x:si>
  <x:si>
    <x:t xml:space="preserve">N213</x:t>
  </x:si>
  <x:si>
    <x:t xml:space="preserve">N214</x:t>
  </x:si>
  <x:si>
    <x:t xml:space="preserve">N215</x:t>
  </x:si>
  <x:si>
    <x:t xml:space="preserve">N216</x:t>
  </x:si>
  <x:si>
    <x:t xml:space="preserve">N217</x:t>
  </x:si>
  <x:si>
    <x:t xml:space="preserve">N218</x:t>
  </x:si>
  <x:si>
    <x:t xml:space="preserve">N219</x:t>
  </x:si>
  <x:si>
    <x:t xml:space="preserve">N220</x:t>
  </x:si>
  <x:si>
    <x:t xml:space="preserve">N221</x:t>
  </x:si>
  <x:si>
    <x:t xml:space="preserve">N222</x:t>
  </x:si>
  <x:si>
    <x:t xml:space="preserve">N223</x:t>
  </x:si>
  <x:si>
    <x:t xml:space="preserve">N224</x:t>
  </x:si>
  <x:si>
    <x:t xml:space="preserve">N225</x:t>
  </x:si>
  <x:si>
    <x:t xml:space="preserve">N226</x:t>
  </x:si>
  <x:si>
    <x:t xml:space="preserve">N227</x:t>
  </x:si>
  <x:si>
    <x:t xml:space="preserve">N228</x:t>
  </x:si>
  <x:si>
    <x:t xml:space="preserve">N229</x:t>
  </x:si>
  <x:si>
    <x:t xml:space="preserve">N230</x:t>
  </x:si>
  <x:si>
    <x:t xml:space="preserve">N231</x:t>
  </x:si>
  <x:si>
    <x:t xml:space="preserve">N232</x:t>
  </x:si>
  <x:si>
    <x:t xml:space="preserve">N233</x:t>
  </x:si>
  <x:si>
    <x:t xml:space="preserve">N234</x:t>
  </x:si>
  <x:si>
    <x:t xml:space="preserve">N235</x:t>
  </x:si>
  <x:si>
    <x:t xml:space="preserve">N236</x:t>
  </x:si>
  <x:si>
    <x:t xml:space="preserve">N237</x:t>
  </x:si>
  <x:si>
    <x:t xml:space="preserve">N238</x:t>
  </x:si>
  <x:si>
    <x:t xml:space="preserve">N239</x:t>
  </x:si>
  <x:si>
    <x:t xml:space="preserve">N240</x:t>
  </x:si>
  <x:si>
    <x:t xml:space="preserve">N241</x:t>
  </x:si>
  <x:si>
    <x:t xml:space="preserve">N242</x:t>
  </x:si>
  <x:si>
    <x:t xml:space="preserve">N243</x:t>
  </x:si>
  <x:si>
    <x:t xml:space="preserve">N244</x:t>
  </x:si>
  <x:si>
    <x:t xml:space="preserve">N245</x:t>
  </x:si>
  <x:si>
    <x:t xml:space="preserve">N246</x:t>
  </x:si>
  <x:si>
    <x:t xml:space="preserve">N247</x:t>
  </x:si>
  <x:si>
    <x:t xml:space="preserve">N248</x:t>
  </x:si>
  <x:si>
    <x:t xml:space="preserve">N249</x:t>
  </x:si>
  <x:si>
    <x:t xml:space="preserve">N250</x:t>
  </x:si>
  <x:si>
    <x:t xml:space="preserve">N251</x:t>
  </x:si>
  <x:si>
    <x:t xml:space="preserve">N252</x:t>
  </x:si>
  <x:si>
    <x:t xml:space="preserve">N253</x:t>
  </x:si>
  <x:si>
    <x:t xml:space="preserve">N254</x:t>
  </x:si>
  <x:si>
    <x:t xml:space="preserve">N255</x:t>
  </x:si>
  <x:si>
    <x:t xml:space="preserve">N256</x:t>
  </x:si>
  <x:si>
    <x:t xml:space="preserve">N257</x:t>
  </x:si>
  <x:si>
    <x:t xml:space="preserve">N258</x:t>
  </x:si>
  <x:si>
    <x:t xml:space="preserve">N259</x:t>
  </x:si>
  <x:si>
    <x:t xml:space="preserve">N260</x:t>
  </x:si>
  <x:si>
    <x:t xml:space="preserve">N261</x:t>
  </x:si>
  <x:si>
    <x:t xml:space="preserve">N262</x:t>
  </x:si>
  <x:si>
    <x:t xml:space="preserve">N263</x:t>
  </x:si>
  <x:si>
    <x:t xml:space="preserve">N264</x:t>
  </x:si>
  <x:si>
    <x:t xml:space="preserve">N265</x:t>
  </x:si>
  <x:si>
    <x:t xml:space="preserve">N266</x:t>
  </x:si>
  <x:si>
    <x:t xml:space="preserve">N267</x:t>
  </x:si>
  <x:si>
    <x:t xml:space="preserve">N268</x:t>
  </x:si>
  <x:si>
    <x:t xml:space="preserve">N269</x:t>
  </x:si>
  <x:si>
    <x:t xml:space="preserve">N270</x:t>
  </x:si>
  <x:si>
    <x:t xml:space="preserve">N271</x:t>
  </x:si>
  <x:si>
    <x:t xml:space="preserve">N272</x:t>
  </x:si>
  <x:si>
    <x:t xml:space="preserve">N273</x:t>
  </x:si>
  <x:si>
    <x:t xml:space="preserve">N274</x:t>
  </x:si>
  <x:si>
    <x:t xml:space="preserve">N275</x:t>
  </x:si>
  <x:si>
    <x:t xml:space="preserve">N276</x:t>
  </x:si>
  <x:si>
    <x:t xml:space="preserve">N277</x:t>
  </x:si>
  <x:si>
    <x:t xml:space="preserve">N278</x:t>
  </x:si>
  <x:si>
    <x:t xml:space="preserve">N279</x:t>
  </x:si>
  <x:si>
    <x:t xml:space="preserve">N280</x:t>
  </x:si>
  <x:si>
    <x:t xml:space="preserve">N281</x:t>
  </x:si>
  <x:si>
    <x:t xml:space="preserve">N282</x:t>
  </x:si>
  <x:si>
    <x:t xml:space="preserve">N283</x:t>
  </x:si>
  <x:si>
    <x:t xml:space="preserve">N284</x:t>
  </x:si>
  <x:si>
    <x:t xml:space="preserve">N285</x:t>
  </x:si>
  <x:si>
    <x:t xml:space="preserve">N286</x:t>
  </x:si>
  <x:si>
    <x:t xml:space="preserve">N287</x:t>
  </x:si>
  <x:si>
    <x:t xml:space="preserve">N288</x:t>
  </x:si>
  <x:si>
    <x:t xml:space="preserve">N289</x:t>
  </x:si>
  <x:si>
    <x:t xml:space="preserve">N290</x:t>
  </x:si>
  <x:si>
    <x:t xml:space="preserve">N291</x:t>
  </x:si>
  <x:si>
    <x:t xml:space="preserve">N292</x:t>
  </x:si>
  <x:si>
    <x:t xml:space="preserve">N293</x:t>
  </x:si>
  <x:si>
    <x:t xml:space="preserve">N294</x:t>
  </x:si>
  <x:si>
    <x:t xml:space="preserve">N295</x:t>
  </x:si>
  <x:si>
    <x:t xml:space="preserve">N296</x:t>
  </x:si>
  <x:si>
    <x:t xml:space="preserve">N297</x:t>
  </x:si>
  <x:si>
    <x:t xml:space="preserve">N298</x:t>
  </x:si>
  <x:si>
    <x:t xml:space="preserve">N299</x:t>
  </x:si>
  <x:si>
    <x:t xml:space="preserve">N300</x:t>
  </x:si>
  <x:si>
    <x:t xml:space="preserve">N301</x:t>
  </x:si>
  <x:si>
    <x:t xml:space="preserve">N302</x:t>
  </x:si>
  <x:si>
    <x:t xml:space="preserve">N303</x:t>
  </x:si>
  <x:si>
    <x:t xml:space="preserve">N304</x:t>
  </x:si>
  <x:si>
    <x:t xml:space="preserve">N305</x:t>
  </x:si>
  <x:si>
    <x:t xml:space="preserve">N306</x:t>
  </x:si>
  <x:si>
    <x:t xml:space="preserve">N307</x:t>
  </x:si>
  <x:si>
    <x:t xml:space="preserve">N308</x:t>
  </x:si>
  <x:si>
    <x:t xml:space="preserve">N309</x:t>
  </x:si>
  <x:si>
    <x:t xml:space="preserve">N310</x:t>
  </x:si>
  <x:si>
    <x:t xml:space="preserve">N311</x:t>
  </x:si>
  <x:si>
    <x:t xml:space="preserve">N312</x:t>
  </x:si>
  <x:si>
    <x:t xml:space="preserve">N313</x:t>
  </x:si>
  <x:si>
    <x:t xml:space="preserve">N314</x:t>
  </x:si>
  <x:si>
    <x:t xml:space="preserve">N315</x:t>
  </x:si>
  <x:si>
    <x:t xml:space="preserve">N316</x:t>
  </x:si>
  <x:si>
    <x:t xml:space="preserve">N317</x:t>
  </x:si>
  <x:si>
    <x:t xml:space="preserve">N318</x:t>
  </x:si>
  <x:si>
    <x:t xml:space="preserve">N319</x:t>
  </x:si>
  <x:si>
    <x:t xml:space="preserve">N320</x:t>
  </x:si>
  <x:si>
    <x:t xml:space="preserve">N321</x:t>
  </x:si>
  <x:si>
    <x:t xml:space="preserve">N322</x:t>
  </x:si>
  <x:si>
    <x:t xml:space="preserve">N323</x:t>
  </x:si>
  <x:si>
    <x:t xml:space="preserve">N324</x:t>
  </x:si>
  <x:si>
    <x:t xml:space="preserve">N325</x:t>
  </x:si>
  <x:si>
    <x:t xml:space="preserve">N326</x:t>
  </x:si>
  <x:si>
    <x:t xml:space="preserve">N327</x:t>
  </x:si>
  <x:si>
    <x:t xml:space="preserve">N328</x:t>
  </x:si>
  <x:si>
    <x:t xml:space="preserve">N329</x:t>
  </x:si>
  <x:si>
    <x:t xml:space="preserve">N330</x:t>
  </x:si>
  <x:si>
    <x:t xml:space="preserve">N331</x:t>
  </x:si>
  <x:si>
    <x:t xml:space="preserve">N332</x:t>
  </x:si>
  <x:si>
    <x:t xml:space="preserve">N333</x:t>
  </x:si>
  <x:si>
    <x:t xml:space="preserve">N334</x:t>
  </x:si>
  <x:si>
    <x:t xml:space="preserve">N335</x:t>
  </x:si>
  <x:si>
    <x:t xml:space="preserve">N336</x:t>
  </x:si>
  <x:si>
    <x:t xml:space="preserve">N337</x:t>
  </x:si>
  <x:si>
    <x:t xml:space="preserve">N338</x:t>
  </x:si>
  <x:si>
    <x:t xml:space="preserve">N339</x:t>
  </x:si>
  <x:si>
    <x:t xml:space="preserve">N340</x:t>
  </x:si>
  <x:si>
    <x:t xml:space="preserve">N341</x:t>
  </x:si>
  <x:si>
    <x:t xml:space="preserve">N342</x:t>
  </x:si>
  <x:si>
    <x:t xml:space="preserve">N343</x:t>
  </x:si>
  <x:si>
    <x:t xml:space="preserve">N344</x:t>
  </x:si>
  <x:si>
    <x:t xml:space="preserve">N345</x:t>
  </x:si>
  <x:si>
    <x:t xml:space="preserve">N346</x:t>
  </x:si>
  <x:si>
    <x:t xml:space="preserve">N347</x:t>
  </x:si>
  <x:si>
    <x:t xml:space="preserve">N348</x:t>
  </x:si>
  <x:si>
    <x:t xml:space="preserve">N349</x:t>
  </x:si>
  <x:si>
    <x:t xml:space="preserve">N350</x:t>
  </x:si>
  <x:si>
    <x:t xml:space="preserve">N351</x:t>
  </x:si>
  <x:si>
    <x:t xml:space="preserve">N352</x:t>
  </x:si>
  <x:si>
    <x:t xml:space="preserve">N353</x:t>
  </x:si>
  <x:si>
    <x:t xml:space="preserve">N354</x:t>
  </x:si>
  <x:si>
    <x:t xml:space="preserve">N355</x:t>
  </x:si>
  <x:si>
    <x:t xml:space="preserve">N356</x:t>
  </x:si>
  <x:si>
    <x:t xml:space="preserve">N357</x:t>
  </x:si>
  <x:si>
    <x:t xml:space="preserve">N358</x:t>
  </x:si>
  <x:si>
    <x:t xml:space="preserve">N359</x:t>
  </x:si>
  <x:si>
    <x:t xml:space="preserve">N360</x:t>
  </x:si>
  <x:si>
    <x:t xml:space="preserve">N361</x:t>
  </x:si>
  <x:si>
    <x:t xml:space="preserve">N362</x:t>
  </x:si>
  <x:si>
    <x:t xml:space="preserve">N363</x:t>
  </x:si>
  <x:si>
    <x:t xml:space="preserve">N364</x:t>
  </x:si>
  <x:si>
    <x:t xml:space="preserve">N365</x:t>
  </x:si>
  <x:si>
    <x:t xml:space="preserve">N366</x:t>
  </x:si>
  <x:si>
    <x:t xml:space="preserve">N367</x:t>
  </x:si>
  <x:si>
    <x:t xml:space="preserve">N368</x:t>
  </x:si>
  <x:si>
    <x:t xml:space="preserve">N369</x:t>
  </x:si>
  <x:si>
    <x:t xml:space="preserve">N370</x:t>
  </x:si>
  <x:si>
    <x:t xml:space="preserve">N371</x:t>
  </x:si>
  <x:si>
    <x:t xml:space="preserve">N372</x:t>
  </x:si>
  <x:si>
    <x:t xml:space="preserve">N373</x:t>
  </x:si>
  <x:si>
    <x:t xml:space="preserve">N374</x:t>
  </x:si>
  <x:si>
    <x:t xml:space="preserve">N375</x:t>
  </x:si>
  <x:si>
    <x:t xml:space="preserve">N376</x:t>
  </x:si>
  <x:si>
    <x:t xml:space="preserve">N377</x:t>
  </x:si>
  <x:si>
    <x:t xml:space="preserve">N378</x:t>
  </x:si>
  <x:si>
    <x:t xml:space="preserve">N379</x:t>
  </x:si>
  <x:si>
    <x:t xml:space="preserve">N380</x:t>
  </x:si>
  <x:si>
    <x:t xml:space="preserve">N381</x:t>
  </x:si>
  <x:si>
    <x:t xml:space="preserve">N382</x:t>
  </x:si>
  <x:si>
    <x:t xml:space="preserve">N383</x:t>
  </x:si>
  <x:si>
    <x:t xml:space="preserve">N384</x:t>
  </x:si>
  <x:si>
    <x:t xml:space="preserve">N385</x:t>
  </x:si>
  <x:si>
    <x:t xml:space="preserve">N386</x:t>
  </x:si>
  <x:si>
    <x:t xml:space="preserve">N387</x:t>
  </x:si>
  <x:si>
    <x:t xml:space="preserve">N388</x:t>
  </x:si>
  <x:si>
    <x:t xml:space="preserve">N389</x:t>
  </x:si>
  <x:si>
    <x:t xml:space="preserve">N390</x:t>
  </x:si>
  <x:si>
    <x:t xml:space="preserve">N391</x:t>
  </x:si>
  <x:si>
    <x:t xml:space="preserve">N392</x:t>
  </x:si>
  <x:si>
    <x:t xml:space="preserve">N393</x:t>
  </x:si>
  <x:si>
    <x:t xml:space="preserve">N394</x:t>
  </x:si>
  <x:si>
    <x:t xml:space="preserve">N395</x:t>
  </x:si>
  <x:si>
    <x:t xml:space="preserve">N396</x:t>
  </x:si>
  <x:si>
    <x:t xml:space="preserve">N397</x:t>
  </x:si>
  <x:si>
    <x:t xml:space="preserve">N398</x:t>
  </x:si>
  <x:si>
    <x:t xml:space="preserve">N399</x:t>
  </x:si>
  <x:si>
    <x:t xml:space="preserve">N400</x:t>
  </x:si>
  <x:si>
    <x:t xml:space="preserve">N401</x:t>
  </x:si>
  <x:si>
    <x:t xml:space="preserve">N402</x:t>
  </x:si>
  <x:si>
    <x:t xml:space="preserve">N403</x:t>
  </x:si>
  <x:si>
    <x:t xml:space="preserve">N404</x:t>
  </x:si>
  <x:si>
    <x:t xml:space="preserve">N405</x:t>
  </x:si>
  <x:si>
    <x:t xml:space="preserve">N406</x:t>
  </x:si>
  <x:si>
    <x:t xml:space="preserve">N407</x:t>
  </x:si>
  <x:si>
    <x:t xml:space="preserve">N408</x:t>
  </x:si>
  <x:si>
    <x:t xml:space="preserve">N409</x:t>
  </x:si>
  <x:si>
    <x:t xml:space="preserve">N410</x:t>
  </x:si>
  <x:si>
    <x:t xml:space="preserve">N411</x:t>
  </x:si>
  <x:si>
    <x:t xml:space="preserve">N412</x:t>
  </x:si>
  <x:si>
    <x:t xml:space="preserve">N413</x:t>
  </x:si>
  <x:si>
    <x:t xml:space="preserve">N414</x:t>
  </x:si>
  <x:si>
    <x:t xml:space="preserve">N415</x:t>
  </x:si>
  <x:si>
    <x:t xml:space="preserve">N416</x:t>
  </x:si>
  <x:si>
    <x:t xml:space="preserve">N417</x:t>
  </x:si>
  <x:si>
    <x:t xml:space="preserve">N418</x:t>
  </x:si>
  <x:si>
    <x:t xml:space="preserve">N419</x:t>
  </x:si>
  <x:si>
    <x:t xml:space="preserve">N420</x:t>
  </x:si>
  <x:si>
    <x:t xml:space="preserve">N421</x:t>
  </x:si>
  <x:si>
    <x:t xml:space="preserve">N422</x:t>
  </x:si>
  <x:si>
    <x:t xml:space="preserve">N423</x:t>
  </x:si>
  <x:si>
    <x:t xml:space="preserve">N424</x:t>
  </x:si>
  <x:si>
    <x:t xml:space="preserve">N425</x:t>
  </x:si>
  <x:si>
    <x:t xml:space="preserve">N426</x:t>
  </x:si>
  <x:si>
    <x:t xml:space="preserve">N427</x:t>
  </x:si>
  <x:si>
    <x:t xml:space="preserve">N428</x:t>
  </x:si>
  <x:si>
    <x:t xml:space="preserve">N429</x:t>
  </x:si>
  <x:si>
    <x:t xml:space="preserve">N430</x:t>
  </x:si>
  <x:si>
    <x:t xml:space="preserve">N431</x:t>
  </x:si>
  <x:si>
    <x:t xml:space="preserve">N432</x:t>
  </x:si>
  <x:si>
    <x:t xml:space="preserve">N433</x:t>
  </x:si>
  <x:si>
    <x:t xml:space="preserve">N434</x:t>
  </x:si>
  <x:si>
    <x:t xml:space="preserve">N435</x:t>
  </x:si>
  <x:si>
    <x:t xml:space="preserve">N436</x:t>
  </x:si>
  <x:si>
    <x:t xml:space="preserve">N437</x:t>
  </x:si>
  <x:si>
    <x:t xml:space="preserve">N438</x:t>
  </x:si>
  <x:si>
    <x:t xml:space="preserve">N439</x:t>
  </x:si>
  <x:si>
    <x:t xml:space="preserve">N440</x:t>
  </x:si>
  <x:si>
    <x:t xml:space="preserve">N441</x:t>
  </x:si>
  <x:si>
    <x:t xml:space="preserve">N442</x:t>
  </x:si>
  <x:si>
    <x:t xml:space="preserve">N443</x:t>
  </x:si>
  <x:si>
    <x:t xml:space="preserve">N444</x:t>
  </x:si>
  <x:si>
    <x:t xml:space="preserve">N445</x:t>
  </x:si>
  <x:si>
    <x:t xml:space="preserve">N446</x:t>
  </x:si>
  <x:si>
    <x:t xml:space="preserve">N447</x:t>
  </x:si>
  <x:si>
    <x:t xml:space="preserve">N448</x:t>
  </x:si>
  <x:si>
    <x:t xml:space="preserve">Legacy TRUE/FALSE is the source claim. Field inputs are amber. Distances are endpoint estimates in meters.</x:t>
  </x:si>
  <x:si>
    <x:t xml:space="preserve">edge_id</x:t>
  </x:si>
  <x:si>
    <x:t xml:space="preserve">from_id</x:t>
  </x:si>
  <x:si>
    <x:t xml:space="preserve">to_id</x:t>
  </x:si>
  <x:si>
    <x:t xml:space="preserve">legacy_accessible</x:t>
  </x:si>
  <x:si>
    <x:t xml:space="preserve">straight_line_m</x:t>
  </x:si>
  <x:si>
    <x:t xml:space="preserve">confirmed_accessible</x:t>
  </x:si>
  <x:si>
    <x:t xml:space="preserve">has_stairs</x:t>
  </x:si>
  <x:si>
    <x:t xml:space="preserve">has_ramp</x:t>
  </x:si>
  <x:si>
    <x:t xml:space="preserve">surface</x:t>
  </x:si>
  <x:si>
    <x:t xml:space="preserve">width_m</x:t>
  </x:si>
  <x:si>
    <x:t xml:space="preserve">slope_pct</x:t>
  </x:si>
  <x:si>
    <x:t xml:space="preserve">access_notes</x:t>
  </x:si>
  <x:si>
    <x:t xml:space="preserve">evidence</x:t>
  </x:si>
  <x:si>
    <x:t xml:space="preserve">import_note</x:t>
  </x:si>
  <x:si>
    <x:t xml:space="preserve">from_lat</x:t>
  </x:si>
  <x:si>
    <x:t xml:space="preserve">from_lon</x:t>
  </x:si>
  <x:si>
    <x:t xml:space="preserve">to_lat</x:t>
  </x:si>
  <x:si>
    <x:t xml:space="preserve">to_lon</x:t>
  </x:si>
  <x:si>
    <x:t xml:space="preserve">E0001</x:t>
  </x:si>
  <x:si>
    <x:t xml:space="preserve">TRUE</x:t>
  </x:si>
  <x:si>
    <x:t xml:space="preserve">E0002</x:t>
  </x:si>
  <x:si>
    <x:t xml:space="preserve">E0003</x:t>
  </x:si>
  <x:si>
    <x:t xml:space="preserve">E0004</x:t>
  </x:si>
  <x:si>
    <x:t xml:space="preserve">E0005</x:t>
  </x:si>
  <x:si>
    <x:t xml:space="preserve">E0006</x:t>
  </x:si>
  <x:si>
    <x:t xml:space="preserve">E0007</x:t>
  </x:si>
  <x:si>
    <x:t xml:space="preserve">E0008</x:t>
  </x:si>
  <x:si>
    <x:t xml:space="preserve">E0009</x:t>
  </x:si>
  <x:si>
    <x:t xml:space="preserve">E0010</x:t>
  </x:si>
  <x:si>
    <x:t xml:space="preserve">E0011</x:t>
  </x:si>
  <x:si>
    <x:t xml:space="preserve">E0012</x:t>
  </x:si>
  <x:si>
    <x:t xml:space="preserve">E0013</x:t>
  </x:si>
  <x:si>
    <x:t xml:space="preserve">E0014</x:t>
  </x:si>
  <x:si>
    <x:t xml:space="preserve">E0015</x:t>
  </x:si>
  <x:si>
    <x:t xml:space="preserve">E0016</x:t>
  </x:si>
  <x:si>
    <x:t xml:space="preserve">E0017</x:t>
  </x:si>
  <x:si>
    <x:t xml:space="preserve">E0018</x:t>
  </x:si>
  <x:si>
    <x:t xml:space="preserve">E0019</x:t>
  </x:si>
  <x:si>
    <x:t xml:space="preserve">E0020</x:t>
  </x:si>
  <x:si>
    <x:t xml:space="preserve">E0021</x:t>
  </x:si>
  <x:si>
    <x:t xml:space="preserve">E0022</x:t>
  </x:si>
  <x:si>
    <x:t xml:space="preserve">E0023</x:t>
  </x:si>
  <x:si>
    <x:t xml:space="preserve">E0024</x:t>
  </x:si>
  <x:si>
    <x:t xml:space="preserve">E0025</x:t>
  </x:si>
  <x:si>
    <x:t xml:space="preserve">E0026</x:t>
  </x:si>
  <x:si>
    <x:t xml:space="preserve">E0027</x:t>
  </x:si>
  <x:si>
    <x:t xml:space="preserve">E0028</x:t>
  </x:si>
  <x:si>
    <x:t xml:space="preserve">E0029</x:t>
  </x:si>
  <x:si>
    <x:t xml:space="preserve">E0030</x:t>
  </x:si>
  <x:si>
    <x:t xml:space="preserve">E0031</x:t>
  </x:si>
  <x:si>
    <x:t xml:space="preserve">E0032</x:t>
  </x:si>
  <x:si>
    <x:t xml:space="preserve">E0033</x:t>
  </x:si>
  <x:si>
    <x:t xml:space="preserve">E0034</x:t>
  </x:si>
  <x:si>
    <x:t xml:space="preserve">E0035</x:t>
  </x:si>
  <x:si>
    <x:t xml:space="preserve">E0036</x:t>
  </x:si>
  <x:si>
    <x:t xml:space="preserve">E0037</x:t>
  </x:si>
  <x:si>
    <x:t xml:space="preserve">E0038</x:t>
  </x:si>
  <x:si>
    <x:t xml:space="preserve">E0039</x:t>
  </x:si>
  <x:si>
    <x:t xml:space="preserve">E0040</x:t>
  </x:si>
  <x:si>
    <x:t xml:space="preserve">E0041</x:t>
  </x:si>
  <x:si>
    <x:t xml:space="preserve">E0042</x:t>
  </x:si>
  <x:si>
    <x:t xml:space="preserve">E0043</x:t>
  </x:si>
  <x:si>
    <x:t xml:space="preserve">E0044</x:t>
  </x:si>
  <x:si>
    <x:t xml:space="preserve">E0045</x:t>
  </x:si>
  <x:si>
    <x:t xml:space="preserve">E0046</x:t>
  </x:si>
  <x:si>
    <x:t xml:space="preserve">E0047</x:t>
  </x:si>
  <x:si>
    <x:t xml:space="preserve">E0048</x:t>
  </x:si>
  <x:si>
    <x:t xml:space="preserve">E0049</x:t>
  </x:si>
  <x:si>
    <x:t xml:space="preserve">E0050</x:t>
  </x:si>
  <x:si>
    <x:t xml:space="preserve">E0051</x:t>
  </x:si>
  <x:si>
    <x:t xml:space="preserve">E0052</x:t>
  </x:si>
  <x:si>
    <x:t xml:space="preserve">E0053</x:t>
  </x:si>
  <x:si>
    <x:t xml:space="preserve">E0054</x:t>
  </x:si>
  <x:si>
    <x:t xml:space="preserve">E0055</x:t>
  </x:si>
  <x:si>
    <x:t xml:space="preserve">FALSE</x:t>
  </x:si>
  <x:si>
    <x:t xml:space="preserve">E0056</x:t>
  </x:si>
  <x:si>
    <x:t xml:space="preserve">E0057</x:t>
  </x:si>
  <x:si>
    <x:t xml:space="preserve">E0058</x:t>
  </x:si>
  <x:si>
    <x:t xml:space="preserve">E0059</x:t>
  </x:si>
  <x:si>
    <x:t xml:space="preserve">E0060</x:t>
  </x:si>
  <x:si>
    <x:t xml:space="preserve">E0061</x:t>
  </x:si>
  <x:si>
    <x:t xml:space="preserve">E0062</x:t>
  </x:si>
  <x:si>
    <x:t xml:space="preserve">E0063</x:t>
  </x:si>
  <x:si>
    <x:t xml:space="preserve">E0064</x:t>
  </x:si>
  <x:si>
    <x:t xml:space="preserve">E0065</x:t>
  </x:si>
  <x:si>
    <x:t xml:space="preserve">E0066</x:t>
  </x:si>
  <x:si>
    <x:t xml:space="preserve">E0067</x:t>
  </x:si>
  <x:si>
    <x:t xml:space="preserve">E0068</x:t>
  </x:si>
  <x:si>
    <x:t xml:space="preserve">E0069</x:t>
  </x:si>
  <x:si>
    <x:t xml:space="preserve">E0070</x:t>
  </x:si>
  <x:si>
    <x:t xml:space="preserve">E0071</x:t>
  </x:si>
  <x:si>
    <x:t xml:space="preserve">E0072</x:t>
  </x:si>
  <x:si>
    <x:t xml:space="preserve">E0073</x:t>
  </x:si>
  <x:si>
    <x:t xml:space="preserve">E0074</x:t>
  </x:si>
  <x:si>
    <x:t xml:space="preserve">E0075</x:t>
  </x:si>
  <x:si>
    <x:t xml:space="preserve">E0076</x:t>
  </x:si>
  <x:si>
    <x:t xml:space="preserve">E0077</x:t>
  </x:si>
  <x:si>
    <x:t xml:space="preserve">E0078</x:t>
  </x:si>
  <x:si>
    <x:t xml:space="preserve">E0079</x:t>
  </x:si>
  <x:si>
    <x:t xml:space="preserve">E0080</x:t>
  </x:si>
  <x:si>
    <x:t xml:space="preserve">E0081</x:t>
  </x:si>
  <x:si>
    <x:t xml:space="preserve">E0082</x:t>
  </x:si>
  <x:si>
    <x:t xml:space="preserve">E0083</x:t>
  </x:si>
  <x:si>
    <x:t xml:space="preserve">E0084</x:t>
  </x:si>
  <x:si>
    <x:t xml:space="preserve">E0085</x:t>
  </x:si>
  <x:si>
    <x:t xml:space="preserve">E0086</x:t>
  </x:si>
  <x:si>
    <x:t xml:space="preserve">E0087</x:t>
  </x:si>
  <x:si>
    <x:t xml:space="preserve">E0088</x:t>
  </x:si>
  <x:si>
    <x:t xml:space="preserve">E0089</x:t>
  </x:si>
  <x:si>
    <x:t xml:space="preserve">Mapped Russell Sage Dining Hall to Russell Sage Dining Hall (L001).</x:t>
  </x:si>
  <x:si>
    <x:t xml:space="preserve">E0090</x:t>
  </x:si>
  <x:si>
    <x:t xml:space="preserve">E0091</x:t>
  </x:si>
  <x:si>
    <x:t xml:space="preserve">E0092</x:t>
  </x:si>
  <x:si>
    <x:t xml:space="preserve">E0093</x:t>
  </x:si>
  <x:si>
    <x:t xml:space="preserve">E0094</x:t>
  </x:si>
  <x:si>
    <x:t xml:space="preserve">E0095</x:t>
  </x:si>
  <x:si>
    <x:t xml:space="preserve">E0096</x:t>
  </x:si>
  <x:si>
    <x:t xml:space="preserve">E0097</x:t>
  </x:si>
  <x:si>
    <x:t xml:space="preserve">E0098</x:t>
  </x:si>
  <x:si>
    <x:t xml:space="preserve">E0099</x:t>
  </x:si>
  <x:si>
    <x:t xml:space="preserve">E0100</x:t>
  </x:si>
  <x:si>
    <x:t xml:space="preserve">E0101</x:t>
  </x:si>
  <x:si>
    <x:t xml:space="preserve">E0102</x:t>
  </x:si>
  <x:si>
    <x:t xml:space="preserve">E0103</x:t>
  </x:si>
  <x:si>
    <x:t xml:space="preserve">E0104</x:t>
  </x:si>
  <x:si>
    <x:t xml:space="preserve">E0105</x:t>
  </x:si>
  <x:si>
    <x:t xml:space="preserve">E0106</x:t>
  </x:si>
  <x:si>
    <x:t xml:space="preserve">E0107</x:t>
  </x:si>
  <x:si>
    <x:t xml:space="preserve">E0108</x:t>
  </x:si>
  <x:si>
    <x:t xml:space="preserve">E0109</x:t>
  </x:si>
  <x:si>
    <x:t xml:space="preserve">E0110</x:t>
  </x:si>
  <x:si>
    <x:t xml:space="preserve">E0111</x:t>
  </x:si>
  <x:si>
    <x:t xml:space="preserve">E0112</x:t>
  </x:si>
  <x:si>
    <x:t xml:space="preserve">E0113</x:t>
  </x:si>
  <x:si>
    <x:t xml:space="preserve">E0114</x:t>
  </x:si>
  <x:si>
    <x:t xml:space="preserve">E0115</x:t>
  </x:si>
  <x:si>
    <x:t xml:space="preserve">E0116</x:t>
  </x:si>
  <x:si>
    <x:t xml:space="preserve">E0117</x:t>
  </x:si>
  <x:si>
    <x:t xml:space="preserve">E0118</x:t>
  </x:si>
  <x:si>
    <x:t xml:space="preserve">E0119</x:t>
  </x:si>
  <x:si>
    <x:t xml:space="preserve">E0120</x:t>
  </x:si>
  <x:si>
    <x:t xml:space="preserve">E0121</x:t>
  </x:si>
  <x:si>
    <x:t xml:space="preserve">E0122</x:t>
  </x:si>
  <x:si>
    <x:t xml:space="preserve">E0123</x:t>
  </x:si>
  <x:si>
    <x:t xml:space="preserve">E0124</x:t>
  </x:si>
  <x:si>
    <x:t xml:space="preserve">E0125</x:t>
  </x:si>
  <x:si>
    <x:t xml:space="preserve">E0126</x:t>
  </x:si>
  <x:si>
    <x:t xml:space="preserve">E0127</x:t>
  </x:si>
  <x:si>
    <x:t xml:space="preserve">E0128</x:t>
  </x:si>
  <x:si>
    <x:t xml:space="preserve">E0129</x:t>
  </x:si>
  <x:si>
    <x:t xml:space="preserve">E0130</x:t>
  </x:si>
  <x:si>
    <x:t xml:space="preserve">E0131</x:t>
  </x:si>
  <x:si>
    <x:t xml:space="preserve">E0132</x:t>
  </x:si>
  <x:si>
    <x:t xml:space="preserve">E0133</x:t>
  </x:si>
  <x:si>
    <x:t xml:space="preserve">E0134</x:t>
  </x:si>
  <x:si>
    <x:t xml:space="preserve">E0135</x:t>
  </x:si>
  <x:si>
    <x:t xml:space="preserve">E0136</x:t>
  </x:si>
  <x:si>
    <x:t xml:space="preserve">E0137</x:t>
  </x:si>
  <x:si>
    <x:t xml:space="preserve">E0138</x:t>
  </x:si>
  <x:si>
    <x:t xml:space="preserve">E0139</x:t>
  </x:si>
  <x:si>
    <x:t xml:space="preserve">E0140</x:t>
  </x:si>
  <x:si>
    <x:t xml:space="preserve">E0141</x:t>
  </x:si>
  <x:si>
    <x:t xml:space="preserve">E0142</x:t>
  </x:si>
  <x:si>
    <x:t xml:space="preserve">E0143</x:t>
  </x:si>
  <x:si>
    <x:t xml:space="preserve">E0144</x:t>
  </x:si>
  <x:si>
    <x:t xml:space="preserve">E0145</x:t>
  </x:si>
  <x:si>
    <x:t xml:space="preserve">E0146</x:t>
  </x:si>
  <x:si>
    <x:t xml:space="preserve">E0147</x:t>
  </x:si>
  <x:si>
    <x:t xml:space="preserve">E0148</x:t>
  </x:si>
  <x:si>
    <x:t xml:space="preserve">E0149</x:t>
  </x:si>
  <x:si>
    <x:t xml:space="preserve">E0150</x:t>
  </x:si>
  <x:si>
    <x:t xml:space="preserve">E0151</x:t>
  </x:si>
  <x:si>
    <x:t xml:space="preserve">E0152</x:t>
  </x:si>
  <x:si>
    <x:t xml:space="preserve">E0153</x:t>
  </x:si>
  <x:si>
    <x:t xml:space="preserve">E0154</x:t>
  </x:si>
  <x:si>
    <x:t xml:space="preserve">E0155</x:t>
  </x:si>
  <x:si>
    <x:t xml:space="preserve">E0156</x:t>
  </x:si>
  <x:si>
    <x:t xml:space="preserve">E0157</x:t>
  </x:si>
  <x:si>
    <x:t xml:space="preserve">E0158</x:t>
  </x:si>
  <x:si>
    <x:t xml:space="preserve">E0159</x:t>
  </x:si>
  <x:si>
    <x:t xml:space="preserve">E0160</x:t>
  </x:si>
  <x:si>
    <x:t xml:space="preserve">E0161</x:t>
  </x:si>
  <x:si>
    <x:t xml:space="preserve">E0162</x:t>
  </x:si>
  <x:si>
    <x:t xml:space="preserve">E0163</x:t>
  </x:si>
  <x:si>
    <x:t xml:space="preserve">E0164</x:t>
  </x:si>
  <x:si>
    <x:t xml:space="preserve">E0165</x:t>
  </x:si>
  <x:si>
    <x:t xml:space="preserve">E0166</x:t>
  </x:si>
  <x:si>
    <x:t xml:space="preserve">E0167</x:t>
  </x:si>
  <x:si>
    <x:t xml:space="preserve">E0168</x:t>
  </x:si>
  <x:si>
    <x:t xml:space="preserve">E0169</x:t>
  </x:si>
  <x:si>
    <x:t xml:space="preserve">E0170</x:t>
  </x:si>
  <x:si>
    <x:t xml:space="preserve">E0171</x:t>
  </x:si>
  <x:si>
    <x:t xml:space="preserve">E0172</x:t>
  </x:si>
  <x:si>
    <x:t xml:space="preserve">E0173</x:t>
  </x:si>
  <x:si>
    <x:t xml:space="preserve">E0174</x:t>
  </x:si>
  <x:si>
    <x:t xml:space="preserve">E0175</x:t>
  </x:si>
  <x:si>
    <x:t xml:space="preserve">E0176</x:t>
  </x:si>
  <x:si>
    <x:t xml:space="preserve">E0177</x:t>
  </x:si>
  <x:si>
    <x:t xml:space="preserve">E0178</x:t>
  </x:si>
  <x:si>
    <x:t xml:space="preserve">E0179</x:t>
  </x:si>
  <x:si>
    <x:t xml:space="preserve">E0180</x:t>
  </x:si>
  <x:si>
    <x:t xml:space="preserve">E0181</x:t>
  </x:si>
  <x:si>
    <x:t xml:space="preserve">E0182</x:t>
  </x:si>
  <x:si>
    <x:t xml:space="preserve">E0183</x:t>
  </x:si>
  <x:si>
    <x:t xml:space="preserve">E0184</x:t>
  </x:si>
  <x:si>
    <x:t xml:space="preserve">E0185</x:t>
  </x:si>
  <x:si>
    <x:t xml:space="preserve">E0186</x:t>
  </x:si>
  <x:si>
    <x:t xml:space="preserve">E0187</x:t>
  </x:si>
  <x:si>
    <x:t xml:space="preserve">E0188</x:t>
  </x:si>
  <x:si>
    <x:t xml:space="preserve">E0189</x:t>
  </x:si>
  <x:si>
    <x:t xml:space="preserve">E0190</x:t>
  </x:si>
  <x:si>
    <x:t xml:space="preserve">E0191</x:t>
  </x:si>
  <x:si>
    <x:t xml:space="preserve">E0192</x:t>
  </x:si>
  <x:si>
    <x:t xml:space="preserve">E0193</x:t>
  </x:si>
  <x:si>
    <x:t xml:space="preserve">E0194</x:t>
  </x:si>
  <x:si>
    <x:t xml:space="preserve">E0195</x:t>
  </x:si>
  <x:si>
    <x:t xml:space="preserve">E0196</x:t>
  </x:si>
  <x:si>
    <x:t xml:space="preserve">E0197</x:t>
  </x:si>
  <x:si>
    <x:t xml:space="preserve">E0198</x:t>
  </x:si>
  <x:si>
    <x:t xml:space="preserve">E0199</x:t>
  </x:si>
  <x:si>
    <x:t xml:space="preserve">E0200</x:t>
  </x:si>
  <x:si>
    <x:t xml:space="preserve">E0201</x:t>
  </x:si>
  <x:si>
    <x:t xml:space="preserve">E0202</x:t>
  </x:si>
  <x:si>
    <x:t xml:space="preserve">E0203</x:t>
  </x:si>
  <x:si>
    <x:t xml:space="preserve">E0204</x:t>
  </x:si>
  <x:si>
    <x:t xml:space="preserve">E0205</x:t>
  </x:si>
  <x:si>
    <x:t xml:space="preserve">E0206</x:t>
  </x:si>
  <x:si>
    <x:t xml:space="preserve">E0207</x:t>
  </x:si>
  <x:si>
    <x:t xml:space="preserve">E0208</x:t>
  </x:si>
  <x:si>
    <x:t xml:space="preserve">E0209</x:t>
  </x:si>
  <x:si>
    <x:t xml:space="preserve">E0210</x:t>
  </x:si>
  <x:si>
    <x:t xml:space="preserve">E0211</x:t>
  </x:si>
  <x:si>
    <x:t xml:space="preserve">E0212</x:t>
  </x:si>
  <x:si>
    <x:t xml:space="preserve">E0213</x:t>
  </x:si>
  <x:si>
    <x:t xml:space="preserve">E0214</x:t>
  </x:si>
  <x:si>
    <x:t xml:space="preserve">E0215</x:t>
  </x:si>
  <x:si>
    <x:t xml:space="preserve">E0216</x:t>
  </x:si>
  <x:si>
    <x:t xml:space="preserve">E0217</x:t>
  </x:si>
  <x:si>
    <x:t xml:space="preserve">E0218</x:t>
  </x:si>
  <x:si>
    <x:t xml:space="preserve">E0219</x:t>
  </x:si>
  <x:si>
    <x:t xml:space="preserve">E0220</x:t>
  </x:si>
  <x:si>
    <x:t xml:space="preserve">E0221</x:t>
  </x:si>
  <x:si>
    <x:t xml:space="preserve">E0222</x:t>
  </x:si>
  <x:si>
    <x:t xml:space="preserve">E0223</x:t>
  </x:si>
  <x:si>
    <x:t xml:space="preserve">E0224</x:t>
  </x:si>
  <x:si>
    <x:t xml:space="preserve">E0225</x:t>
  </x:si>
  <x:si>
    <x:t xml:space="preserve">E0226</x:t>
  </x:si>
  <x:si>
    <x:t xml:space="preserve">E0227</x:t>
  </x:si>
  <x:si>
    <x:t xml:space="preserve">E0228</x:t>
  </x:si>
  <x:si>
    <x:t xml:space="preserve">E0229</x:t>
  </x:si>
  <x:si>
    <x:t xml:space="preserve">E0230</x:t>
  </x:si>
  <x:si>
    <x:t xml:space="preserve">E0231</x:t>
  </x:si>
  <x:si>
    <x:t xml:space="preserve">E0232</x:t>
  </x:si>
  <x:si>
    <x:t xml:space="preserve">E0233</x:t>
  </x:si>
  <x:si>
    <x:t xml:space="preserve">E0234</x:t>
  </x:si>
  <x:si>
    <x:t xml:space="preserve">E0235</x:t>
  </x:si>
  <x:si>
    <x:t xml:space="preserve">E0236</x:t>
  </x:si>
  <x:si>
    <x:t xml:space="preserve">E0237</x:t>
  </x:si>
  <x:si>
    <x:t xml:space="preserve">E0238</x:t>
  </x:si>
  <x:si>
    <x:t xml:space="preserve">E0239</x:t>
  </x:si>
  <x:si>
    <x:t xml:space="preserve">E0240</x:t>
  </x:si>
  <x:si>
    <x:t xml:space="preserve">E0241</x:t>
  </x:si>
  <x:si>
    <x:t xml:space="preserve">E0242</x:t>
  </x:si>
  <x:si>
    <x:t xml:space="preserve">E0243</x:t>
  </x:si>
  <x:si>
    <x:t xml:space="preserve">E0244</x:t>
  </x:si>
  <x:si>
    <x:t xml:space="preserve">E0245</x:t>
  </x:si>
  <x:si>
    <x:t xml:space="preserve">E0246</x:t>
  </x:si>
  <x:si>
    <x:t xml:space="preserve">E0247</x:t>
  </x:si>
  <x:si>
    <x:t xml:space="preserve">E0248</x:t>
  </x:si>
  <x:si>
    <x:t xml:space="preserve">E0249</x:t>
  </x:si>
  <x:si>
    <x:t xml:space="preserve">E0250</x:t>
  </x:si>
  <x:si>
    <x:t xml:space="preserve">E0251</x:t>
  </x:si>
  <x:si>
    <x:t xml:space="preserve">E0252</x:t>
  </x:si>
  <x:si>
    <x:t xml:space="preserve">E0253</x:t>
  </x:si>
  <x:si>
    <x:t xml:space="preserve">E0254</x:t>
  </x:si>
  <x:si>
    <x:t xml:space="preserve">E0255</x:t>
  </x:si>
  <x:si>
    <x:t xml:space="preserve">E0256</x:t>
  </x:si>
  <x:si>
    <x:t xml:space="preserve">E0257</x:t>
  </x:si>
  <x:si>
    <x:t xml:space="preserve">E0258</x:t>
  </x:si>
  <x:si>
    <x:t xml:space="preserve">E0259</x:t>
  </x:si>
  <x:si>
    <x:t xml:space="preserve">E0260</x:t>
  </x:si>
  <x:si>
    <x:t xml:space="preserve">E0261</x:t>
  </x:si>
  <x:si>
    <x:t xml:space="preserve">E0262</x:t>
  </x:si>
  <x:si>
    <x:t xml:space="preserve">E0263</x:t>
  </x:si>
  <x:si>
    <x:t xml:space="preserve">E0264</x:t>
  </x:si>
  <x:si>
    <x:t xml:space="preserve">E0265</x:t>
  </x:si>
  <x:si>
    <x:t xml:space="preserve">E0266</x:t>
  </x:si>
  <x:si>
    <x:t xml:space="preserve">E0267</x:t>
  </x:si>
  <x:si>
    <x:t xml:space="preserve">E0268</x:t>
  </x:si>
  <x:si>
    <x:t xml:space="preserve">E0269</x:t>
  </x:si>
  <x:si>
    <x:t xml:space="preserve">E0270</x:t>
  </x:si>
  <x:si>
    <x:t xml:space="preserve">E0271</x:t>
  </x:si>
  <x:si>
    <x:t xml:space="preserve">E0272</x:t>
  </x:si>
  <x:si>
    <x:t xml:space="preserve">E0273</x:t>
  </x:si>
  <x:si>
    <x:t xml:space="preserve">E0274</x:t>
  </x:si>
  <x:si>
    <x:t xml:space="preserve">E0275</x:t>
  </x:si>
  <x:si>
    <x:t xml:space="preserve">E0276</x:t>
  </x:si>
  <x:si>
    <x:t xml:space="preserve">E0277</x:t>
  </x:si>
  <x:si>
    <x:t xml:space="preserve">E0278</x:t>
  </x:si>
  <x:si>
    <x:t xml:space="preserve">E0279</x:t>
  </x:si>
  <x:si>
    <x:t xml:space="preserve">E0280</x:t>
  </x:si>
  <x:si>
    <x:t xml:space="preserve">E0281</x:t>
  </x:si>
  <x:si>
    <x:t xml:space="preserve">E0282</x:t>
  </x:si>
  <x:si>
    <x:t xml:space="preserve">E0283</x:t>
  </x:si>
  <x:si>
    <x:t xml:space="preserve">E0284</x:t>
  </x:si>
  <x:si>
    <x:t xml:space="preserve">E0285</x:t>
  </x:si>
  <x:si>
    <x:t xml:space="preserve">E0286</x:t>
  </x:si>
  <x:si>
    <x:t xml:space="preserve">E0287</x:t>
  </x:si>
  <x:si>
    <x:t xml:space="preserve">E0288</x:t>
  </x:si>
  <x:si>
    <x:t xml:space="preserve">E0289</x:t>
  </x:si>
  <x:si>
    <x:t xml:space="preserve">E0290</x:t>
  </x:si>
  <x:si>
    <x:t xml:space="preserve">E0291</x:t>
  </x:si>
  <x:si>
    <x:t xml:space="preserve">E0292</x:t>
  </x:si>
  <x:si>
    <x:t xml:space="preserve">E0293</x:t>
  </x:si>
  <x:si>
    <x:t xml:space="preserve">E0294</x:t>
  </x:si>
  <x:si>
    <x:t xml:space="preserve">E0295</x:t>
  </x:si>
  <x:si>
    <x:t xml:space="preserve">E0296</x:t>
  </x:si>
  <x:si>
    <x:t xml:space="preserve">E0297</x:t>
  </x:si>
  <x:si>
    <x:t xml:space="preserve">E0298</x:t>
  </x:si>
  <x:si>
    <x:t xml:space="preserve">E0299</x:t>
  </x:si>
  <x:si>
    <x:t xml:space="preserve">E0300</x:t>
  </x:si>
  <x:si>
    <x:t xml:space="preserve">E0301</x:t>
  </x:si>
  <x:si>
    <x:t xml:space="preserve">E0302</x:t>
  </x:si>
  <x:si>
    <x:t xml:space="preserve">E0303</x:t>
  </x:si>
  <x:si>
    <x:t xml:space="preserve">E0304</x:t>
  </x:si>
  <x:si>
    <x:t xml:space="preserve">E0305</x:t>
  </x:si>
  <x:si>
    <x:t xml:space="preserve">E0306</x:t>
  </x:si>
  <x:si>
    <x:t xml:space="preserve">E0307</x:t>
  </x:si>
  <x:si>
    <x:t xml:space="preserve">E0308</x:t>
  </x:si>
  <x:si>
    <x:t xml:space="preserve">E0309</x:t>
  </x:si>
  <x:si>
    <x:t xml:space="preserve">E0310</x:t>
  </x:si>
  <x:si>
    <x:t xml:space="preserve">E0311</x:t>
  </x:si>
  <x:si>
    <x:t xml:space="preserve">E0312</x:t>
  </x:si>
  <x:si>
    <x:t xml:space="preserve">E0313</x:t>
  </x:si>
  <x:si>
    <x:t xml:space="preserve">E0314</x:t>
  </x:si>
  <x:si>
    <x:t xml:space="preserve">E0315</x:t>
  </x:si>
  <x:si>
    <x:t xml:space="preserve">E0316</x:t>
  </x:si>
  <x:si>
    <x:t xml:space="preserve">E0317</x:t>
  </x:si>
  <x:si>
    <x:t xml:space="preserve">E0318</x:t>
  </x:si>
  <x:si>
    <x:t xml:space="preserve">E0319</x:t>
  </x:si>
  <x:si>
    <x:t xml:space="preserve">E0320</x:t>
  </x:si>
  <x:si>
    <x:t xml:space="preserve">E0321</x:t>
  </x:si>
  <x:si>
    <x:t xml:space="preserve">E0322</x:t>
  </x:si>
  <x:si>
    <x:t xml:space="preserve">E0323</x:t>
  </x:si>
  <x:si>
    <x:t xml:space="preserve">E0324</x:t>
  </x:si>
  <x:si>
    <x:t xml:space="preserve">E0325</x:t>
  </x:si>
  <x:si>
    <x:t xml:space="preserve">E0326</x:t>
  </x:si>
  <x:si>
    <x:t xml:space="preserve">E0327</x:t>
  </x:si>
  <x:si>
    <x:t xml:space="preserve">E0328</x:t>
  </x:si>
  <x:si>
    <x:t xml:space="preserve">E0329</x:t>
  </x:si>
  <x:si>
    <x:t xml:space="preserve">E0330</x:t>
  </x:si>
  <x:si>
    <x:t xml:space="preserve">E0331</x:t>
  </x:si>
  <x:si>
    <x:t xml:space="preserve">E0332</x:t>
  </x:si>
  <x:si>
    <x:t xml:space="preserve">E0333</x:t>
  </x:si>
  <x:si>
    <x:t xml:space="preserve">E0334</x:t>
  </x:si>
  <x:si>
    <x:t xml:space="preserve">E0335</x:t>
  </x:si>
  <x:si>
    <x:t xml:space="preserve">E0336</x:t>
  </x:si>
  <x:si>
    <x:t xml:space="preserve">E0337</x:t>
  </x:si>
  <x:si>
    <x:t xml:space="preserve">E0338</x:t>
  </x:si>
  <x:si>
    <x:t xml:space="preserve">E0339</x:t>
  </x:si>
  <x:si>
    <x:t xml:space="preserve">E0340</x:t>
  </x:si>
  <x:si>
    <x:t xml:space="preserve">E0341</x:t>
  </x:si>
  <x:si>
    <x:t xml:space="preserve">E0342</x:t>
  </x:si>
  <x:si>
    <x:t xml:space="preserve">E0343</x:t>
  </x:si>
  <x:si>
    <x:t xml:space="preserve">E0344</x:t>
  </x:si>
  <x:si>
    <x:t xml:space="preserve">E0345</x:t>
  </x:si>
  <x:si>
    <x:t xml:space="preserve">E0346</x:t>
  </x:si>
  <x:si>
    <x:t xml:space="preserve">E0347</x:t>
  </x:si>
  <x:si>
    <x:t xml:space="preserve">E0348</x:t>
  </x:si>
  <x:si>
    <x:t xml:space="preserve">E0349</x:t>
  </x:si>
  <x:si>
    <x:t xml:space="preserve">E0350</x:t>
  </x:si>
  <x:si>
    <x:t xml:space="preserve">E0351</x:t>
  </x:si>
  <x:si>
    <x:t xml:space="preserve">E0352</x:t>
  </x:si>
  <x:si>
    <x:t xml:space="preserve">E0353</x:t>
  </x:si>
  <x:si>
    <x:t xml:space="preserve">E0354</x:t>
  </x:si>
  <x:si>
    <x:t xml:space="preserve">E0355</x:t>
  </x:si>
  <x:si>
    <x:t xml:space="preserve">E0356</x:t>
  </x:si>
  <x:si>
    <x:t xml:space="preserve">E0357</x:t>
  </x:si>
  <x:si>
    <x:t xml:space="preserve">E0358</x:t>
  </x:si>
  <x:si>
    <x:t xml:space="preserve">E0359</x:t>
  </x:si>
  <x:si>
    <x:t xml:space="preserve">E0360</x:t>
  </x:si>
  <x:si>
    <x:t xml:space="preserve">E0361</x:t>
  </x:si>
  <x:si>
    <x:t xml:space="preserve">E0362</x:t>
  </x:si>
  <x:si>
    <x:t xml:space="preserve">E0363</x:t>
  </x:si>
  <x:si>
    <x:t xml:space="preserve">E0364</x:t>
  </x:si>
  <x:si>
    <x:t xml:space="preserve">E0365</x:t>
  </x:si>
  <x:si>
    <x:t xml:space="preserve">E0366</x:t>
  </x:si>
  <x:si>
    <x:t xml:space="preserve">E0367</x:t>
  </x:si>
  <x:si>
    <x:t xml:space="preserve">E0368</x:t>
  </x:si>
  <x:si>
    <x:t xml:space="preserve">E0369</x:t>
  </x:si>
  <x:si>
    <x:t xml:space="preserve">E0370</x:t>
  </x:si>
  <x:si>
    <x:t xml:space="preserve">E0371</x:t>
  </x:si>
  <x:si>
    <x:t xml:space="preserve">E0372</x:t>
  </x:si>
  <x:si>
    <x:t xml:space="preserve">E0373</x:t>
  </x:si>
  <x:si>
    <x:t xml:space="preserve">E0374</x:t>
  </x:si>
  <x:si>
    <x:t xml:space="preserve">E0375</x:t>
  </x:si>
  <x:si>
    <x:t xml:space="preserve">E0376</x:t>
  </x:si>
  <x:si>
    <x:t xml:space="preserve">E0377</x:t>
  </x:si>
  <x:si>
    <x:t xml:space="preserve">E0378</x:t>
  </x:si>
  <x:si>
    <x:t xml:space="preserve">E0379</x:t>
  </x:si>
  <x:si>
    <x:t xml:space="preserve">E0380</x:t>
  </x:si>
  <x:si>
    <x:t xml:space="preserve">E0381</x:t>
  </x:si>
  <x:si>
    <x:t xml:space="preserve">E0382</x:t>
  </x:si>
  <x:si>
    <x:t xml:space="preserve">E0383</x:t>
  </x:si>
  <x:si>
    <x:t xml:space="preserve">E0384</x:t>
  </x:si>
  <x:si>
    <x:t xml:space="preserve">E0385</x:t>
  </x:si>
  <x:si>
    <x:t xml:space="preserve">E0386</x:t>
  </x:si>
  <x:si>
    <x:t xml:space="preserve">E0387</x:t>
  </x:si>
  <x:si>
    <x:t xml:space="preserve">E0388</x:t>
  </x:si>
  <x:si>
    <x:t xml:space="preserve">E0389</x:t>
  </x:si>
  <x:si>
    <x:t xml:space="preserve">E0390</x:t>
  </x:si>
  <x:si>
    <x:t xml:space="preserve">E0391</x:t>
  </x:si>
  <x:si>
    <x:t xml:space="preserve">E0392</x:t>
  </x:si>
  <x:si>
    <x:t xml:space="preserve">E0393</x:t>
  </x:si>
  <x:si>
    <x:t xml:space="preserve">E0394</x:t>
  </x:si>
  <x:si>
    <x:t xml:space="preserve">E0395</x:t>
  </x:si>
  <x:si>
    <x:t xml:space="preserve">E0396</x:t>
  </x:si>
  <x:si>
    <x:t xml:space="preserve">E0397</x:t>
  </x:si>
  <x:si>
    <x:t xml:space="preserve">E0398</x:t>
  </x:si>
  <x:si>
    <x:t xml:space="preserve">E0399</x:t>
  </x:si>
  <x:si>
    <x:t xml:space="preserve">E0400</x:t>
  </x:si>
  <x:si>
    <x:t xml:space="preserve">E0401</x:t>
  </x:si>
  <x:si>
    <x:t xml:space="preserve">E0402</x:t>
  </x:si>
  <x:si>
    <x:t xml:space="preserve">E0403</x:t>
  </x:si>
  <x:si>
    <x:t xml:space="preserve">E0404</x:t>
  </x:si>
  <x:si>
    <x:t xml:space="preserve">E0405</x:t>
  </x:si>
  <x:si>
    <x:t xml:space="preserve">E0406</x:t>
  </x:si>
  <x:si>
    <x:t xml:space="preserve">E0407</x:t>
  </x:si>
  <x:si>
    <x:t xml:space="preserve">E0408</x:t>
  </x:si>
  <x:si>
    <x:t xml:space="preserve">E0409</x:t>
  </x:si>
  <x:si>
    <x:t xml:space="preserve">E0410</x:t>
  </x:si>
  <x:si>
    <x:t xml:space="preserve">E0411</x:t>
  </x:si>
  <x:si>
    <x:t xml:space="preserve">E0412</x:t>
  </x:si>
  <x:si>
    <x:t xml:space="preserve">E0413</x:t>
  </x:si>
  <x:si>
    <x:t xml:space="preserve">E0414</x:t>
  </x:si>
  <x:si>
    <x:t xml:space="preserve">E0415</x:t>
  </x:si>
  <x:si>
    <x:t xml:space="preserve">E0416</x:t>
  </x:si>
  <x:si>
    <x:t xml:space="preserve">E0417</x:t>
  </x:si>
  <x:si>
    <x:t xml:space="preserve">E0418</x:t>
  </x:si>
  <x:si>
    <x:t xml:space="preserve">E0419</x:t>
  </x:si>
  <x:si>
    <x:t xml:space="preserve">E0420</x:t>
  </x:si>
  <x:si>
    <x:t xml:space="preserve">E0421</x:t>
  </x:si>
  <x:si>
    <x:t xml:space="preserve">E0422</x:t>
  </x:si>
  <x:si>
    <x:t xml:space="preserve">E0423</x:t>
  </x:si>
  <x:si>
    <x:t xml:space="preserve">E0424</x:t>
  </x:si>
  <x:si>
    <x:t xml:space="preserve">E0425</x:t>
  </x:si>
  <x:si>
    <x:t xml:space="preserve">E0426</x:t>
  </x:si>
  <x:si>
    <x:t xml:space="preserve">E0427</x:t>
  </x:si>
  <x:si>
    <x:t xml:space="preserve">E0428</x:t>
  </x:si>
  <x:si>
    <x:t xml:space="preserve">E0429</x:t>
  </x:si>
  <x:si>
    <x:t xml:space="preserve">E0430</x:t>
  </x:si>
  <x:si>
    <x:t xml:space="preserve">E0431</x:t>
  </x:si>
  <x:si>
    <x:t xml:space="preserve">E0432</x:t>
  </x:si>
  <x:si>
    <x:t xml:space="preserve">E0433</x:t>
  </x:si>
  <x:si>
    <x:t xml:space="preserve">E0434</x:t>
  </x:si>
  <x:si>
    <x:t xml:space="preserve">E0435</x:t>
  </x:si>
  <x:si>
    <x:t xml:space="preserve">E0436</x:t>
  </x:si>
  <x:si>
    <x:t xml:space="preserve">E0437</x:t>
  </x:si>
  <x:si>
    <x:t xml:space="preserve">E0438</x:t>
  </x:si>
  <x:si>
    <x:t xml:space="preserve">E0439</x:t>
  </x:si>
  <x:si>
    <x:t xml:space="preserve">E0440</x:t>
  </x:si>
  <x:si>
    <x:t xml:space="preserve">E0441</x:t>
  </x:si>
  <x:si>
    <x:t xml:space="preserve">E0442</x:t>
  </x:si>
  <x:si>
    <x:t xml:space="preserve">E0443</x:t>
  </x:si>
  <x:si>
    <x:t xml:space="preserve">E0444</x:t>
  </x:si>
  <x:si>
    <x:t xml:space="preserve">E0445</x:t>
  </x:si>
  <x:si>
    <x:t xml:space="preserve">E0446</x:t>
  </x:si>
  <x:si>
    <x:t xml:space="preserve">E0447</x:t>
  </x:si>
  <x:si>
    <x:t xml:space="preserve">E0448</x:t>
  </x:si>
  <x:si>
    <x:t xml:space="preserve">E0449</x:t>
  </x:si>
  <x:si>
    <x:t xml:space="preserve">E0450</x:t>
  </x:si>
  <x:si>
    <x:t xml:space="preserve">E0451</x:t>
  </x:si>
  <x:si>
    <x:t xml:space="preserve">E0452</x:t>
  </x:si>
  <x:si>
    <x:t xml:space="preserve">E0453</x:t>
  </x:si>
  <x:si>
    <x:t xml:space="preserve">E0454</x:t>
  </x:si>
  <x:si>
    <x:t xml:space="preserve">E0455</x:t>
  </x:si>
  <x:si>
    <x:t xml:space="preserve">E0456</x:t>
  </x:si>
  <x:si>
    <x:t xml:space="preserve">E0457</x:t>
  </x:si>
  <x:si>
    <x:t xml:space="preserve">E0458</x:t>
  </x:si>
  <x:si>
    <x:t xml:space="preserve">E0459</x:t>
  </x:si>
  <x:si>
    <x:t xml:space="preserve">E0460</x:t>
  </x:si>
  <x:si>
    <x:t xml:space="preserve">E0461</x:t>
  </x:si>
  <x:si>
    <x:t xml:space="preserve">E0462</x:t>
  </x:si>
  <x:si>
    <x:t xml:space="preserve">E0463</x:t>
  </x:si>
  <x:si>
    <x:t xml:space="preserve">E0464</x:t>
  </x:si>
  <x:si>
    <x:t xml:space="preserve">E0465</x:t>
  </x:si>
  <x:si>
    <x:t xml:space="preserve">E0466</x:t>
  </x:si>
  <x:si>
    <x:t xml:space="preserve">E0467</x:t>
  </x:si>
  <x:si>
    <x:t xml:space="preserve">E0468</x:t>
  </x:si>
  <x:si>
    <x:t xml:space="preserve">E0469</x:t>
  </x:si>
  <x:si>
    <x:t xml:space="preserve">E0470</x:t>
  </x:si>
  <x:si>
    <x:t xml:space="preserve">E0471</x:t>
  </x:si>
  <x:si>
    <x:t xml:space="preserve">E0472</x:t>
  </x:si>
  <x:si>
    <x:t xml:space="preserve">E0473</x:t>
  </x:si>
  <x:si>
    <x:t xml:space="preserve">E0474</x:t>
  </x:si>
  <x:si>
    <x:t xml:space="preserve">E0475</x:t>
  </x:si>
  <x:si>
    <x:t xml:space="preserve">E0476</x:t>
  </x:si>
  <x:si>
    <x:t xml:space="preserve">E0477</x:t>
  </x:si>
  <x:si>
    <x:t xml:space="preserve">E0478</x:t>
  </x:si>
  <x:si>
    <x:t xml:space="preserve">E0479</x:t>
  </x:si>
  <x:si>
    <x:t xml:space="preserve">E0480</x:t>
  </x:si>
  <x:si>
    <x:t xml:space="preserve">E0481</x:t>
  </x:si>
  <x:si>
    <x:t xml:space="preserve">E0482</x:t>
  </x:si>
  <x:si>
    <x:t xml:space="preserve">E0483</x:t>
  </x:si>
  <x:si>
    <x:t xml:space="preserve">E0484</x:t>
  </x:si>
  <x:si>
    <x:t xml:space="preserve">E0485</x:t>
  </x:si>
  <x:si>
    <x:t xml:space="preserve">E0486</x:t>
  </x:si>
  <x:si>
    <x:t xml:space="preserve">E0487</x:t>
  </x:si>
  <x:si>
    <x:t xml:space="preserve">E0488</x:t>
  </x:si>
  <x:si>
    <x:t xml:space="preserve">E0489</x:t>
  </x:si>
  <x:si>
    <x:t xml:space="preserve">E0490</x:t>
  </x:si>
  <x:si>
    <x:t xml:space="preserve">E0491</x:t>
  </x:si>
  <x:si>
    <x:t xml:space="preserve">E0492</x:t>
  </x:si>
  <x:si>
    <x:t xml:space="preserve">E0493</x:t>
  </x:si>
  <x:si>
    <x:t xml:space="preserve">E0494</x:t>
  </x:si>
  <x:si>
    <x:t xml:space="preserve">E0495</x:t>
  </x:si>
  <x:si>
    <x:t xml:space="preserve">E0496</x:t>
  </x:si>
  <x:si>
    <x:t xml:space="preserve">E0497</x:t>
  </x:si>
  <x:si>
    <x:t xml:space="preserve">E0498</x:t>
  </x:si>
  <x:si>
    <x:t xml:space="preserve">E0499</x:t>
  </x:si>
  <x:si>
    <x:t xml:space="preserve">E0500</x:t>
  </x:si>
  <x:si>
    <x:t xml:space="preserve">E0501</x:t>
  </x:si>
  <x:si>
    <x:t xml:space="preserve">E0502</x:t>
  </x:si>
  <x:si>
    <x:t xml:space="preserve">E0503</x:t>
  </x:si>
  <x:si>
    <x:t xml:space="preserve">E0504</x:t>
  </x:si>
  <x:si>
    <x:t xml:space="preserve">E0505</x:t>
  </x:si>
  <x:si>
    <x:t xml:space="preserve">E0506</x:t>
  </x:si>
  <x:si>
    <x:t xml:space="preserve">E0507</x:t>
  </x:si>
  <x:si>
    <x:t xml:space="preserve">E0508</x:t>
  </x:si>
  <x:si>
    <x:t xml:space="preserve">E0509</x:t>
  </x:si>
  <x:si>
    <x:t xml:space="preserve">E0510</x:t>
  </x:si>
  <x:si>
    <x:t xml:space="preserve">E0511</x:t>
  </x:si>
  <x:si>
    <x:t xml:space="preserve">E0512</x:t>
  </x:si>
  <x:si>
    <x:t xml:space="preserve">E0513</x:t>
  </x:si>
  <x:si>
    <x:t xml:space="preserve">E0514</x:t>
  </x:si>
  <x:si>
    <x:t xml:space="preserve">E0515</x:t>
  </x:si>
  <x:si>
    <x:t xml:space="preserve">E0516</x:t>
  </x:si>
  <x:si>
    <x:t xml:space="preserve">E0517</x:t>
  </x:si>
  <x:si>
    <x:t xml:space="preserve">E0518</x:t>
  </x:si>
  <x:si>
    <x:t xml:space="preserve">E0519</x:t>
  </x:si>
  <x:si>
    <x:t xml:space="preserve">E0520</x:t>
  </x:si>
  <x:si>
    <x:t xml:space="preserve">E0521</x:t>
  </x:si>
  <x:si>
    <x:t xml:space="preserve">E0522</x:t>
  </x:si>
  <x:si>
    <x:t xml:space="preserve">E0523</x:t>
  </x:si>
  <x:si>
    <x:t xml:space="preserve">E0524</x:t>
  </x:si>
  <x:si>
    <x:t xml:space="preserve">E0525</x:t>
  </x:si>
  <x:si>
    <x:t xml:space="preserve">E0526</x:t>
  </x:si>
  <x:si>
    <x:t xml:space="preserve">E0527</x:t>
  </x:si>
  <x:si>
    <x:t xml:space="preserve">E0528</x:t>
  </x:si>
  <x:si>
    <x:t xml:space="preserve">E0529</x:t>
  </x:si>
  <x:si>
    <x:t xml:space="preserve">E0530</x:t>
  </x:si>
  <x:si>
    <x:t xml:space="preserve">E0531</x:t>
  </x:si>
  <x:si>
    <x:t xml:space="preserve">E0532</x:t>
  </x:si>
  <x:si>
    <x:t xml:space="preserve">E0533</x:t>
  </x:si>
  <x:si>
    <x:t xml:space="preserve">E0534</x:t>
  </x:si>
  <x:si>
    <x:t xml:space="preserve">E0535</x:t>
  </x:si>
  <x:si>
    <x:t xml:space="preserve">E0536</x:t>
  </x:si>
  <x:si>
    <x:t xml:space="preserve">E0537</x:t>
  </x:si>
  <x:si>
    <x:t xml:space="preserve">E0538</x:t>
  </x:si>
  <x:si>
    <x:t xml:space="preserve">E0539</x:t>
  </x:si>
  <x:si>
    <x:t xml:space="preserve">E0540</x:t>
  </x:si>
  <x:si>
    <x:t xml:space="preserve">E0541</x:t>
  </x:si>
  <x:si>
    <x:t xml:space="preserve">E0542</x:t>
  </x:si>
  <x:si>
    <x:t xml:space="preserve">E0543</x:t>
  </x:si>
  <x:si>
    <x:t xml:space="preserve">E0544</x:t>
  </x:si>
  <x:si>
    <x:t xml:space="preserve">E0545</x:t>
  </x:si>
  <x:si>
    <x:t xml:space="preserve">E0546</x:t>
  </x:si>
  <x:si>
    <x:t xml:space="preserve">E0547</x:t>
  </x:si>
  <x:si>
    <x:t xml:space="preserve">E0548</x:t>
  </x:si>
  <x:si>
    <x:t xml:space="preserve">E0549</x:t>
  </x:si>
  <x:si>
    <x:t xml:space="preserve">E0550</x:t>
  </x:si>
  <x:si>
    <x:t xml:space="preserve">E0551</x:t>
  </x:si>
  <x:si>
    <x:t xml:space="preserve">E0552</x:t>
  </x:si>
  <x:si>
    <x:t xml:space="preserve">E0553</x:t>
  </x:si>
  <x:si>
    <x:t xml:space="preserve">E0554</x:t>
  </x:si>
  <x:si>
    <x:t xml:space="preserve">E0555</x:t>
  </x:si>
  <x:si>
    <x:t xml:space="preserve">E0556</x:t>
  </x:si>
  <x:si>
    <x:t xml:space="preserve">E0557</x:t>
  </x:si>
  <x:si>
    <x:t xml:space="preserve">E0558</x:t>
  </x:si>
  <x:si>
    <x:t xml:space="preserve">E0559</x:t>
  </x:si>
  <x:si>
    <x:t xml:space="preserve">E0560</x:t>
  </x:si>
  <x:si>
    <x:t xml:space="preserve">E0561</x:t>
  </x:si>
  <x:si>
    <x:t xml:space="preserve">E0562</x:t>
  </x:si>
  <x:si>
    <x:t xml:space="preserve">E0563</x:t>
  </x:si>
  <x:si>
    <x:t xml:space="preserve">E0564</x:t>
  </x:si>
  <x:si>
    <x:t xml:space="preserve">E0565</x:t>
  </x:si>
  <x:si>
    <x:t xml:space="preserve">E0566</x:t>
  </x:si>
  <x:si>
    <x:t xml:space="preserve">E0567</x:t>
  </x:si>
  <x:si>
    <x:t xml:space="preserve">E0568</x:t>
  </x:si>
  <x:si>
    <x:t xml:space="preserve">E0569</x:t>
  </x:si>
  <x:si>
    <x:t xml:space="preserve">E0570</x:t>
  </x:si>
  <x:si>
    <x:t xml:space="preserve">E0571</x:t>
  </x:si>
  <x:si>
    <x:t xml:space="preserve">E0572</x:t>
  </x:si>
  <x:si>
    <x:t xml:space="preserve">E0573</x:t>
  </x:si>
  <x:si>
    <x:t xml:space="preserve">E0574</x:t>
  </x:si>
  <x:si>
    <x:t xml:space="preserve">E0575</x:t>
  </x:si>
  <x:si>
    <x:t xml:space="preserve">E0576</x:t>
  </x:si>
  <x:si>
    <x:t xml:space="preserve">E0577</x:t>
  </x:si>
  <x:si>
    <x:t xml:space="preserve">E0578</x:t>
  </x:si>
  <x:si>
    <x:t xml:space="preserve">E0579</x:t>
  </x:si>
  <x:si>
    <x:t xml:space="preserve">E0580</x:t>
  </x:si>
  <x:si>
    <x:t xml:space="preserve">E0581</x:t>
  </x:si>
  <x:si>
    <x:t xml:space="preserve">E0582</x:t>
  </x:si>
  <x:si>
    <x:t xml:space="preserve">E0583</x:t>
  </x:si>
  <x:si>
    <x:t xml:space="preserve">E0584</x:t>
  </x:si>
  <x:si>
    <x:t xml:space="preserve">Issues and reuse notes</x:t>
  </x:si>
  <x:si>
    <x:t xml:space="preserve">Audit dated 2026-09-29. Connectivity assumes bidirectional edges, matching the source app.</x:t>
  </x:si>
  <x:si>
    <x:t xml:space="preserve">Issue ID</x:t>
  </x:si>
  <x:si>
    <x:t xml:space="preserve">Status</x:t>
  </x:si>
  <x:si>
    <x:t xml:space="preserve">Problem</x:t>
  </x:si>
  <x:si>
    <x:t xml:space="preserve">Evidence</x:t>
  </x:si>
  <x:si>
    <x:t xml:space="preserve">Source</x:t>
  </x:si>
  <x:si>
    <x:t xml:space="preserve">I01</x:t>
  </x:si>
  <x:si>
    <x:t xml:space="preserve">Fixed</x:t>
  </x:si>
  <x:si>
    <x:t xml:space="preserve">Misspelled endpoint</x:t>
  </x:si>
  <x:si>
    <x:t xml:space="preserve">Edges row 90 uses Russell Sage Dining Hall. Landmarks row 2 uses Russell Sage Dining Hall.</x:t>
  </x:si>
  <x:si>
    <x:t xml:space="preserve">Connections maps E0089 to L001. Original data is retained. This repairs a name, not a field observation.</x:t>
  </x:si>
  <x:si>
    <x:t xml:space="preserve">Edges!A90:C90; Landmarks!A2:C2</x:t>
  </x:si>
  <x:si>
    <x:t xml:space="preserve">I02</x:t>
  </x:si>
  <x:si>
    <x:t xml:space="preserve">I03</x:t>
  </x:si>
  <x:si>
    <x:t xml:space="preserve">Verify</x:t>
  </x:si>
  <x:si>
    <x:t xml:space="preserve">E Complex loses access</x:t>
  </x:si>
  <x:si>
    <x:t xml:space="preserve">Its only source connection is E0194 to N135, flagged FALSE. It is isolated when FALSE edges are excluded.</x:t>
  </x:si>
  <x:si>
    <x:t xml:space="preserve">Verify whether an alternate accessible entrance/path exists. Preserve the FALSE label until checked.</x:t>
  </x:si>
  <x:si>
    <x:t xml:space="preserve">Edges!A195:C195</x:t>
  </x:si>
  <x:si>
    <x:t xml:space="preserve">I04</x:t>
  </x:si>
  <x:si>
    <x:t xml:space="preserve">Accessibility has no evidence</x:t>
  </x:si>
  <x:si>
    <x:t xml:space="preserve">All 584 records lack inspection dates, verifier names, and reasons for their TRUE/FALSE labels.</x:t>
  </x:si>
  <x:si>
    <x:t xml:space="preserve">Verify the pilot segments. Leave confirmed_accessible unknown until the team has evidence.</x:t>
  </x:si>
  <x:si>
    <x:t xml:space="preserve">Edges!A1:C585</x:t>
  </x:si>
  <x:si>
    <x:t xml:space="preserve">I05</x:t>
  </x:si>
  <x:si>
    <x:t xml:space="preserve">Entrances are unspecified</x:t>
  </x:si>
  <x:si>
    <x:t xml:space="preserve">Landmarks provide only name, latitude, and longitude. No entrance IDs, floors, or door access details are recorded.</x:t>
  </x:si>
  <x:si>
    <x:t xml:space="preserve">Locate the actual usable entrances and connect them to the outdoor graph. Do not assume a building pin is a door.</x:t>
  </x:si>
  <x:si>
    <x:t xml:space="preserve">Landmarks!A1:C72</x:t>
  </x:si>
  <x:si>
    <x:t xml:space="preserve">I06</x:t>
  </x:si>
  <x:si>
    <x:t xml:space="preserve">Inspect</x:t>
  </x:si>
  <x:si>
    <x:t xml:space="preserve">Long straight segments</x:t>
  </x:si>
  <x:si>
    <x:t xml:space="preserve">18 source segments exceed 200 m between endpoints. Long segments are inspection candidates, not proven errors.</x:t>
  </x:si>
  <x:si>
    <x:t xml:space="preserve">Check the real path shape, intermediate turns, crossings, and barriers. Add intermediate points if needed.</x:t>
  </x:si>
  <x:si>
    <x:t xml:space="preserve">Long-segment table below</x:t>
  </x:si>
  <x:si>
    <x:t xml:space="preserve">I07</x:t>
  </x:si>
  <x:si>
    <x:t xml:space="preserve">Reference</x:t>
  </x:si>
  <x:si>
    <x:t xml:space="preserve">Android implementation</x:t>
  </x:si>
  <x:si>
    <x:t xml:space="preserve">Graph.kt reads local CSVs, applies Dijkstra, and treats edges as bidirectional. The UI and location code use Android APIs.</x:t>
  </x:si>
  <x:si>
    <x:t xml:space="preserve">Reuse the data model and algorithm ideas within your chosen web stack. Confirm direction restrictions in the field.</x:t>
  </x:si>
  <x:si>
    <x:t xml:space="preserve">Graph.kt: parseEdgesFromCSV / shortestPath; app/build.gradle.kts</x:t>
  </x:si>
  <x:si>
    <x:t xml:space="preserve">I08</x:t>
  </x:si>
  <x:si>
    <x:t xml:space="preserve">Handle</x:t>
  </x:si>
  <x:si>
    <x:t xml:space="preserve">No-route result is ambiguous</x:t>
  </x:si>
  <x:si>
    <x:t xml:space="preserve">shortestPath returns an empty Route for an unreachable destination. An empty Route also totals 0 distance.</x:t>
  </x:si>
  <x:si>
    <x:t xml:space="preserve">Return an explicit no-route result. Test disconnected destinations separately from start equals destination.</x:t>
  </x:si>
  <x:si>
    <x:t xml:space="preserve">Graph.kt: shortestPath / Route.totalDistance</x:t>
  </x:si>
  <x:si>
    <x:t xml:space="preserve">I09</x:t>
  </x:si>
  <x:si>
    <x:t xml:space="preserve">Nearest-point GPS snapping</x:t>
  </x:si>
  <x:si>
    <x:t xml:space="preserve">getClosestNode selects the geographically nearest node without a maximum-distance or connected-path test.</x:t>
  </x:si>
  <x:si>
    <x:t xml:space="preserve">Keep users within the supported area and use verified, reachable paths. Nearby points can lie across a barrier.</x:t>
  </x:si>
  <x:si>
    <x:t xml:space="preserve">Graph.kt: getClosestNode / startRoute</x:t>
  </x:si>
  <x:si>
    <x:t xml:space="preserve">I10</x:t>
  </x:si>
  <x:si>
    <x:t xml:space="preserve">Older source branch</x:t>
  </x:si>
  <x:si>
    <x:t xml:space="preserve">new_main points to a commit dated 2024-12-11. No campus inspection dates are supplied.</x:t>
  </x:si>
  <x:si>
    <x:t xml:space="preserve">Check current campus conditions. The commit date describes the code history, not a field survey.</x:t>
  </x:si>
  <x:si>
    <x:t xml:space="preserve">Repository commit listed below</x:t>
  </x:si>
  <x:si>
    <x:t xml:space="preserve">I11</x:t>
  </x:si>
  <x:si>
    <x:t xml:space="preserve">Checked</x:t>
  </x:si>
  <x:si>
    <x:t xml:space="preserve">Basic structure is consistent</x:t>
  </x:si>
  <x:si>
    <x:t xml:space="preserve">448 unique point names. No invalid coordinate ranges, duplicate undirected pairs, or self-loops. One original missing endpoint, fixed in Connections.</x:t>
  </x:si>
  <x:si>
    <x:t xml:space="preserve">Keep import validation for duplicate IDs, unresolved endpoints, and missing coordinates.</x:t>
  </x:si>
  <x:si>
    <x:t xml:space="preserve">All three original source tables</x:t>
  </x:si>
  <x:si>
    <x:t xml:space="preserve">I12</x:t>
  </x:si>
  <x:si>
    <x:t xml:space="preserve">Snapshot</x:t>
  </x:si>
  <x:si>
    <x:t xml:space="preserve">Graph connectivity</x:t>
  </x:si>
  <x:si>
    <x:t xml:space="preserve">Original: 446 connected points, plus Russell Sage Dining Hall and Winslow isolated. TRUE-only: 445, plus those two and E Complex.</x:t>
  </x:si>
  <x:si>
    <x:t xml:space="preserve">Segments over 200 m to inspect</x:t>
  </x:si>
  <x:si>
    <x:t xml:space="preserve">Edge ID</x:t>
  </x:si>
  <x:si>
    <x:t xml:space="preserve">Source row</x:t>
  </x:si>
  <x:si>
    <x:t xml:space="preserve">From</x:t>
  </x:si>
  <x:si>
    <x:t xml:space="preserve">To</x:t>
  </x:si>
  <x:si>
    <x:t xml:space="preserve">Straight line (m)</x:t>
  </x:si>
  <x:si>
    <x:t xml:space="preserve">Review note</x:t>
  </x:si>
  <x:si>
    <x:t xml:space="preserve">Check turns, crossings, and barriers.</x:t>
  </x:si>
  <x:si>
    <x:t xml:space="preserve">Repository sources</x:t>
  </x:si>
  <x:si>
    <x:t xml:space="preserve">Branch commit</x:t>
  </x:si>
  <x:si>
    <x:t xml:space="preserve">https://github.com/rgtdthrd/RPI-Atlas/commit/ad4c20d72a5a9116513332047e3ffc1b6d84443e</x:t>
  </x:si>
  <x:si>
    <x:t xml:space="preserve">Routing code</x:t>
  </x:si>
  <x:si>
    <x:t xml:space="preserve">https://github.com/rgtdthrd/RPI-Atlas/blob/ad4c20d72a5a9116513332047e3ffc1b6d84443e/app/src/main/java/com/example/myapplication/Graph.kt</x:t>
  </x:si>
  <x:si>
    <x:t xml:space="preserve">Android setup</x:t>
  </x:si>
  <x:si>
    <x:t xml:space="preserve">https://github.com/rgtdthrd/RPI-Atlas/blob/ad4c20d72a5a9116513332047e3ffc1b6d84443e/app/build.gradle.kts</x:t>
  </x:si>
  <x:si>
    <x:t xml:space="preserve">App description</x:t>
  </x:si>
  <x:si>
    <x:t xml:space="preserve">https://github.com/rgtdthrd/RPI-Atlas/blob/ad4c20d72a5a9116513332047e3ffc1b6d84443e/README.md</x:t>
  </x:si>
  <x:si>
    <x:t xml:space="preserve">License</x:t>
  </x:si>
  <x:si>
    <x:t xml:space="preserve">https://github.com/rgtdthrd/RPI-Atlas/blob/ad4c20d72a5a9116513332047e3ffc1b6d84443e/LICENSE</x:t>
  </x:si>
  <x:si>
    <x:t xml:space="preserve">The repository includes an MIT license. Keep its copyright and license notice when copying repository material.</x:t>
  </x:si>
  <x:si>
    <x:t xml:space="preserve">Review method: spreadsheet audit, CSV comparison, and static code inspection. The Android app was not built or run.</x:t>
  </x:si>
  <x:si>
    <x:t xml:space="preserve">Name</x:t>
  </x:si>
  <x:si>
    <x:t xml:space="preserve">Latitude</x:t>
  </x:si>
  <x:si>
    <x:t xml:space="preserve">Longitude</x:t>
  </x:si>
  <x:si>
    <x:t xml:space="preserve">Original source</x:t>
  </x:si>
  <x:si>
    <x:t xml:space="preserve">ATLAS Graph Data.xlsx / Landmarks</x:t>
  </x:si>
  <x:si>
    <x:t xml:space="preserve">All original records and values in A:C are preserved.</x:t>
  </x:si>
  <x:si>
    <x:t xml:space="preserve">Repository comparison</x:t>
  </x:si>
  <x:si>
    <x:t xml:space="preserve">All 71 names match in order. Coordinate differences are below 0.001 m.</x:t>
  </x:si>
  <x:si>
    <x:t xml:space="preserve">Repository CSV</x:t>
  </x:si>
  <x:si>
    <x:t xml:space="preserve">https://github.com/rgtdthrd/RPI-Atlas/blob/ad4c20d72a5a9116513332047e3ffc1b6d84443e/app/src/main/res/raw/landmarkdata.csv</x:t>
  </x:si>
  <x:si>
    <x:t xml:space="preserve">Reviewed 2026-09-29. The branch commit is dated 2024-12-11.</x:t>
  </x:si>
  <x:si>
    <x:t xml:space="preserve">The commit date is not a campus inspection date.</x:t>
  </x:si>
  <x:si>
    <x:t xml:space="preserve">Source labels do not establish current accessibility.</x:t>
  </x:si>
  <x:si>
    <x:t xml:space="preserve">N71</x:t>
  </x:si>
  <x:si>
    <x:t xml:space="preserve">ATLAS Graph Data.xlsx / Nodes</x:t>
  </x:si>
  <x:si>
    <x:t xml:space="preserve">All 377 names match in order. Coordinate differences are below 0.001 m.</x:t>
  </x:si>
  <x:si>
    <x:t xml:space="preserve">https://github.com/rgtdthrd/RPI-Atlas/blob/ad4c20d72a5a9116513332047e3ffc1b6d84443e/app/src/main/res/raw/nodedata.csv</x:t>
  </x:si>
  <x:si>
    <x:t xml:space="preserve">Node 1 Name</x:t>
  </x:si>
  <x:si>
    <x:t xml:space="preserve">Node 2 Name</x:t>
  </x:si>
  <x:si>
    <x:t xml:space="preserve">Is Accessible</x:t>
  </x:si>
  <x:si>
    <x:t xml:space="preserve">ATLAS Graph Data.xlsx / Edges</x:t>
  </x:si>
  <x:si>
    <x:t xml:space="preserve">All 584 connections and flags match the repository CSV in order.</x:t>
  </x:si>
  <x:si>
    <x:t xml:space="preserve">https://github.com/rgtdthrd/RPI-Atlas/blob/ad4c20d72a5a9116513332047e3ffc1b6d84443e/app/src/main/res/raw/edgedata.csv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</x:si>
</x:sst>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0.00000000"/>
    <x:numFmt numFmtId="60" formatCode="yyyy-mm-dd"/>
    <x:numFmt numFmtId="61" formatCode="0.0"/>
  </x:numFmts>
  <x:fonts count="8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sz val="10"/>
      <x:color indexed="9"/>
      <x:name val="Arial"/>
    </x:font>
    <x:font>
      <x:b/>
      <x:sz val="16"/>
      <x:color indexed="9"/>
      <x:name val="Arial"/>
    </x:font>
    <x:font>
      <x:b/>
      <x:sz val="10"/>
      <x:color indexed="9"/>
      <x:name val="Arial"/>
    </x:font>
    <x:font>
      <x:b/>
      <x:sz val="10"/>
      <x:color indexed="10"/>
      <x:name val="Arial"/>
    </x:font>
    <x:font>
      <x:i/>
      <x:sz val="10"/>
      <x:color indexed="1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4"/>
      </x:patternFill>
    </x:fill>
    <x:fill>
      <x:patternFill patternType="solid">
        <x:fgColor indexed="15"/>
      </x:patternFill>
    </x:fill>
    <x:fill>
      <x:patternFill patternType="solid">
        <x:fgColor indexed="20"/>
      </x:patternFill>
    </x:fill>
  </x:fills>
  <x:borders count="28">
    <x:border>
      <x:left/>
      <x:right/>
      <x:top/>
      <x:bottom/>
      <x:diagonal/>
    </x:border>
    <x:border>
      <x:left style="thin">
        <x:color indexed="11"/>
      </x:left>
      <x:right/>
      <x:top style="thin">
        <x:color indexed="11"/>
      </x:top>
      <x:bottom/>
      <x:diagonal/>
    </x:border>
    <x:border>
      <x:left/>
      <x:right/>
      <x:top style="thin">
        <x:color indexed="11"/>
      </x:top>
      <x:bottom/>
      <x:diagonal/>
    </x:border>
    <x:border>
      <x:left/>
      <x:right style="thin">
        <x:color indexed="11"/>
      </x:right>
      <x:top style="thin">
        <x:color indexed="11"/>
      </x:top>
      <x:bottom/>
      <x:diagonal/>
    </x:border>
    <x:border>
      <x:left style="thin">
        <x:color indexed="11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indexed="11"/>
      </x:right>
      <x:top/>
      <x:bottom/>
      <x:diagonal/>
    </x:border>
    <x:border>
      <x:left style="thin">
        <x:color indexed="11"/>
      </x:left>
      <x:right/>
      <x:top/>
      <x:bottom style="thin">
        <x:color indexed="12"/>
      </x:bottom>
      <x:diagonal/>
    </x:border>
    <x:border>
      <x:left/>
      <x:right/>
      <x:top/>
      <x:bottom style="thin">
        <x:color indexed="12"/>
      </x:bottom>
      <x:diagonal/>
    </x:border>
    <x:border>
      <x:left style="thin">
        <x:color indexed="11"/>
      </x:left>
      <x:right/>
      <x:top style="thin">
        <x:color indexed="12"/>
      </x:top>
      <x:bottom/>
      <x:diagonal/>
    </x:border>
    <x:border>
      <x:left/>
      <x:right/>
      <x:top style="thin">
        <x:color indexed="12"/>
      </x:top>
      <x:bottom/>
      <x:diagonal/>
    </x:border>
    <x:border>
      <x:left style="thin">
        <x:color indexed="11"/>
      </x:left>
      <x:right/>
      <x:top/>
      <x:bottom style="thin">
        <x:color indexed="13"/>
      </x:bottom>
      <x:diagonal/>
    </x:border>
    <x:border>
      <x:left/>
      <x:right/>
      <x:top/>
      <x:bottom style="thin">
        <x:color indexed="13"/>
      </x:bottom>
      <x:diagonal/>
    </x:border>
    <x:border>
      <x:left style="thin">
        <x:color indexed="13"/>
      </x:left>
      <x:right/>
      <x:top style="thin">
        <x:color indexed="13"/>
      </x:top>
      <x:bottom style="thin">
        <x:color indexed="13"/>
      </x:bottom>
      <x:diagonal/>
    </x:border>
    <x:border>
      <x:left/>
      <x:right/>
      <x:top style="thin">
        <x:color indexed="13"/>
      </x:top>
      <x:bottom style="thin">
        <x:color indexed="13"/>
      </x:bottom>
      <x:diagonal/>
    </x:border>
    <x:border>
      <x:left/>
      <x:right style="thin">
        <x:color indexed="13"/>
      </x:right>
      <x:top style="thin">
        <x:color indexed="13"/>
      </x:top>
      <x:bottom style="thin">
        <x:color indexed="13"/>
      </x:bottom>
      <x:diagonal/>
    </x:border>
    <x:border>
      <x:left style="thin">
        <x:color indexed="13"/>
      </x:left>
      <x:right/>
      <x:top/>
      <x:bottom/>
      <x:diagonal/>
    </x:border>
    <x:border>
      <x:left style="thin">
        <x:color indexed="11"/>
      </x:left>
      <x:right/>
      <x:top style="thin">
        <x:color indexed="13"/>
      </x:top>
      <x:bottom/>
      <x:diagonal/>
    </x:border>
    <x:border>
      <x:left/>
      <x:right/>
      <x:top style="thin">
        <x:color indexed="13"/>
      </x:top>
      <x:bottom/>
      <x:diagonal/>
    </x:border>
    <x:border>
      <x:left style="thin">
        <x:color indexed="11"/>
      </x:left>
      <x:right/>
      <x:top/>
      <x:bottom style="thin">
        <x:color indexed="11"/>
      </x:bottom>
      <x:diagonal/>
    </x:border>
    <x:border>
      <x:left/>
      <x:right/>
      <x:top/>
      <x:bottom style="thin">
        <x:color indexed="11"/>
      </x:bottom>
      <x:diagonal/>
    </x:border>
    <x:border>
      <x:left/>
      <x:right style="thin">
        <x:color indexed="11"/>
      </x:right>
      <x:top/>
      <x:bottom style="thin">
        <x:color indexed="11"/>
      </x:bottom>
      <x:diagonal/>
    </x:border>
    <x:border>
      <x:left style="thin">
        <x:color indexed="11"/>
      </x:left>
      <x:right/>
      <x:top style="thin">
        <x:color indexed="12"/>
      </x:top>
      <x:bottom style="thin">
        <x:color indexed="13"/>
      </x:bottom>
      <x:diagonal/>
    </x:border>
    <x:border>
      <x:left/>
      <x:right/>
      <x:top style="thin">
        <x:color indexed="12"/>
      </x:top>
      <x:bottom style="thin">
        <x:color indexed="13"/>
      </x:bottom>
      <x:diagonal/>
    </x:border>
    <x:border>
      <x:left style="thin">
        <x:color indexed="13"/>
      </x:left>
      <x:right style="thin">
        <x:color indexed="11"/>
      </x:right>
      <x:top/>
      <x:bottom/>
      <x:diagonal/>
    </x:border>
    <x:border>
      <x:left style="thin">
        <x:color indexed="11"/>
      </x:left>
      <x:right/>
      <x:top style="thin">
        <x:color indexed="13"/>
      </x:top>
      <x:bottom style="thin">
        <x:color indexed="11"/>
      </x:bottom>
      <x:diagonal/>
    </x:border>
    <x:border>
      <x:left/>
      <x:right/>
      <x:top style="thin">
        <x:color indexed="13"/>
      </x:top>
      <x:bottom style="thin">
        <x:color indexed="11"/>
      </x:bottom>
      <x:diagonal/>
    </x:border>
    <x:border>
      <x:left style="thin">
        <x:color indexed="13"/>
      </x:left>
      <x:right/>
      <x:top style="thin">
        <x:color indexed="11"/>
      </x:top>
      <x:bottom/>
      <x:diagonal/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87">
    <x:xf numFmtId="0" fontId="0" applyNumberFormat="0" applyFont="1" applyFill="0" applyBorder="0" applyAlignment="1" applyProtection="0">
      <x:alignment vertical="bottom"/>
    </x:xf>
    <x:xf numFmtId="0" fontId="0" applyNumberFormat="1" applyFont="1" applyFill="0" applyBorder="0" applyAlignment="1" applyProtection="0">
      <x:alignment vertical="bottom"/>
    </x:xf>
    <x:xf numFmtId="0" fontId="3" fillId="2" borderId="1" applyNumberFormat="0" applyFont="1" applyFill="1" applyBorder="1" applyAlignment="1" applyProtection="0">
      <x:alignment vertical="center"/>
    </x:xf>
    <x:xf numFmtId="0" fontId="3" fillId="2" borderId="2" applyNumberFormat="0" applyFont="1" applyFill="1" applyBorder="1" applyAlignment="1" applyProtection="0">
      <x:alignment vertical="center"/>
    </x:xf>
    <x:xf numFmtId="0" fontId="0" borderId="2" applyNumberFormat="0" applyFont="1" applyFill="0" applyBorder="1" applyAlignment="1" applyProtection="0">
      <x:alignment vertical="bottom"/>
    </x:xf>
    <x:xf numFmtId="0" fontId="0" borderId="3" applyNumberFormat="0" applyFont="1" applyFill="0" applyBorder="1" applyAlignment="1" applyProtection="0">
      <x:alignment vertical="bottom"/>
    </x:xf>
    <x:xf numFmtId="49" fontId="4" fillId="2" borderId="4" applyNumberFormat="1" applyFont="1" applyFill="1" applyBorder="1" applyAlignment="1" applyProtection="0">
      <x:alignment vertical="center"/>
    </x:xf>
    <x:xf numFmtId="0" fontId="3" fillId="2" borderId="5" applyNumberFormat="0" applyFont="1" applyFill="1" applyBorder="1" applyAlignment="1" applyProtection="0">
      <x:alignment vertical="center"/>
    </x:xf>
    <x:xf numFmtId="0" fontId="0" borderId="5" applyNumberFormat="0" applyFont="1" applyFill="0" applyBorder="1" applyAlignment="1" applyProtection="0">
      <x:alignment vertical="bottom"/>
    </x:xf>
    <x:xf numFmtId="0" fontId="0" borderId="6" applyNumberFormat="0" applyFont="1" applyFill="0" applyBorder="1" applyAlignment="1" applyProtection="0">
      <x:alignment vertical="bottom"/>
    </x:xf>
    <x:xf numFmtId="0" fontId="3" fillId="2" borderId="7" applyNumberFormat="0" applyFont="1" applyFill="1" applyBorder="1" applyAlignment="1" applyProtection="0">
      <x:alignment vertical="center"/>
    </x:xf>
    <x:xf numFmtId="0" fontId="3" fillId="2" borderId="8" applyNumberFormat="0" applyFont="1" applyFill="1" applyBorder="1" applyAlignment="1" applyProtection="0">
      <x:alignment vertical="center"/>
    </x:xf>
    <x:xf numFmtId="49" fontId="5" fillId="2" borderId="9" applyNumberFormat="1" applyFont="1" applyFill="1" applyBorder="1" applyAlignment="1" applyProtection="0">
      <x:alignment vertical="center"/>
    </x:xf>
    <x:xf numFmtId="0" fontId="3" fillId="2" borderId="10" applyNumberFormat="0" applyFont="1" applyFill="1" applyBorder="1" applyAlignment="1" applyProtection="0">
      <x:alignment vertical="center"/>
    </x:xf>
    <x:xf numFmtId="49" fontId="3" fillId="2" borderId="4" applyNumberFormat="1" applyFont="1" applyFill="1" applyBorder="1" applyAlignment="1" applyProtection="0">
      <x:alignment vertical="center"/>
    </x:xf>
    <x:xf numFmtId="0" fontId="3" fillId="2" borderId="11" applyNumberFormat="0" applyFont="1" applyFill="1" applyBorder="1" applyAlignment="1" applyProtection="0">
      <x:alignment vertical="center"/>
    </x:xf>
    <x:xf numFmtId="0" fontId="3" fillId="2" borderId="12" applyNumberFormat="0" applyFont="1" applyFill="1" applyBorder="1" applyAlignment="1" applyProtection="0">
      <x:alignment vertical="center"/>
    </x:xf>
    <x:xf numFmtId="49" fontId="6" fillId="3" borderId="13" applyNumberFormat="1" applyFont="1" applyFill="1" applyBorder="1" applyAlignment="1" applyProtection="0">
      <x:alignment horizontal="center" vertical="center" wrapText="1"/>
    </x:xf>
    <x:xf numFmtId="49" fontId="6" fillId="3" borderId="14" applyNumberFormat="1" applyFont="1" applyFill="1" applyBorder="1" applyAlignment="1" applyProtection="0">
      <x:alignment horizontal="center" vertical="center" wrapText="1"/>
    </x:xf>
    <x:xf numFmtId="49" fontId="6" fillId="3" borderId="15" applyNumberFormat="1" applyFont="1" applyFill="1" applyBorder="1" applyAlignment="1" applyProtection="0">
      <x:alignment horizontal="center" vertical="center" wrapText="1"/>
    </x:xf>
    <x:xf numFmtId="0" fontId="0" borderId="16" applyNumberFormat="0" applyFont="1" applyFill="0" applyBorder="1" applyAlignment="1" applyProtection="0">
      <x:alignment vertical="bottom"/>
    </x:xf>
    <x:xf numFmtId="49" fontId="3" fillId="4" borderId="13" applyNumberFormat="1" applyFont="1" applyFill="1" applyBorder="1" applyAlignment="1" applyProtection="0">
      <x:alignment vertical="center"/>
    </x:xf>
    <x:xf numFmtId="3" fontId="3" fillId="4" borderId="14" applyNumberFormat="1" applyFont="1" applyFill="1" applyBorder="1" applyAlignment="1" applyProtection="0">
      <x:alignment vertical="center"/>
    </x:xf>
    <x:xf numFmtId="49" fontId="3" fillId="4" borderId="15" applyNumberFormat="1" applyFont="1" applyFill="1" applyBorder="1" applyAlignment="1" applyProtection="0">
      <x:alignment vertical="center"/>
    </x:xf>
    <x:xf numFmtId="49" fontId="3" fillId="2" borderId="13" applyNumberFormat="1" applyFont="1" applyFill="1" applyBorder="1" applyAlignment="1" applyProtection="0">
      <x:alignment vertical="center"/>
    </x:xf>
    <x:xf numFmtId="3" fontId="3" fillId="2" borderId="14" applyNumberFormat="1" applyFont="1" applyFill="1" applyBorder="1" applyAlignment="1" applyProtection="0">
      <x:alignment vertical="center"/>
    </x:xf>
    <x:xf numFmtId="49" fontId="3" fillId="2" borderId="15" applyNumberFormat="1" applyFont="1" applyFill="1" applyBorder="1" applyAlignment="1" applyProtection="0">
      <x:alignment vertical="center"/>
    </x:xf>
    <x:xf numFmtId="0" fontId="3" fillId="2" borderId="17" applyNumberFormat="0" applyFont="1" applyFill="1" applyBorder="1" applyAlignment="1" applyProtection="0">
      <x:alignment vertical="center"/>
    </x:xf>
    <x:xf numFmtId="0" fontId="3" fillId="2" borderId="18" applyNumberFormat="0" applyFont="1" applyFill="1" applyBorder="1" applyAlignment="1" applyProtection="0">
      <x:alignment vertical="center"/>
    </x:xf>
    <x:xf numFmtId="49" fontId="5" fillId="2" borderId="4" applyNumberFormat="1" applyFont="1" applyFill="1" applyBorder="1" applyAlignment="1" applyProtection="0">
      <x:alignment vertical="center"/>
    </x:xf>
    <x:xf numFmtId="0" fontId="3" fillId="4" borderId="14" applyNumberFormat="1" applyFont="1" applyFill="1" applyBorder="1" applyAlignment="1" applyProtection="0">
      <x:alignment vertical="center"/>
    </x:xf>
    <x:xf numFmtId="49" fontId="3" fillId="4" borderId="15" applyNumberFormat="1" applyFont="1" applyFill="1" applyBorder="1" applyAlignment="1" applyProtection="0">
      <x:alignment vertical="center" wrapText="1"/>
    </x:xf>
    <x:xf numFmtId="0" fontId="3" fillId="2" borderId="14" applyNumberFormat="1" applyFont="1" applyFill="1" applyBorder="1" applyAlignment="1" applyProtection="0">
      <x:alignment vertical="center"/>
    </x:xf>
    <x:xf numFmtId="49" fontId="3" fillId="2" borderId="15" applyNumberFormat="1" applyFont="1" applyFill="1" applyBorder="1" applyAlignment="1" applyProtection="0">
      <x:alignment vertical="center" wrapText="1"/>
    </x:xf>
    <x:xf numFmtId="0" fontId="3" fillId="2" borderId="4" applyNumberFormat="0" applyFont="1" applyFill="1" applyBorder="1" applyAlignment="1" applyProtection="0">
      <x:alignment vertical="center"/>
    </x:xf>
    <x:xf numFmtId="49" fontId="3" fillId="2" borderId="5" applyNumberFormat="1" applyFont="1" applyFill="1" applyBorder="1" applyAlignment="1" applyProtection="0">
      <x:alignment vertical="center"/>
    </x:xf>
    <x:xf numFmtId="49" fontId="3" fillId="2" borderId="5" applyNumberFormat="1" applyFont="1" applyFill="1" applyBorder="1" applyAlignment="1" applyProtection="0">
      <x:alignment vertical="center" wrapText="1"/>
    </x:xf>
    <x:xf numFmtId="0" fontId="3" fillId="2" borderId="19" applyNumberFormat="0" applyFont="1" applyFill="1" applyBorder="1" applyAlignment="1" applyProtection="0">
      <x:alignment vertical="center"/>
    </x:xf>
    <x:xf numFmtId="0" fontId="3" fillId="2" borderId="20" applyNumberFormat="0" applyFont="1" applyFill="1" applyBorder="1" applyAlignment="1" applyProtection="0">
      <x:alignment vertical="center"/>
    </x:xf>
    <x:xf numFmtId="0" fontId="0" borderId="20" applyNumberFormat="0" applyFont="1" applyFill="0" applyBorder="1" applyAlignment="1" applyProtection="0">
      <x:alignment vertical="bottom"/>
    </x:xf>
    <x:xf numFmtId="0" fontId="0" borderId="21" applyNumberFormat="0" applyFont="1" applyFill="0" applyBorder="1" applyAlignment="1" applyProtection="0">
      <x:alignment vertical="bottom"/>
    </x:xf>
    <x:xf numFmtId="0" fontId="0" applyNumberFormat="1" applyFont="1" applyFill="0" applyBorder="0" applyAlignment="1" applyProtection="0">
      <x:alignment vertical="bottom"/>
    </x:xf>
    <x:xf numFmtId="49" fontId="7" fillId="2" borderId="22" applyNumberFormat="1" applyFont="1" applyFill="1" applyBorder="1" applyAlignment="1" applyProtection="0">
      <x:alignment vertical="center"/>
    </x:xf>
    <x:xf numFmtId="0" fontId="3" fillId="2" borderId="23" applyNumberFormat="0" applyFont="1" applyFill="1" applyBorder="1" applyAlignment="1" applyProtection="0">
      <x:alignment vertical="center"/>
    </x:xf>
    <x:xf numFmtId="0" fontId="0" borderId="24" applyNumberFormat="0" applyFont="1" applyFill="0" applyBorder="1" applyAlignment="1" applyProtection="0">
      <x:alignment vertical="bottom"/>
    </x:xf>
    <x:xf numFmtId="49" fontId="3" fillId="4" borderId="14" applyNumberFormat="1" applyFont="1" applyFill="1" applyBorder="1" applyAlignment="1" applyProtection="0">
      <x:alignment vertical="center"/>
    </x:xf>
    <x:xf numFmtId="59" fontId="3" fillId="4" borderId="14" applyNumberFormat="1" applyFont="1" applyFill="1" applyBorder="1" applyAlignment="1" applyProtection="0">
      <x:alignment vertical="center"/>
    </x:xf>
    <x:xf numFmtId="1" fontId="3" fillId="4" borderId="14" applyNumberFormat="1" applyFont="1" applyFill="1" applyBorder="1" applyAlignment="1" applyProtection="0">
      <x:alignment vertical="center"/>
    </x:xf>
    <x:xf numFmtId="49" fontId="3" fillId="5" borderId="14" applyNumberFormat="1" applyFont="1" applyFill="1" applyBorder="1" applyAlignment="1" applyProtection="0">
      <x:alignment vertical="center"/>
    </x:xf>
    <x:xf numFmtId="60" fontId="3" fillId="5" borderId="14" applyNumberFormat="1" applyFont="1" applyFill="1" applyBorder="1" applyAlignment="1" applyProtection="0">
      <x:alignment vertical="center"/>
    </x:xf>
    <x:xf numFmtId="0" fontId="3" fillId="5" borderId="14" applyNumberFormat="0" applyFont="1" applyFill="1" applyBorder="1" applyAlignment="1" applyProtection="0">
      <x:alignment vertical="center"/>
    </x:xf>
    <x:xf numFmtId="0" fontId="3" fillId="4" borderId="14" applyNumberFormat="0" applyFont="1" applyFill="1" applyBorder="1" applyAlignment="1" applyProtection="0">
      <x:alignment vertical="center" wrapText="1"/>
    </x:xf>
    <x:xf numFmtId="0" fontId="3" fillId="4" borderId="15" applyNumberFormat="1" applyFont="1" applyFill="1" applyBorder="1" applyAlignment="1" applyProtection="0">
      <x:alignment vertical="center"/>
    </x:xf>
    <x:xf numFmtId="49" fontId="3" fillId="2" borderId="14" applyNumberFormat="1" applyFont="1" applyFill="1" applyBorder="1" applyAlignment="1" applyProtection="0">
      <x:alignment vertical="center"/>
    </x:xf>
    <x:xf numFmtId="59" fontId="3" fillId="2" borderId="14" applyNumberFormat="1" applyFont="1" applyFill="1" applyBorder="1" applyAlignment="1" applyProtection="0">
      <x:alignment vertical="center"/>
    </x:xf>
    <x:xf numFmtId="1" fontId="3" fillId="2" borderId="14" applyNumberFormat="1" applyFont="1" applyFill="1" applyBorder="1" applyAlignment="1" applyProtection="0">
      <x:alignment vertical="center"/>
    </x:xf>
    <x:xf numFmtId="0" fontId="3" fillId="2" borderId="14" applyNumberFormat="0" applyFont="1" applyFill="1" applyBorder="1" applyAlignment="1" applyProtection="0">
      <x:alignment vertical="center" wrapText="1"/>
    </x:xf>
    <x:xf numFmtId="0" fontId="3" fillId="2" borderId="15" applyNumberFormat="1" applyFont="1" applyFill="1" applyBorder="1" applyAlignment="1" applyProtection="0">
      <x:alignment vertical="center"/>
    </x:xf>
    <x:xf numFmtId="49" fontId="3" fillId="4" borderId="14" applyNumberFormat="1" applyFont="1" applyFill="1" applyBorder="1" applyAlignment="1" applyProtection="0">
      <x:alignment vertical="center" wrapText="1"/>
    </x:xf>
    <x:xf numFmtId="49" fontId="3" fillId="2" borderId="14" applyNumberFormat="1" applyFont="1" applyFill="1" applyBorder="1" applyAlignment="1" applyProtection="0">
      <x:alignment vertical="center" wrapText="1"/>
    </x:xf>
    <x:xf numFmtId="0" fontId="0" borderId="25" applyNumberFormat="0" applyFont="1" applyFill="0" applyBorder="1" applyAlignment="1" applyProtection="0">
      <x:alignment vertical="bottom"/>
    </x:xf>
    <x:xf numFmtId="0" fontId="0" borderId="26" applyNumberFormat="0" applyFont="1" applyFill="0" applyBorder="1" applyAlignment="1" applyProtection="0">
      <x:alignment vertical="bottom"/>
    </x:xf>
    <x:xf numFmtId="0" fontId="0" applyNumberFormat="1" applyFont="1" applyFill="0" applyBorder="0" applyAlignment="1" applyProtection="0">
      <x:alignment vertical="bottom"/>
    </x:xf>
    <x:xf numFmtId="61" fontId="3" fillId="4" borderId="14" applyNumberFormat="1" applyFont="1" applyFill="1" applyBorder="1" applyAlignment="1" applyProtection="0">
      <x:alignment vertical="center"/>
    </x:xf>
    <x:xf numFmtId="2" fontId="3" fillId="5" borderId="14" applyNumberFormat="1" applyFont="1" applyFill="1" applyBorder="1" applyAlignment="1" applyProtection="0">
      <x:alignment vertical="center"/>
    </x:xf>
    <x:xf numFmtId="0" fontId="3" fillId="4" borderId="14" applyNumberFormat="0" applyFont="1" applyFill="1" applyBorder="1" applyAlignment="1" applyProtection="0">
      <x:alignment vertical="center"/>
    </x:xf>
    <x:xf numFmtId="59" fontId="3" fillId="4" borderId="15" applyNumberFormat="1" applyFont="1" applyFill="1" applyBorder="1" applyAlignment="1" applyProtection="0">
      <x:alignment vertical="center"/>
    </x:xf>
    <x:xf numFmtId="61" fontId="3" fillId="2" borderId="14" applyNumberFormat="1" applyFont="1" applyFill="1" applyBorder="1" applyAlignment="1" applyProtection="0">
      <x:alignment vertical="center"/>
    </x:xf>
    <x:xf numFmtId="0" fontId="3" fillId="2" borderId="14" applyNumberFormat="0" applyFont="1" applyFill="1" applyBorder="1" applyAlignment="1" applyProtection="0">
      <x:alignment vertical="center"/>
    </x:xf>
    <x:xf numFmtId="59" fontId="3" fillId="2" borderId="15" applyNumberFormat="1" applyFont="1" applyFill="1" applyBorder="1" applyAlignment="1" applyProtection="0">
      <x:alignment vertical="center"/>
    </x:xf>
    <x:xf numFmtId="0" fontId="0" applyNumberFormat="1" applyFont="1" applyFill="0" applyBorder="0" applyAlignment="1" applyProtection="0">
      <x:alignment vertical="bottom"/>
    </x:xf>
    <x:xf numFmtId="49" fontId="3" fillId="4" borderId="13" applyNumberFormat="1" applyFont="1" applyFill="1" applyBorder="1" applyAlignment="1" applyProtection="0">
      <x:alignment vertical="center" wrapText="1"/>
    </x:xf>
    <x:xf numFmtId="49" fontId="3" fillId="2" borderId="13" applyNumberFormat="1" applyFont="1" applyFill="1" applyBorder="1" applyAlignment="1" applyProtection="0">
      <x:alignment vertical="center" wrapText="1"/>
    </x:xf>
    <x:xf numFmtId="0" fontId="3" fillId="4" borderId="14" applyNumberFormat="1" applyFont="1" applyFill="1" applyBorder="1" applyAlignment="1" applyProtection="0">
      <x:alignment vertical="center" wrapText="1"/>
    </x:xf>
    <x:xf numFmtId="61" fontId="3" fillId="4" borderId="14" applyNumberFormat="1" applyFont="1" applyFill="1" applyBorder="1" applyAlignment="1" applyProtection="0">
      <x:alignment vertical="center" wrapText="1"/>
    </x:xf>
    <x:xf numFmtId="0" fontId="3" fillId="2" borderId="14" applyNumberFormat="1" applyFont="1" applyFill="1" applyBorder="1" applyAlignment="1" applyProtection="0">
      <x:alignment vertical="center" wrapText="1"/>
    </x:xf>
    <x:xf numFmtId="61" fontId="3" fillId="2" borderId="14" applyNumberFormat="1" applyFont="1" applyFill="1" applyBorder="1" applyAlignment="1" applyProtection="0">
      <x:alignment vertical="center" wrapText="1"/>
    </x:xf>
    <x:xf numFmtId="0" fontId="0" applyNumberFormat="1" applyFont="1" applyFill="0" applyBorder="0" applyAlignment="1" applyProtection="0">
      <x:alignment vertical="bottom"/>
    </x:xf>
    <x:xf numFmtId="0" fontId="3" fillId="2" borderId="27" applyNumberFormat="0" applyFont="1" applyFill="1" applyBorder="1" applyAlignment="1" applyProtection="0">
      <x:alignment vertical="center"/>
    </x:xf>
    <x:xf numFmtId="49" fontId="5" fillId="2" borderId="3" applyNumberFormat="1" applyFont="1" applyFill="1" applyBorder="1" applyAlignment="1" applyProtection="0">
      <x:alignment vertical="center"/>
    </x:xf>
    <x:xf numFmtId="0" fontId="3" fillId="2" borderId="16" applyNumberFormat="0" applyFont="1" applyFill="1" applyBorder="1" applyAlignment="1" applyProtection="0">
      <x:alignment vertical="center"/>
    </x:xf>
    <x:xf numFmtId="49" fontId="3" fillId="2" borderId="6" applyNumberFormat="1" applyFont="1" applyFill="1" applyBorder="1" applyAlignment="1" applyProtection="0">
      <x:alignment vertical="center"/>
    </x:xf>
    <x:xf numFmtId="0" fontId="3" fillId="2" borderId="6" applyNumberFormat="0" applyFont="1" applyFill="1" applyBorder="1" applyAlignment="1" applyProtection="0">
      <x:alignment vertical="center"/>
    </x:xf>
    <x:xf numFmtId="49" fontId="5" fillId="2" borderId="6" applyNumberFormat="1" applyFont="1" applyFill="1" applyBorder="1" applyAlignment="1" applyProtection="0">
      <x:alignment vertical="center"/>
    </x:xf>
    <x:xf numFmtId="49" fontId="3" fillId="2" borderId="6" applyNumberFormat="1" applyFont="1" applyFill="1" applyBorder="1" applyAlignment="1" applyProtection="0">
      <x:alignment vertical="center" wrapText="1"/>
    </x:xf>
    <x:xf numFmtId="0" fontId="0" applyNumberFormat="1" applyFont="1" applyFill="0" applyBorder="0" applyAlignment="1" applyProtection="0">
      <x:alignment vertical="bottom"/>
    </x:xf>
    <x:xf numFmtId="0" fontId="0" applyNumberFormat="1" applyFont="1" applyFill="0" applyBorder="0" applyAlignment="1" applyProtection="0">
      <x:alignment vertical="bottom"/>
    </x:xf>
  </x:cellXfs>
  <x:cellStyles count="1">
    <x:cellStyle name="Normal" xfId="0"/>
  </x:cellStyles>
  <x:dxfs count="4">
    <x:dxf>
      <x:font>
        <x:b/>
        <x:color rgb="ff9c2d1b"/>
      </x:font>
      <x:fill>
        <x:patternFill>
          <x:bgColor indexed="17"/>
        </x:patternFill>
      </x:fill>
    </x:dxf>
    <x:dxf>
      <x:font>
        <x:color rgb="ff855600"/>
      </x:font>
      <x:fill>
        <x:patternFill>
          <x:bgColor indexed="17"/>
        </x:patternFill>
      </x:fill>
    </x:dxf>
    <x:dxf>
      <x:font>
        <x:b/>
        <x:color rgb="ff9c2d1b"/>
      </x:font>
      <x:fill>
        <x:patternFill>
          <x:bgColor indexed="17"/>
        </x:patternFill>
      </x:fill>
    </x:dxf>
    <x:dxf>
      <x:font>
        <x:b/>
        <x:color rgb="ff9c2d1b"/>
      </x:font>
      <x:fill>
        <x:patternFill>
          <x:bgColor indexed="1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20334A"/>
      <x:rgbColor rgb="FFFFFFFF"/>
      <x:rgbColor rgb="FFAAAAAA"/>
      <x:rgbColor rgb="FFA5B5C6"/>
      <x:rgbColor rgb="FF729FB3"/>
      <x:rgbColor rgb="FF2D4B68"/>
      <x:rgbColor rgb="FFD0DFE5"/>
      <x:rgbColor rgb="FF5C6876"/>
      <x:rgbColor rgb="00000000"/>
      <x:rgbColor rgb="FFFCE5DD"/>
      <x:rgbColor rgb="FF9C2D1B"/>
      <x:rgbColor rgb="FFFFF2CC"/>
      <x:rgbColor rgb="FF85560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dc4b04eb246a5" /><Relationship Type="http://schemas.openxmlformats.org/officeDocument/2006/relationships/theme" Target="/xl/theme/theme1.xml" Id="R0b3c00f5d29c4767" /><Relationship Type="http://schemas.openxmlformats.org/officeDocument/2006/relationships/sharedStrings" Target="/xl/sharedStrings.xml" Id="Rf9be2fa8ab7a47b7" /><Relationship Type="http://schemas.openxmlformats.org/officeDocument/2006/relationships/worksheet" Target="/xl/worksheets/sheet1.xml" Id="Re0173537a7b34165" /><Relationship Type="http://schemas.openxmlformats.org/officeDocument/2006/relationships/worksheet" Target="/xl/worksheets/sheet2.xml" Id="R2f5c3006b2d94385" /><Relationship Type="http://schemas.openxmlformats.org/officeDocument/2006/relationships/worksheet" Target="/xl/worksheets/sheet3.xml" Id="R29157269eb6a4a2d" /><Relationship Type="http://schemas.openxmlformats.org/officeDocument/2006/relationships/worksheet" Target="/xl/worksheets/sheet4.xml" Id="R3f2279be48c048bb" /><Relationship Type="http://schemas.openxmlformats.org/officeDocument/2006/relationships/worksheet" Target="/xl/worksheets/sheet5.xml" Id="Rac46edc554474c33" /><Relationship Type="http://schemas.openxmlformats.org/officeDocument/2006/relationships/worksheet" Target="/xl/worksheets/sheet6.xml" Id="R18f4c2cf5daa4b01" /><Relationship Type="http://schemas.openxmlformats.org/officeDocument/2006/relationships/worksheet" Target="/xl/worksheets/sheet7.xml" Id="R7d06312ad88a425f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</a:spPr>
      <a:bodyPr rot="0" spcFirstLastPara="1" vert="horz" wrap="square" lIns="0" tIns="0" rIns="0" bIns="0" numCol="1" spcCol="38100" rtlCol="0" anchor="t">
        <a:sp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Calibri"/>
            <a:ea typeface="Calibri"/>
            <a:cs typeface="Calibri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0" tIns="0" rIns="0" bIns="0" numCol="1" spcCol="38100" rtlCol="0" anchor="t">
        <a:sp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Calibri"/>
            <a:ea typeface="Calibri"/>
            <a:cs typeface="Calibri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31" style="1" customWidth="1"/>
    <x:col min="2" max="2" width="17" style="1" customWidth="1"/>
    <x:col min="3" max="3" width="109" style="1" customWidth="1"/>
    <x:col min="4" max="5" width="8.85155963897705" style="1" customWidth="1"/>
    <x:col min="6" max="16384" width="8.85155963897705" style="1" customWidth="1"/>
  </x:cols>
  <x:sheetData>
    <x:row r="1" ht="23" customHeight="1">
      <x:c r="A1" s="2"/>
      <x:c r="B1" s="3"/>
      <x:c r="C1" s="3"/>
      <x:c r="D1" s="4"/>
      <x:c r="E1" s="5"/>
    </x:row>
    <x:row r="2" ht="23" customHeight="1">
      <x:c r="A2" s="6" t="s">
        <x:v>0</x:v>
      </x:c>
      <x:c r="B2" s="7"/>
      <x:c r="C2" s="7"/>
      <x:c r="D2" s="8"/>
      <x:c r="E2" s="9"/>
    </x:row>
    <x:row r="3" ht="23" customHeight="1">
      <x:c r="A3" s="10"/>
      <x:c r="B3" s="11"/>
      <x:c r="C3" s="11"/>
      <x:c r="D3" s="8"/>
      <x:c r="E3" s="9"/>
    </x:row>
    <x:row r="4" ht="23" customHeight="1">
      <x:c r="A4" s="12" t="s">
        <x:v>1</x:v>
      </x:c>
      <x:c r="B4" s="13"/>
      <x:c r="C4" s="13"/>
      <x:c r="D4" s="8"/>
      <x:c r="E4" s="9"/>
    </x:row>
    <x:row r="5" ht="23" customHeight="1">
      <x:c r="A5" s="14" t="s">
        <x:v>2</x:v>
      </x:c>
      <x:c r="B5" s="7"/>
      <x:c r="C5" s="7"/>
      <x:c r="D5" s="8"/>
      <x:c r="E5" s="9"/>
    </x:row>
    <x:row r="6" ht="23" customHeight="1">
      <x:c r="A6" s="15"/>
      <x:c r="B6" s="16"/>
      <x:c r="C6" s="16"/>
      <x:c r="D6" s="8"/>
      <x:c r="E6" s="9"/>
    </x:row>
    <x:row r="7" ht="36" customHeight="1">
      <x:c r="A7" s="17" t="s">
        <x:v>3</x:v>
      </x:c>
      <x:c r="B7" s="18" t="s">
        <x:v>4</x:v>
      </x:c>
      <x:c r="C7" s="19" t="s">
        <x:v>5</x:v>
      </x:c>
      <x:c r="D7" s="20"/>
      <x:c r="E7" s="9"/>
    </x:row>
    <x:row r="8" ht="23" customHeight="1">
      <x:c r="A8" s="21" t="s">
        <x:v>6</x:v>
      </x:c>
      <x:c r="B8" s="22" t="n">
        <x:f>_xlfn.COUNTIFS('Locations'!C6:C453,"landmark")</x:f>
        <x:v>71</x:v>
      </x:c>
      <x:c r="C8" s="23" t="s">
        <x:v>7</x:v>
      </x:c>
      <x:c r="D8" s="20"/>
      <x:c r="E8" s="9"/>
    </x:row>
    <x:row r="9" ht="23" customHeight="1">
      <x:c r="A9" s="24" t="s">
        <x:v>8</x:v>
      </x:c>
      <x:c r="B9" s="25" t="n">
        <x:f>_xlfn.COUNTIFS('Locations'!C6:C453,"path_point")</x:f>
        <x:v>377</x:v>
      </x:c>
      <x:c r="C9" s="26" t="s">
        <x:v>9</x:v>
      </x:c>
      <x:c r="D9" s="20"/>
      <x:c r="E9" s="9"/>
    </x:row>
    <x:row r="10" ht="23" customHeight="1">
      <x:c r="A10" s="21" t="s">
        <x:v>10</x:v>
      </x:c>
      <x:c r="B10" s="22" t="n">
        <x:f>COUNTA('Connections'!A6:A590)</x:f>
        <x:v>585</x:v>
      </x:c>
      <x:c r="C10" s="23" t="s">
        <x:v>11</x:v>
      </x:c>
      <x:c r="D10" s="20"/>
      <x:c r="E10" s="9"/>
    </x:row>
    <x:row r="11" ht="23" customHeight="1">
      <x:c r="A11" s="24" t="s">
        <x:v>12</x:v>
      </x:c>
      <x:c r="B11" s="25" t="n">
        <x:f>_xlfn.COUNTIFS('Connections'!D6:D590,"TRUE")</x:f>
        <x:v>570</x:v>
      </x:c>
      <x:c r="C11" s="26" t="s">
        <x:v>13</x:v>
      </x:c>
      <x:c r="D11" s="20"/>
      <x:c r="E11" s="9"/>
    </x:row>
    <x:row r="12" ht="23" customHeight="1">
      <x:c r="A12" s="21" t="s">
        <x:v>14</x:v>
      </x:c>
      <x:c r="B12" s="22" t="n">
        <x:f>_xlfn.COUNTIFS('Connections'!D6:D590,"FALSE")</x:f>
        <x:v>14</x:v>
      </x:c>
      <x:c r="C12" s="23" t="s">
        <x:v>15</x:v>
      </x:c>
      <x:c r="D12" s="20"/>
      <x:c r="E12" s="9"/>
    </x:row>
    <x:row r="13" ht="23" customHeight="1">
      <x:c r="A13" s="24" t="s">
        <x:v>16</x:v>
      </x:c>
      <x:c r="B13" s="25" t="n">
        <x:f>_xlfn.COUNTIFS('Connections'!F6:F590,"checked")</x:f>
        <x:v>0</x:v>
      </x:c>
      <x:c r="C13" s="26" t="s">
        <x:v>17</x:v>
      </x:c>
      <x:c r="D13" s="20"/>
      <x:c r="E13" s="9"/>
    </x:row>
    <x:row r="14" ht="23" customHeight="1">
      <x:c r="A14" s="21" t="s">
        <x:v>18</x:v>
      </x:c>
      <x:c r="B14" s="22" t="n">
        <x:f>_xlfn.COUNTIFS('Connections'!G6:G590,"yes")</x:f>
        <x:v>0</x:v>
      </x:c>
      <x:c r="C14" s="23" t="s">
        <x:v>19</x:v>
      </x:c>
      <x:c r="D14" s="20"/>
      <x:c r="E14" s="9"/>
    </x:row>
    <x:row r="15" ht="23" customHeight="1">
      <x:c r="A15" s="27"/>
      <x:c r="B15" s="28"/>
      <x:c r="C15" s="28"/>
      <x:c r="D15" s="8"/>
      <x:c r="E15" s="9"/>
    </x:row>
    <x:row r="16" ht="23" customHeight="1">
      <x:c r="A16" s="29" t="s">
        <x:v>20</x:v>
      </x:c>
      <x:c r="B16" s="7"/>
      <x:c r="C16" s="7"/>
      <x:c r="D16" s="8"/>
      <x:c r="E16" s="9"/>
    </x:row>
    <x:row r="17" ht="23" customHeight="1">
      <x:c r="A17" s="15"/>
      <x:c r="B17" s="16"/>
      <x:c r="C17" s="16"/>
      <x:c r="D17" s="8"/>
      <x:c r="E17" s="9"/>
    </x:row>
    <x:row r="18" ht="36" customHeight="1">
      <x:c r="A18" s="17" t="s">
        <x:v>21</x:v>
      </x:c>
      <x:c r="B18" s="18" t="s">
        <x:v>22</x:v>
      </x:c>
      <x:c r="C18" s="19" t="s">
        <x:v>23</x:v>
      </x:c>
      <x:c r="D18" s="20"/>
      <x:c r="E18" s="9"/>
    </x:row>
    <x:row r="19" ht="34" customHeight="1">
      <x:c r="A19" s="21" t="s">
        <x:v>24</x:v>
      </x:c>
      <x:c r="B19" s="30">
        <x:v>1</x:v>
      </x:c>
      <x:c r="C19" s="31" t="s">
        <x:v>25</x:v>
      </x:c>
      <x:c r="D19" s="20"/>
      <x:c r="E19" s="9"/>
    </x:row>
    <x:row r="20" ht="34" customHeight="1">
      <x:c r="A20" s="24" t="s">
        <x:v>24</x:v>
      </x:c>
      <x:c r="B20" s="32">
        <x:v>2</x:v>
      </x:c>
      <x:c r="C20" s="33" t="s">
        <x:v>26</x:v>
      </x:c>
      <x:c r="D20" s="20"/>
      <x:c r="E20" s="9"/>
    </x:row>
    <x:row r="21" ht="34" customHeight="1">
      <x:c r="A21" s="21" t="s">
        <x:v>27</x:v>
      </x:c>
      <x:c r="B21" s="30">
        <x:v>3</x:v>
      </x:c>
      <x:c r="C21" s="31" t="s">
        <x:v>28</x:v>
      </x:c>
      <x:c r="D21" s="20"/>
      <x:c r="E21" s="9"/>
    </x:row>
    <x:row r="22" ht="34" customHeight="1">
      <x:c r="A22" s="24" t="s">
        <x:v>29</x:v>
      </x:c>
      <x:c r="B22" s="32">
        <x:v>4</x:v>
      </x:c>
      <x:c r="C22" s="33" t="s">
        <x:v>30</x:v>
      </x:c>
      <x:c r="D22" s="20"/>
      <x:c r="E22" s="9"/>
    </x:row>
    <x:row r="23" ht="34" customHeight="1">
      <x:c r="A23" s="21" t="s">
        <x:v>31</x:v>
      </x:c>
      <x:c r="B23" s="30">
        <x:v>5</x:v>
      </x:c>
      <x:c r="C23" s="31" t="s">
        <x:v>32</x:v>
      </x:c>
      <x:c r="D23" s="20"/>
      <x:c r="E23" s="9"/>
    </x:row>
    <x:row r="24" ht="23" customHeight="1">
      <x:c r="A24" s="27"/>
      <x:c r="B24" s="28"/>
      <x:c r="C24" s="28"/>
      <x:c r="D24" s="8"/>
      <x:c r="E24" s="9"/>
    </x:row>
    <x:row r="25" ht="23" customHeight="1">
      <x:c r="A25" s="29" t="s">
        <x:v>33</x:v>
      </x:c>
      <x:c r="B25" s="7"/>
      <x:c r="C25" s="7"/>
      <x:c r="D25" s="8"/>
      <x:c r="E25" s="9"/>
    </x:row>
    <x:row r="26" ht="23" customHeight="1">
      <x:c r="A26" s="34"/>
      <x:c r="B26" s="7"/>
      <x:c r="C26" s="7"/>
      <x:c r="D26" s="8"/>
      <x:c r="E26" s="9"/>
    </x:row>
    <x:row r="27" ht="23" customHeight="1">
      <x:c r="A27" s="14" t="s">
        <x:v>34</x:v>
      </x:c>
      <x:c r="B27" s="7"/>
      <x:c r="C27" s="35" t="str">
        <x:v>All 448 points in one ID-based table. Winslow Building (L071) and N71 are separate connected locations.</x:v>
      </x:c>
      <x:c r="D27" s="8"/>
      <x:c r="E27" s="9"/>
    </x:row>
    <x:row r="28" ht="23" customHeight="1">
      <x:c r="A28" s="14" t="s">
        <x:v>10</x:v>
      </x:c>
      <x:c r="B28" s="7"/>
      <x:c r="C28" s="35" t="str">
        <x:v>584 source edges plus the Winslow Building–N71 connection (E0585). Corrections are logged in Issues.</x:v>
      </x:c>
      <x:c r="D28" s="8"/>
      <x:c r="E28" s="9"/>
    </x:row>
    <x:row r="29" ht="23" customHeight="1">
      <x:c r="A29" s="14" t="s">
        <x:v>35</x:v>
      </x:c>
      <x:c r="B29" s="7"/>
      <x:c r="C29" s="35" t="s">
        <x:v>36</x:v>
      </x:c>
      <x:c r="D29" s="8"/>
      <x:c r="E29" s="9"/>
    </x:row>
    <x:row r="30" ht="23" customHeight="1">
      <x:c r="A30" s="14" t="s">
        <x:v>37</x:v>
      </x:c>
      <x:c r="B30" s="7"/>
      <x:c r="C30" s="35" t="str">
        <x:v>Original source records with the user-requested Winslow Building–N71 link appended to Edges row 586.</x:v>
      </x:c>
      <x:c r="D30" s="8"/>
      <x:c r="E30" s="9"/>
    </x:row>
    <x:row r="31" ht="23" customHeight="1">
      <x:c r="A31" s="34"/>
      <x:c r="B31" s="7"/>
      <x:c r="C31" s="7"/>
      <x:c r="D31" s="8"/>
      <x:c r="E31" s="9"/>
    </x:row>
    <x:row r="32" ht="23" customHeight="1">
      <x:c r="A32" s="29" t="s">
        <x:v>38</x:v>
      </x:c>
      <x:c r="B32" s="7"/>
      <x:c r="C32" s="7"/>
      <x:c r="D32" s="8"/>
      <x:c r="E32" s="9"/>
    </x:row>
    <x:row r="33" ht="23" customHeight="1">
      <x:c r="A33" s="34"/>
      <x:c r="B33" s="7"/>
      <x:c r="C33" s="7"/>
      <x:c r="D33" s="8"/>
      <x:c r="E33" s="9"/>
    </x:row>
    <x:row r="34" ht="23" customHeight="1">
      <x:c r="A34" s="14" t="s">
        <x:v>39</x:v>
      </x:c>
      <x:c r="B34" s="7"/>
      <x:c r="C34" s="7"/>
      <x:c r="D34" s="8"/>
      <x:c r="E34" s="9"/>
    </x:row>
    <x:row r="35" ht="23" customHeight="1">
      <x:c r="A35" s="14" t="s">
        <x:v>40</x:v>
      </x:c>
      <x:c r="B35" s="7"/>
      <x:c r="C35" s="7"/>
      <x:c r="D35" s="8"/>
      <x:c r="E35" s="9"/>
    </x:row>
    <x:row r="36" ht="23" customHeight="1">
      <x:c r="A36" s="34"/>
      <x:c r="B36" s="7"/>
      <x:c r="C36" s="7"/>
      <x:c r="D36" s="8"/>
      <x:c r="E36" s="9"/>
    </x:row>
    <x:row r="37" ht="23" customHeight="1">
      <x:c r="A37" s="29" t="s">
        <x:v>41</x:v>
      </x:c>
      <x:c r="B37" s="7"/>
      <x:c r="C37" s="7"/>
      <x:c r="D37" s="8"/>
      <x:c r="E37" s="9"/>
    </x:row>
    <x:row r="38" ht="23" customHeight="1">
      <x:c r="A38" s="34"/>
      <x:c r="B38" s="7"/>
      <x:c r="C38" s="7"/>
      <x:c r="D38" s="8"/>
      <x:c r="E38" s="9"/>
    </x:row>
    <x:row r="39" ht="34" customHeight="1">
      <x:c r="A39" s="14" t="s">
        <x:v>42</x:v>
      </x:c>
      <x:c r="B39" s="7"/>
      <x:c r="C39" s="36" t="s">
        <x:v>43</x:v>
      </x:c>
      <x:c r="D39" s="8"/>
      <x:c r="E39" s="9"/>
    </x:row>
    <x:row r="40" ht="34" customHeight="1">
      <x:c r="A40" s="14" t="s">
        <x:v>44</x:v>
      </x:c>
      <x:c r="B40" s="7"/>
      <x:c r="C40" s="36" t="s">
        <x:v>45</x:v>
      </x:c>
      <x:c r="D40" s="8"/>
      <x:c r="E40" s="9"/>
    </x:row>
    <x:row r="41" ht="34" customHeight="1">
      <x:c r="A41" s="14" t="s">
        <x:v>46</x:v>
      </x:c>
      <x:c r="B41" s="7"/>
      <x:c r="C41" s="36" t="s">
        <x:v>47</x:v>
      </x:c>
      <x:c r="D41" s="8"/>
      <x:c r="E41" s="9"/>
    </x:row>
    <x:row r="42" ht="23" customHeight="1">
      <x:c r="A42" s="34"/>
      <x:c r="B42" s="7"/>
      <x:c r="C42" s="7"/>
      <x:c r="D42" s="8"/>
      <x:c r="E42" s="9"/>
    </x:row>
    <x:row r="43" ht="23" customHeight="1">
      <x:c r="A43" s="37"/>
      <x:c r="B43" s="38"/>
      <x:c r="C43" s="38"/>
      <x:c r="D43" s="39"/>
      <x:c r="E43" s="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" style="41" customWidth="1"/>
    <x:col min="2" max="2" width="64" style="41" customWidth="1"/>
    <x:col min="3" max="3" width="18" style="41" customWidth="1"/>
    <x:col min="4" max="5" width="20" style="41" customWidth="1"/>
    <x:col min="6" max="6" width="14" style="41" customWidth="1"/>
    <x:col min="7" max="7" width="18" style="41" customWidth="1"/>
    <x:col min="8" max="8" width="22" style="41" customWidth="1"/>
    <x:col min="9" max="9" width="18" style="41" customWidth="1"/>
    <x:col min="10" max="10" width="17" style="41" customWidth="1"/>
    <x:col min="11" max="11" width="22" style="41" customWidth="1"/>
    <x:col min="12" max="12" width="66" style="41" customWidth="1"/>
    <x:col min="13" max="13" width="19" style="41" customWidth="1"/>
    <x:col min="14" max="14" width="15" style="41" customWidth="1"/>
    <x:col min="15" max="15" width="8.85155963897705" style="41" customWidth="1"/>
    <x:col min="16" max="16384" width="8.85155963897705" style="41" customWidth="1"/>
  </x:cols>
  <x:sheetData>
    <x:row r="1" ht="23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5"/>
    </x:row>
    <x:row r="2" ht="23" customHeight="1">
      <x:c r="A2" s="6" t="s">
        <x:v>34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9"/>
    </x:row>
    <x:row r="3" ht="23" customHeight="1">
      <x:c r="A3" s="10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9"/>
    </x:row>
    <x:row r="4" ht="23" customHeight="1">
      <x:c r="A4" s="42" t="s">
        <x:v>48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9"/>
    </x:row>
    <x:row r="5" ht="36" customHeight="1">
      <x:c r="A5" s="17" t="s">
        <x:v>49</x:v>
      </x:c>
      <x:c r="B5" s="18" t="s">
        <x:v>50</x:v>
      </x:c>
      <x:c r="C5" s="18" t="s">
        <x:v>51</x:v>
      </x:c>
      <x:c r="D5" s="18" t="s">
        <x:v>52</x:v>
      </x:c>
      <x:c r="E5" s="18" t="s">
        <x:v>53</x:v>
      </x:c>
      <x:c r="F5" s="18" t="s">
        <x:v>54</x:v>
      </x:c>
      <x:c r="G5" s="18" t="s">
        <x:v>55</x:v>
      </x:c>
      <x:c r="H5" s="18" t="s">
        <x:v>56</x:v>
      </x:c>
      <x:c r="I5" s="18" t="s">
        <x:v>57</x:v>
      </x:c>
      <x:c r="J5" s="18" t="s">
        <x:v>58</x:v>
      </x:c>
      <x:c r="K5" s="18" t="s">
        <x:v>59</x:v>
      </x:c>
      <x:c r="L5" s="18" t="s">
        <x:v>60</x:v>
      </x:c>
      <x:c r="M5" s="18" t="s">
        <x:v>61</x:v>
      </x:c>
      <x:c r="N5" s="19" t="s">
        <x:v>62</x:v>
      </x:c>
      <x:c r="O5" s="44"/>
    </x:row>
    <x:row r="6" ht="23" customHeight="1">
      <x:c r="A6" s="21" t="s">
        <x:v>63</x:v>
      </x:c>
      <x:c r="B6" s="45" t="s">
        <x:v>64</x:v>
      </x:c>
      <x:c r="C6" s="45" t="s">
        <x:v>65</x:v>
      </x:c>
      <x:c r="D6" s="46">
        <x:v>42.7303527304942</x:v>
      </x:c>
      <x:c r="E6" s="46">
        <x:v>-73.6799496283524</x:v>
      </x:c>
      <x:c r="F6" s="47" t="n">
        <x:f>_xlfn.COUNTIFS('Connections'!$B$6:$B$590,A6)+_xlfn.COUNTIFS('Connections'!$C$6:$C$590,A6)</x:f>
        <x:v>1</x:v>
      </x:c>
      <x:c r="G6" s="47" t="n">
        <x:f>_xlfn.COUNTIFS('Connections'!$B$6:$B$590,A6,'Connections'!$D$6:$D$590,"TRUE")+_xlfn.COUNTIFS('Connections'!$C$6:$C$590,A6,'Connections'!$D$6:$D$590,"TRUE")</x:f>
        <x:v>1</x:v>
      </x:c>
      <x:c r="H6" s="48" t="s">
        <x:v>66</x:v>
      </x:c>
      <x:c r="I6" s="48" t="s">
        <x:v>67</x:v>
      </x:c>
      <x:c r="J6" s="49"/>
      <x:c r="K6" s="50"/>
      <x:c r="L6" s="51"/>
      <x:c r="M6" s="45" t="s">
        <x:v>6</x:v>
      </x:c>
      <x:c r="N6" s="52">
        <x:v>70</x:v>
      </x:c>
      <x:c r="O6" s="44"/>
    </x:row>
    <x:row r="7" ht="23" customHeight="1">
      <x:c r="A7" s="24" t="s">
        <x:v>68</x:v>
      </x:c>
      <x:c r="B7" s="53" t="s">
        <x:v>69</x:v>
      </x:c>
      <x:c r="C7" s="53" t="s">
        <x:v>65</x:v>
      </x:c>
      <x:c r="D7" s="54">
        <x:v>42.7307847736595</x:v>
      </x:c>
      <x:c r="E7" s="54">
        <x:v>-73.6788642890883</x:v>
      </x:c>
      <x:c r="F7" s="55" t="n">
        <x:f>_xlfn.COUNTIFS('Connections'!$B$6:$B$590,A7)+_xlfn.COUNTIFS('Connections'!$C$6:$C$590,A7)</x:f>
        <x:v>1</x:v>
      </x:c>
      <x:c r="G7" s="55" t="n">
        <x:f>_xlfn.COUNTIFS('Connections'!$B$6:$B$590,A7,'Connections'!$D$6:$D$590,"TRUE")+_xlfn.COUNTIFS('Connections'!$C$6:$C$590,A7,'Connections'!$D$6:$D$590,"TRUE")</x:f>
        <x:v>1</x:v>
      </x:c>
      <x:c r="H7" s="48" t="s">
        <x:v>66</x:v>
      </x:c>
      <x:c r="I7" s="48" t="s">
        <x:v>67</x:v>
      </x:c>
      <x:c r="J7" s="49"/>
      <x:c r="K7" s="50"/>
      <x:c r="L7" s="56"/>
      <x:c r="M7" s="53" t="s">
        <x:v>6</x:v>
      </x:c>
      <x:c r="N7" s="57">
        <x:v>14</x:v>
      </x:c>
      <x:c r="O7" s="44"/>
    </x:row>
    <x:row r="8" ht="23" customHeight="1">
      <x:c r="A8" s="21" t="s">
        <x:v>70</x:v>
      </x:c>
      <x:c r="B8" s="45" t="s">
        <x:v>71</x:v>
      </x:c>
      <x:c r="C8" s="45" t="s">
        <x:v>65</x:v>
      </x:c>
      <x:c r="D8" s="46">
        <x:v>42.7274495940891</x:v>
      </x:c>
      <x:c r="E8" s="46">
        <x:v>-73.6786514525317</x:v>
      </x:c>
      <x:c r="F8" s="47" t="n">
        <x:f>_xlfn.COUNTIFS('Connections'!$B$6:$B$590,A8)+_xlfn.COUNTIFS('Connections'!$C$6:$C$590,A8)</x:f>
        <x:v>1</x:v>
      </x:c>
      <x:c r="G8" s="47" t="n">
        <x:f>_xlfn.COUNTIFS('Connections'!$B$6:$B$590,A8,'Connections'!$D$6:$D$590,"TRUE")+_xlfn.COUNTIFS('Connections'!$C$6:$C$590,A8,'Connections'!$D$6:$D$590,"TRUE")</x:f>
        <x:v>1</x:v>
      </x:c>
      <x:c r="H8" s="48" t="s">
        <x:v>66</x:v>
      </x:c>
      <x:c r="I8" s="48" t="s">
        <x:v>67</x:v>
      </x:c>
      <x:c r="J8" s="49"/>
      <x:c r="K8" s="50"/>
      <x:c r="L8" s="51"/>
      <x:c r="M8" s="45" t="s">
        <x:v>6</x:v>
      </x:c>
      <x:c r="N8" s="52">
        <x:v>59</x:v>
      </x:c>
      <x:c r="O8" s="44"/>
    </x:row>
    <x:row r="9" ht="23" customHeight="1">
      <x:c r="A9" s="24" t="s">
        <x:v>72</x:v>
      </x:c>
      <x:c r="B9" s="53" t="s">
        <x:v>73</x:v>
      </x:c>
      <x:c r="C9" s="53" t="s">
        <x:v>65</x:v>
      </x:c>
      <x:c r="D9" s="54">
        <x:v>42.7306562926605</x:v>
      </x:c>
      <x:c r="E9" s="54">
        <x:v>-73.67553824117169</x:v>
      </x:c>
      <x:c r="F9" s="55" t="n">
        <x:f>_xlfn.COUNTIFS('Connections'!$B$6:$B$590,A9)+_xlfn.COUNTIFS('Connections'!$C$6:$C$590,A9)</x:f>
        <x:v>1</x:v>
      </x:c>
      <x:c r="G9" s="55" t="n">
        <x:f>_xlfn.COUNTIFS('Connections'!$B$6:$B$590,A9,'Connections'!$D$6:$D$590,"TRUE")+_xlfn.COUNTIFS('Connections'!$C$6:$C$590,A9,'Connections'!$D$6:$D$590,"TRUE")</x:f>
        <x:v>1</x:v>
      </x:c>
      <x:c r="H9" s="48" t="s">
        <x:v>66</x:v>
      </x:c>
      <x:c r="I9" s="48" t="s">
        <x:v>67</x:v>
      </x:c>
      <x:c r="J9" s="49"/>
      <x:c r="K9" s="50"/>
      <x:c r="L9" s="56"/>
      <x:c r="M9" s="53" t="s">
        <x:v>6</x:v>
      </x:c>
      <x:c r="N9" s="57">
        <x:v>34</x:v>
      </x:c>
      <x:c r="O9" s="44"/>
    </x:row>
    <x:row r="10" ht="23" customHeight="1">
      <x:c r="A10" s="21" t="s">
        <x:v>74</x:v>
      </x:c>
      <x:c r="B10" s="45" t="s">
        <x:v>75</x:v>
      </x:c>
      <x:c r="C10" s="45" t="s">
        <x:v>65</x:v>
      </x:c>
      <x:c r="D10" s="46">
        <x:v>42.7284653662746</x:v>
      </x:c>
      <x:c r="E10" s="46">
        <x:v>-73.67697292873009</x:v>
      </x:c>
      <x:c r="F10" s="47" t="n">
        <x:f>_xlfn.COUNTIFS('Connections'!$B$6:$B$590,A10)+_xlfn.COUNTIFS('Connections'!$C$6:$C$590,A10)</x:f>
        <x:v>2</x:v>
      </x:c>
      <x:c r="G10" s="47" t="n">
        <x:f>_xlfn.COUNTIFS('Connections'!$B$6:$B$590,A10,'Connections'!$D$6:$D$590,"TRUE")+_xlfn.COUNTIFS('Connections'!$C$6:$C$590,A10,'Connections'!$D$6:$D$590,"TRUE")</x:f>
        <x:v>2</x:v>
      </x:c>
      <x:c r="H10" s="48" t="s">
        <x:v>66</x:v>
      </x:c>
      <x:c r="I10" s="48" t="s">
        <x:v>67</x:v>
      </x:c>
      <x:c r="J10" s="49"/>
      <x:c r="K10" s="50"/>
      <x:c r="L10" s="51"/>
      <x:c r="M10" s="45" t="s">
        <x:v>6</x:v>
      </x:c>
      <x:c r="N10" s="52">
        <x:v>36</x:v>
      </x:c>
      <x:c r="O10" s="44"/>
    </x:row>
    <x:row r="11" ht="23" customHeight="1">
      <x:c r="A11" s="24" t="s">
        <x:v>76</x:v>
      </x:c>
      <x:c r="B11" s="53" t="s">
        <x:v>77</x:v>
      </x:c>
      <x:c r="C11" s="53" t="s">
        <x:v>65</x:v>
      </x:c>
      <x:c r="D11" s="54">
        <x:v>42.7302123784514</x:v>
      </x:c>
      <x:c r="E11" s="54">
        <x:v>-73.6825661737445</x:v>
      </x:c>
      <x:c r="F11" s="55" t="n">
        <x:f>_xlfn.COUNTIFS('Connections'!$B$6:$B$590,A11)+_xlfn.COUNTIFS('Connections'!$C$6:$C$590,A11)</x:f>
        <x:v>3</x:v>
      </x:c>
      <x:c r="G11" s="55" t="n">
        <x:f>_xlfn.COUNTIFS('Connections'!$B$6:$B$590,A11,'Connections'!$D$6:$D$590,"TRUE")+_xlfn.COUNTIFS('Connections'!$C$6:$C$590,A11,'Connections'!$D$6:$D$590,"TRUE")</x:f>
        <x:v>3</x:v>
      </x:c>
      <x:c r="H11" s="48" t="s">
        <x:v>66</x:v>
      </x:c>
      <x:c r="I11" s="48" t="s">
        <x:v>67</x:v>
      </x:c>
      <x:c r="J11" s="49"/>
      <x:c r="K11" s="50"/>
      <x:c r="L11" s="56"/>
      <x:c r="M11" s="53" t="s">
        <x:v>6</x:v>
      </x:c>
      <x:c r="N11" s="57">
        <x:v>27</x:v>
      </x:c>
      <x:c r="O11" s="44"/>
    </x:row>
    <x:row r="12" ht="23" customHeight="1">
      <x:c r="A12" s="21" t="s">
        <x:v>78</x:v>
      </x:c>
      <x:c r="B12" s="45" t="s">
        <x:v>79</x:v>
      </x:c>
      <x:c r="C12" s="45" t="s">
        <x:v>65</x:v>
      </x:c>
      <x:c r="D12" s="46">
        <x:v>42.7290866948623</x:v>
      </x:c>
      <x:c r="E12" s="46">
        <x:v>-73.6740898425949</x:v>
      </x:c>
      <x:c r="F12" s="47" t="n">
        <x:f>_xlfn.COUNTIFS('Connections'!$B$6:$B$590,A12)+_xlfn.COUNTIFS('Connections'!$C$6:$C$590,A12)</x:f>
        <x:v>1</x:v>
      </x:c>
      <x:c r="G12" s="47" t="n">
        <x:f>_xlfn.COUNTIFS('Connections'!$B$6:$B$590,A12,'Connections'!$D$6:$D$590,"TRUE")+_xlfn.COUNTIFS('Connections'!$C$6:$C$590,A12,'Connections'!$D$6:$D$590,"TRUE")</x:f>
        <x:v>1</x:v>
      </x:c>
      <x:c r="H12" s="48" t="s">
        <x:v>66</x:v>
      </x:c>
      <x:c r="I12" s="48" t="s">
        <x:v>67</x:v>
      </x:c>
      <x:c r="J12" s="49"/>
      <x:c r="K12" s="50"/>
      <x:c r="L12" s="51"/>
      <x:c r="M12" s="45" t="s">
        <x:v>6</x:v>
      </x:c>
      <x:c r="N12" s="52">
        <x:v>61</x:v>
      </x:c>
      <x:c r="O12" s="44"/>
    </x:row>
    <x:row r="13" ht="23" customHeight="1">
      <x:c r="A13" s="24" t="s">
        <x:v>80</x:v>
      </x:c>
      <x:c r="B13" s="53" t="s">
        <x:v>81</x:v>
      </x:c>
      <x:c r="C13" s="53" t="s">
        <x:v>65</x:v>
      </x:c>
      <x:c r="D13" s="54">
        <x:v>42.7324848429346</x:v>
      </x:c>
      <x:c r="E13" s="54">
        <x:v>-73.68287842150011</x:v>
      </x:c>
      <x:c r="F13" s="55" t="n">
        <x:f>_xlfn.COUNTIFS('Connections'!$B$6:$B$590,A13)+_xlfn.COUNTIFS('Connections'!$C$6:$C$590,A13)</x:f>
        <x:v>1</x:v>
      </x:c>
      <x:c r="G13" s="55" t="n">
        <x:f>_xlfn.COUNTIFS('Connections'!$B$6:$B$590,A13,'Connections'!$D$6:$D$590,"TRUE")+_xlfn.COUNTIFS('Connections'!$C$6:$C$590,A13,'Connections'!$D$6:$D$590,"TRUE")</x:f>
        <x:v>1</x:v>
      </x:c>
      <x:c r="H13" s="48" t="s">
        <x:v>66</x:v>
      </x:c>
      <x:c r="I13" s="48" t="s">
        <x:v>67</x:v>
      </x:c>
      <x:c r="J13" s="49"/>
      <x:c r="K13" s="50"/>
      <x:c r="L13" s="56"/>
      <x:c r="M13" s="53" t="s">
        <x:v>6</x:v>
      </x:c>
      <x:c r="N13" s="57">
        <x:v>28</x:v>
      </x:c>
      <x:c r="O13" s="44"/>
    </x:row>
    <x:row r="14" ht="23" customHeight="1">
      <x:c r="A14" s="21" t="s">
        <x:v>82</x:v>
      </x:c>
      <x:c r="B14" s="45" t="s">
        <x:v>83</x:v>
      </x:c>
      <x:c r="C14" s="45" t="s">
        <x:v>65</x:v>
      </x:c>
      <x:c r="D14" s="46">
        <x:v>42.7321517031695</x:v>
      </x:c>
      <x:c r="E14" s="46">
        <x:v>-73.6808557374853</x:v>
      </x:c>
      <x:c r="F14" s="47" t="n">
        <x:f>_xlfn.COUNTIFS('Connections'!$B$6:$B$590,A14)+_xlfn.COUNTIFS('Connections'!$C$6:$C$590,A14)</x:f>
        <x:v>1</x:v>
      </x:c>
      <x:c r="G14" s="47" t="n">
        <x:f>_xlfn.COUNTIFS('Connections'!$B$6:$B$590,A14,'Connections'!$D$6:$D$590,"TRUE")+_xlfn.COUNTIFS('Connections'!$C$6:$C$590,A14,'Connections'!$D$6:$D$590,"TRUE")</x:f>
        <x:v>1</x:v>
      </x:c>
      <x:c r="H14" s="48" t="s">
        <x:v>66</x:v>
      </x:c>
      <x:c r="I14" s="48" t="s">
        <x:v>67</x:v>
      </x:c>
      <x:c r="J14" s="49"/>
      <x:c r="K14" s="50"/>
      <x:c r="L14" s="51"/>
      <x:c r="M14" s="45" t="s">
        <x:v>6</x:v>
      </x:c>
      <x:c r="N14" s="52">
        <x:v>30</x:v>
      </x:c>
      <x:c r="O14" s="44"/>
    </x:row>
    <x:row r="15" ht="23" customHeight="1">
      <x:c r="A15" s="24" t="s">
        <x:v>84</x:v>
      </x:c>
      <x:c r="B15" s="53" t="s">
        <x:v>85</x:v>
      </x:c>
      <x:c r="C15" s="53" t="s">
        <x:v>65</x:v>
      </x:c>
      <x:c r="D15" s="54">
        <x:v>42.731351135494</x:v>
      </x:c>
      <x:c r="E15" s="54">
        <x:v>-73.68587001002579</x:v>
      </x:c>
      <x:c r="F15" s="55" t="n">
        <x:f>_xlfn.COUNTIFS('Connections'!$B$6:$B$590,A15)+_xlfn.COUNTIFS('Connections'!$C$6:$C$590,A15)</x:f>
        <x:v>1</x:v>
      </x:c>
      <x:c r="G15" s="55" t="n">
        <x:f>_xlfn.COUNTIFS('Connections'!$B$6:$B$590,A15,'Connections'!$D$6:$D$590,"TRUE")+_xlfn.COUNTIFS('Connections'!$C$6:$C$590,A15,'Connections'!$D$6:$D$590,"TRUE")</x:f>
        <x:v>1</x:v>
      </x:c>
      <x:c r="H15" s="48" t="s">
        <x:v>66</x:v>
      </x:c>
      <x:c r="I15" s="48" t="s">
        <x:v>67</x:v>
      </x:c>
      <x:c r="J15" s="49"/>
      <x:c r="K15" s="50"/>
      <x:c r="L15" s="56"/>
      <x:c r="M15" s="53" t="s">
        <x:v>6</x:v>
      </x:c>
      <x:c r="N15" s="57">
        <x:v>71</x:v>
      </x:c>
      <x:c r="O15" s="44"/>
    </x:row>
    <x:row r="16" ht="23" customHeight="1">
      <x:c r="A16" s="21" t="s">
        <x:v>86</x:v>
      </x:c>
      <x:c r="B16" s="45" t="s">
        <x:v>87</x:v>
      </x:c>
      <x:c r="C16" s="45" t="s">
        <x:v>65</x:v>
      </x:c>
      <x:c r="D16" s="46">
        <x:v>42.7312253105997</x:v>
      </x:c>
      <x:c r="E16" s="46">
        <x:v>-73.68176230139279</x:v>
      </x:c>
      <x:c r="F16" s="47" t="n">
        <x:f>_xlfn.COUNTIFS('Connections'!$B$6:$B$590,A16)+_xlfn.COUNTIFS('Connections'!$C$6:$C$590,A16)</x:f>
        <x:v>1</x:v>
      </x:c>
      <x:c r="G16" s="47" t="n">
        <x:f>_xlfn.COUNTIFS('Connections'!$B$6:$B$590,A16,'Connections'!$D$6:$D$590,"TRUE")+_xlfn.COUNTIFS('Connections'!$C$6:$C$590,A16,'Connections'!$D$6:$D$590,"TRUE")</x:f>
        <x:v>1</x:v>
      </x:c>
      <x:c r="H16" s="48" t="s">
        <x:v>66</x:v>
      </x:c>
      <x:c r="I16" s="48" t="s">
        <x:v>67</x:v>
      </x:c>
      <x:c r="J16" s="49"/>
      <x:c r="K16" s="50"/>
      <x:c r="L16" s="51"/>
      <x:c r="M16" s="45" t="s">
        <x:v>6</x:v>
      </x:c>
      <x:c r="N16" s="52">
        <x:v>8</x:v>
      </x:c>
      <x:c r="O16" s="44"/>
    </x:row>
    <x:row r="17" ht="23" customHeight="1">
      <x:c r="A17" s="24" t="s">
        <x:v>88</x:v>
      </x:c>
      <x:c r="B17" s="53" t="s">
        <x:v>89</x:v>
      </x:c>
      <x:c r="C17" s="53" t="s">
        <x:v>65</x:v>
      </x:c>
      <x:c r="D17" s="54">
        <x:v>42.7326612612087</x:v>
      </x:c>
      <x:c r="E17" s="54">
        <x:v>-73.6802222033852</x:v>
      </x:c>
      <x:c r="F17" s="55" t="n">
        <x:f>_xlfn.COUNTIFS('Connections'!$B$6:$B$590,A17)+_xlfn.COUNTIFS('Connections'!$C$6:$C$590,A17)</x:f>
        <x:v>2</x:v>
      </x:c>
      <x:c r="G17" s="55" t="n">
        <x:f>_xlfn.COUNTIFS('Connections'!$B$6:$B$590,A17,'Connections'!$D$6:$D$590,"TRUE")+_xlfn.COUNTIFS('Connections'!$C$6:$C$590,A17,'Connections'!$D$6:$D$590,"TRUE")</x:f>
        <x:v>2</x:v>
      </x:c>
      <x:c r="H17" s="48" t="s">
        <x:v>66</x:v>
      </x:c>
      <x:c r="I17" s="48" t="s">
        <x:v>67</x:v>
      </x:c>
      <x:c r="J17" s="49"/>
      <x:c r="K17" s="50"/>
      <x:c r="L17" s="56"/>
      <x:c r="M17" s="53" t="s">
        <x:v>6</x:v>
      </x:c>
      <x:c r="N17" s="57">
        <x:v>65</x:v>
      </x:c>
      <x:c r="O17" s="44"/>
    </x:row>
    <x:row r="18" ht="23" customHeight="1">
      <x:c r="A18" s="21" t="s">
        <x:v>90</x:v>
      </x:c>
      <x:c r="B18" s="45" t="s">
        <x:v>91</x:v>
      </x:c>
      <x:c r="C18" s="45" t="s">
        <x:v>65</x:v>
      </x:c>
      <x:c r="D18" s="46">
        <x:v>42.7287299054554</x:v>
      </x:c>
      <x:c r="E18" s="46">
        <x:v>-73.6737886416314</x:v>
      </x:c>
      <x:c r="F18" s="47" t="n">
        <x:f>_xlfn.COUNTIFS('Connections'!$B$6:$B$590,A18)+_xlfn.COUNTIFS('Connections'!$C$6:$C$590,A18)</x:f>
        <x:v>1</x:v>
      </x:c>
      <x:c r="G18" s="47" t="n">
        <x:f>_xlfn.COUNTIFS('Connections'!$B$6:$B$590,A18,'Connections'!$D$6:$D$590,"TRUE")+_xlfn.COUNTIFS('Connections'!$C$6:$C$590,A18,'Connections'!$D$6:$D$590,"TRUE")</x:f>
        <x:v>1</x:v>
      </x:c>
      <x:c r="H18" s="48" t="s">
        <x:v>66</x:v>
      </x:c>
      <x:c r="I18" s="48" t="s">
        <x:v>67</x:v>
      </x:c>
      <x:c r="J18" s="49"/>
      <x:c r="K18" s="50"/>
      <x:c r="L18" s="51"/>
      <x:c r="M18" s="45" t="s">
        <x:v>6</x:v>
      </x:c>
      <x:c r="N18" s="52">
        <x:v>48</x:v>
      </x:c>
      <x:c r="O18" s="44"/>
    </x:row>
    <x:row r="19" ht="23" customHeight="1">
      <x:c r="A19" s="24" t="s">
        <x:v>92</x:v>
      </x:c>
      <x:c r="B19" s="53" t="s">
        <x:v>93</x:v>
      </x:c>
      <x:c r="C19" s="53" t="s">
        <x:v>65</x:v>
      </x:c>
      <x:c r="D19" s="54">
        <x:v>42.7350010602975</x:v>
      </x:c>
      <x:c r="E19" s="54">
        <x:v>-73.6639111850773</x:v>
      </x:c>
      <x:c r="F19" s="55" t="n">
        <x:f>_xlfn.COUNTIFS('Connections'!$B$6:$B$590,A19)+_xlfn.COUNTIFS('Connections'!$C$6:$C$590,A19)</x:f>
        <x:v>1</x:v>
      </x:c>
      <x:c r="G19" s="55" t="n">
        <x:f>_xlfn.COUNTIFS('Connections'!$B$6:$B$590,A19,'Connections'!$D$6:$D$590,"TRUE")+_xlfn.COUNTIFS('Connections'!$C$6:$C$590,A19,'Connections'!$D$6:$D$590,"TRUE")</x:f>
        <x:v>1</x:v>
      </x:c>
      <x:c r="H19" s="48" t="s">
        <x:v>66</x:v>
      </x:c>
      <x:c r="I19" s="48" t="s">
        <x:v>67</x:v>
      </x:c>
      <x:c r="J19" s="49"/>
      <x:c r="K19" s="50"/>
      <x:c r="L19" s="56"/>
      <x:c r="M19" s="53" t="s">
        <x:v>6</x:v>
      </x:c>
      <x:c r="N19" s="57">
        <x:v>56</x:v>
      </x:c>
      <x:c r="O19" s="44"/>
    </x:row>
    <x:row r="20" ht="23" customHeight="1">
      <x:c r="A20" s="21" t="s">
        <x:v>94</x:v>
      </x:c>
      <x:c r="B20" s="45" t="s">
        <x:v>95</x:v>
      </x:c>
      <x:c r="C20" s="45" t="s">
        <x:v>65</x:v>
      </x:c>
      <x:c r="D20" s="46">
        <x:v>42.7310890611734</x:v>
      </x:c>
      <x:c r="E20" s="46">
        <x:v>-73.67124299833191</x:v>
      </x:c>
      <x:c r="F20" s="47" t="n">
        <x:f>_xlfn.COUNTIFS('Connections'!$B$6:$B$590,A20)+_xlfn.COUNTIFS('Connections'!$C$6:$C$590,A20)</x:f>
        <x:v>4</x:v>
      </x:c>
      <x:c r="G20" s="47" t="n">
        <x:f>_xlfn.COUNTIFS('Connections'!$B$6:$B$590,A20,'Connections'!$D$6:$D$590,"TRUE")+_xlfn.COUNTIFS('Connections'!$C$6:$C$590,A20,'Connections'!$D$6:$D$590,"TRUE")</x:f>
        <x:v>4</x:v>
      </x:c>
      <x:c r="H20" s="48" t="s">
        <x:v>66</x:v>
      </x:c>
      <x:c r="I20" s="48" t="s">
        <x:v>67</x:v>
      </x:c>
      <x:c r="J20" s="49"/>
      <x:c r="K20" s="50"/>
      <x:c r="L20" s="51"/>
      <x:c r="M20" s="45" t="s">
        <x:v>6</x:v>
      </x:c>
      <x:c r="N20" s="52">
        <x:v>50</x:v>
      </x:c>
      <x:c r="O20" s="44"/>
    </x:row>
    <x:row r="21" ht="23" customHeight="1">
      <x:c r="A21" s="24" t="s">
        <x:v>96</x:v>
      </x:c>
      <x:c r="B21" s="53" t="s">
        <x:v>97</x:v>
      </x:c>
      <x:c r="C21" s="53" t="s">
        <x:v>65</x:v>
      </x:c>
      <x:c r="D21" s="54">
        <x:v>42.7304685043522</x:v>
      </x:c>
      <x:c r="E21" s="54">
        <x:v>-73.6832074982253</x:v>
      </x:c>
      <x:c r="F21" s="55" t="n">
        <x:f>_xlfn.COUNTIFS('Connections'!$B$6:$B$590,A21)+_xlfn.COUNTIFS('Connections'!$C$6:$C$590,A21)</x:f>
        <x:v>1</x:v>
      </x:c>
      <x:c r="G21" s="55" t="n">
        <x:f>_xlfn.COUNTIFS('Connections'!$B$6:$B$590,A21,'Connections'!$D$6:$D$590,"TRUE")+_xlfn.COUNTIFS('Connections'!$C$6:$C$590,A21,'Connections'!$D$6:$D$590,"TRUE")</x:f>
        <x:v>1</x:v>
      </x:c>
      <x:c r="H21" s="48" t="s">
        <x:v>66</x:v>
      </x:c>
      <x:c r="I21" s="48" t="s">
        <x:v>67</x:v>
      </x:c>
      <x:c r="J21" s="49"/>
      <x:c r="K21" s="50"/>
      <x:c r="L21" s="56"/>
      <x:c r="M21" s="53" t="s">
        <x:v>6</x:v>
      </x:c>
      <x:c r="N21" s="57">
        <x:v>6</x:v>
      </x:c>
      <x:c r="O21" s="44"/>
    </x:row>
    <x:row r="22" ht="23" customHeight="1">
      <x:c r="A22" s="21" t="s">
        <x:v>98</x:v>
      </x:c>
      <x:c r="B22" s="45" t="s">
        <x:v>99</x:v>
      </x:c>
      <x:c r="C22" s="45" t="s">
        <x:v>65</x:v>
      </x:c>
      <x:c r="D22" s="46">
        <x:v>42.7288576188582</x:v>
      </x:c>
      <x:c r="E22" s="46">
        <x:v>-73.6746296811551</x:v>
      </x:c>
      <x:c r="F22" s="47" t="n">
        <x:f>_xlfn.COUNTIFS('Connections'!$B$6:$B$590,A22)+_xlfn.COUNTIFS('Connections'!$C$6:$C$590,A22)</x:f>
        <x:v>1</x:v>
      </x:c>
      <x:c r="G22" s="47" t="n">
        <x:f>_xlfn.COUNTIFS('Connections'!$B$6:$B$590,A22,'Connections'!$D$6:$D$590,"TRUE")+_xlfn.COUNTIFS('Connections'!$C$6:$C$590,A22,'Connections'!$D$6:$D$590,"TRUE")</x:f>
        <x:v>1</x:v>
      </x:c>
      <x:c r="H22" s="48" t="s">
        <x:v>66</x:v>
      </x:c>
      <x:c r="I22" s="48" t="s">
        <x:v>67</x:v>
      </x:c>
      <x:c r="J22" s="49"/>
      <x:c r="K22" s="50"/>
      <x:c r="L22" s="51"/>
      <x:c r="M22" s="45" t="s">
        <x:v>6</x:v>
      </x:c>
      <x:c r="N22" s="52">
        <x:v>47</x:v>
      </x:c>
      <x:c r="O22" s="44"/>
    </x:row>
    <x:row r="23" ht="23" customHeight="1">
      <x:c r="A23" s="24" t="s">
        <x:v>100</x:v>
      </x:c>
      <x:c r="B23" s="53" t="s">
        <x:v>101</x:v>
      </x:c>
      <x:c r="C23" s="53" t="s">
        <x:v>65</x:v>
      </x:c>
      <x:c r="D23" s="54">
        <x:v>42.7282253057696</x:v>
      </x:c>
      <x:c r="E23" s="54">
        <x:v>-73.6784512833453</x:v>
      </x:c>
      <x:c r="F23" s="55" t="n">
        <x:f>_xlfn.COUNTIFS('Connections'!$B$6:$B$590,A23)+_xlfn.COUNTIFS('Connections'!$C$6:$C$590,A23)</x:f>
        <x:v>1</x:v>
      </x:c>
      <x:c r="G23" s="55" t="n">
        <x:f>_xlfn.COUNTIFS('Connections'!$B$6:$B$590,A23,'Connections'!$D$6:$D$590,"TRUE")+_xlfn.COUNTIFS('Connections'!$C$6:$C$590,A23,'Connections'!$D$6:$D$590,"TRUE")</x:f>
        <x:v>1</x:v>
      </x:c>
      <x:c r="H23" s="48" t="s">
        <x:v>66</x:v>
      </x:c>
      <x:c r="I23" s="48" t="s">
        <x:v>67</x:v>
      </x:c>
      <x:c r="J23" s="49"/>
      <x:c r="K23" s="50"/>
      <x:c r="L23" s="56"/>
      <x:c r="M23" s="53" t="s">
        <x:v>6</x:v>
      </x:c>
      <x:c r="N23" s="57">
        <x:v>62</x:v>
      </x:c>
      <x:c r="O23" s="44"/>
    </x:row>
    <x:row r="24" ht="23" customHeight="1">
      <x:c r="A24" s="21" t="s">
        <x:v>102</x:v>
      </x:c>
      <x:c r="B24" s="45" t="s">
        <x:v>103</x:v>
      </x:c>
      <x:c r="C24" s="45" t="s">
        <x:v>65</x:v>
      </x:c>
      <x:c r="D24" s="46">
        <x:v>42.7317963596702</x:v>
      </x:c>
      <x:c r="E24" s="46">
        <x:v>-73.6722539949815</x:v>
      </x:c>
      <x:c r="F24" s="47" t="n">
        <x:f>_xlfn.COUNTIFS('Connections'!$B$6:$B$590,A24)+_xlfn.COUNTIFS('Connections'!$C$6:$C$590,A24)</x:f>
        <x:v>1</x:v>
      </x:c>
      <x:c r="G24" s="47" t="n">
        <x:f>_xlfn.COUNTIFS('Connections'!$B$6:$B$590,A24,'Connections'!$D$6:$D$590,"TRUE")+_xlfn.COUNTIFS('Connections'!$C$6:$C$590,A24,'Connections'!$D$6:$D$590,"TRUE")</x:f>
        <x:v>1</x:v>
      </x:c>
      <x:c r="H24" s="48" t="s">
        <x:v>66</x:v>
      </x:c>
      <x:c r="I24" s="48" t="s">
        <x:v>67</x:v>
      </x:c>
      <x:c r="J24" s="49"/>
      <x:c r="K24" s="50"/>
      <x:c r="L24" s="51"/>
      <x:c r="M24" s="45" t="s">
        <x:v>6</x:v>
      </x:c>
      <x:c r="N24" s="52">
        <x:v>49</x:v>
      </x:c>
      <x:c r="O24" s="44"/>
    </x:row>
    <x:row r="25" ht="23" customHeight="1">
      <x:c r="A25" s="24" t="s">
        <x:v>104</x:v>
      </x:c>
      <x:c r="B25" s="53" t="s">
        <x:v>105</x:v>
      </x:c>
      <x:c r="C25" s="53" t="s">
        <x:v>65</x:v>
      </x:c>
      <x:c r="D25" s="54">
        <x:v>42.7281819912845</x:v>
      </x:c>
      <x:c r="E25" s="54">
        <x:v>-73.68125105065241</x:v>
      </x:c>
      <x:c r="F25" s="55" t="n">
        <x:f>_xlfn.COUNTIFS('Connections'!$B$6:$B$590,A25)+_xlfn.COUNTIFS('Connections'!$C$6:$C$590,A25)</x:f>
        <x:v>2</x:v>
      </x:c>
      <x:c r="G25" s="55" t="n">
        <x:f>_xlfn.COUNTIFS('Connections'!$B$6:$B$590,A25,'Connections'!$D$6:$D$590,"TRUE")+_xlfn.COUNTIFS('Connections'!$C$6:$C$590,A25,'Connections'!$D$6:$D$590,"TRUE")</x:f>
        <x:v>2</x:v>
      </x:c>
      <x:c r="H25" s="48" t="s">
        <x:v>66</x:v>
      </x:c>
      <x:c r="I25" s="48" t="s">
        <x:v>67</x:v>
      </x:c>
      <x:c r="J25" s="49"/>
      <x:c r="K25" s="50"/>
      <x:c r="L25" s="56"/>
      <x:c r="M25" s="53" t="s">
        <x:v>6</x:v>
      </x:c>
      <x:c r="N25" s="57">
        <x:v>21</x:v>
      </x:c>
      <x:c r="O25" s="44"/>
    </x:row>
    <x:row r="26" ht="23" customHeight="1">
      <x:c r="A26" s="21" t="s">
        <x:v>106</x:v>
      </x:c>
      <x:c r="B26" s="45" t="s">
        <x:v>107</x:v>
      </x:c>
      <x:c r="C26" s="45" t="s">
        <x:v>65</x:v>
      </x:c>
      <x:c r="D26" s="46">
        <x:v>42.7370631311934</x:v>
      </x:c>
      <x:c r="E26" s="46">
        <x:v>-73.6698918455666</x:v>
      </x:c>
      <x:c r="F26" s="47" t="n">
        <x:f>_xlfn.COUNTIFS('Connections'!$B$6:$B$590,A26)+_xlfn.COUNTIFS('Connections'!$C$6:$C$590,A26)</x:f>
        <x:v>1</x:v>
      </x:c>
      <x:c r="G26" s="47" t="n">
        <x:f>_xlfn.COUNTIFS('Connections'!$B$6:$B$590,A26,'Connections'!$D$6:$D$590,"TRUE")+_xlfn.COUNTIFS('Connections'!$C$6:$C$590,A26,'Connections'!$D$6:$D$590,"TRUE")</x:f>
        <x:v>1</x:v>
      </x:c>
      <x:c r="H26" s="48" t="s">
        <x:v>66</x:v>
      </x:c>
      <x:c r="I26" s="48" t="s">
        <x:v>67</x:v>
      </x:c>
      <x:c r="J26" s="49"/>
      <x:c r="K26" s="50"/>
      <x:c r="L26" s="51"/>
      <x:c r="M26" s="45" t="s">
        <x:v>6</x:v>
      </x:c>
      <x:c r="N26" s="52">
        <x:v>58</x:v>
      </x:c>
      <x:c r="O26" s="44"/>
    </x:row>
    <x:row r="27" ht="23" customHeight="1">
      <x:c r="A27" s="24" t="s">
        <x:v>108</x:v>
      </x:c>
      <x:c r="B27" s="53" t="s">
        <x:v>109</x:v>
      </x:c>
      <x:c r="C27" s="53" t="s">
        <x:v>65</x:v>
      </x:c>
      <x:c r="D27" s="54">
        <x:v>42.7282969500132</x:v>
      </x:c>
      <x:c r="E27" s="54">
        <x:v>-73.6743120995072</x:v>
      </x:c>
      <x:c r="F27" s="55" t="n">
        <x:f>_xlfn.COUNTIFS('Connections'!$B$6:$B$590,A27)+_xlfn.COUNTIFS('Connections'!$C$6:$C$590,A27)</x:f>
        <x:v>1</x:v>
      </x:c>
      <x:c r="G27" s="55" t="n">
        <x:f>_xlfn.COUNTIFS('Connections'!$B$6:$B$590,A27,'Connections'!$D$6:$D$590,"TRUE")+_xlfn.COUNTIFS('Connections'!$C$6:$C$590,A27,'Connections'!$D$6:$D$590,"TRUE")</x:f>
        <x:v>1</x:v>
      </x:c>
      <x:c r="H27" s="48" t="s">
        <x:v>66</x:v>
      </x:c>
      <x:c r="I27" s="48" t="s">
        <x:v>67</x:v>
      </x:c>
      <x:c r="J27" s="49"/>
      <x:c r="K27" s="50"/>
      <x:c r="L27" s="56"/>
      <x:c r="M27" s="53" t="s">
        <x:v>6</x:v>
      </x:c>
      <x:c r="N27" s="57">
        <x:v>39</x:v>
      </x:c>
      <x:c r="O27" s="44"/>
    </x:row>
    <x:row r="28" ht="23" customHeight="1">
      <x:c r="A28" s="21" t="s">
        <x:v>110</x:v>
      </x:c>
      <x:c r="B28" s="45" t="s">
        <x:v>111</x:v>
      </x:c>
      <x:c r="C28" s="45" t="s">
        <x:v>65</x:v>
      </x:c>
      <x:c r="D28" s="46">
        <x:v>42.7283076056935</x:v>
      </x:c>
      <x:c r="E28" s="46">
        <x:v>-73.67350733406759</x:v>
      </x:c>
      <x:c r="F28" s="47" t="n">
        <x:f>_xlfn.COUNTIFS('Connections'!$B$6:$B$590,A28)+_xlfn.COUNTIFS('Connections'!$C$6:$C$590,A28)</x:f>
        <x:v>1</x:v>
      </x:c>
      <x:c r="G28" s="47" t="n">
        <x:f>_xlfn.COUNTIFS('Connections'!$B$6:$B$590,A28,'Connections'!$D$6:$D$590,"TRUE")+_xlfn.COUNTIFS('Connections'!$C$6:$C$590,A28,'Connections'!$D$6:$D$590,"TRUE")</x:f>
        <x:v>1</x:v>
      </x:c>
      <x:c r="H28" s="48" t="s">
        <x:v>66</x:v>
      </x:c>
      <x:c r="I28" s="48" t="s">
        <x:v>67</x:v>
      </x:c>
      <x:c r="J28" s="49"/>
      <x:c r="K28" s="50"/>
      <x:c r="L28" s="51"/>
      <x:c r="M28" s="45" t="s">
        <x:v>6</x:v>
      </x:c>
      <x:c r="N28" s="52">
        <x:v>40</x:v>
      </x:c>
      <x:c r="O28" s="44"/>
    </x:row>
    <x:row r="29" ht="23" customHeight="1">
      <x:c r="A29" s="24" t="s">
        <x:v>112</x:v>
      </x:c>
      <x:c r="B29" s="53" t="s">
        <x:v>113</x:v>
      </x:c>
      <x:c r="C29" s="53" t="s">
        <x:v>65</x:v>
      </x:c>
      <x:c r="D29" s="54">
        <x:v>42.7294710085669</x:v>
      </x:c>
      <x:c r="E29" s="54">
        <x:v>-73.67925539282341</x:v>
      </x:c>
      <x:c r="F29" s="55" t="n">
        <x:f>_xlfn.COUNTIFS('Connections'!$B$6:$B$590,A29)+_xlfn.COUNTIFS('Connections'!$C$6:$C$590,A29)</x:f>
        <x:v>1</x:v>
      </x:c>
      <x:c r="G29" s="55" t="n">
        <x:f>_xlfn.COUNTIFS('Connections'!$B$6:$B$590,A29,'Connections'!$D$6:$D$590,"TRUE")+_xlfn.COUNTIFS('Connections'!$C$6:$C$590,A29,'Connections'!$D$6:$D$590,"TRUE")</x:f>
        <x:v>1</x:v>
      </x:c>
      <x:c r="H29" s="48" t="s">
        <x:v>66</x:v>
      </x:c>
      <x:c r="I29" s="48" t="s">
        <x:v>67</x:v>
      </x:c>
      <x:c r="J29" s="49"/>
      <x:c r="K29" s="50"/>
      <x:c r="L29" s="56"/>
      <x:c r="M29" s="53" t="s">
        <x:v>6</x:v>
      </x:c>
      <x:c r="N29" s="57">
        <x:v>18</x:v>
      </x:c>
      <x:c r="O29" s="44"/>
    </x:row>
    <x:row r="30" ht="23" customHeight="1">
      <x:c r="A30" s="21" t="s">
        <x:v>114</x:v>
      </x:c>
      <x:c r="B30" s="45" t="s">
        <x:v>115</x:v>
      </x:c>
      <x:c r="C30" s="45" t="s">
        <x:v>65</x:v>
      </x:c>
      <x:c r="D30" s="46">
        <x:v>42.7272453915547</x:v>
      </x:c>
      <x:c r="E30" s="46">
        <x:v>-73.67408488012831</x:v>
      </x:c>
      <x:c r="F30" s="47" t="n">
        <x:f>_xlfn.COUNTIFS('Connections'!$B$6:$B$590,A30)+_xlfn.COUNTIFS('Connections'!$C$6:$C$590,A30)</x:f>
        <x:v>1</x:v>
      </x:c>
      <x:c r="G30" s="47" t="n">
        <x:f>_xlfn.COUNTIFS('Connections'!$B$6:$B$590,A30,'Connections'!$D$6:$D$590,"TRUE")+_xlfn.COUNTIFS('Connections'!$C$6:$C$590,A30,'Connections'!$D$6:$D$590,"TRUE")</x:f>
        <x:v>1</x:v>
      </x:c>
      <x:c r="H30" s="48" t="s">
        <x:v>66</x:v>
      </x:c>
      <x:c r="I30" s="48" t="s">
        <x:v>67</x:v>
      </x:c>
      <x:c r="J30" s="49"/>
      <x:c r="K30" s="50"/>
      <x:c r="L30" s="51"/>
      <x:c r="M30" s="45" t="s">
        <x:v>6</x:v>
      </x:c>
      <x:c r="N30" s="52">
        <x:v>42</x:v>
      </x:c>
      <x:c r="O30" s="44"/>
    </x:row>
    <x:row r="31" ht="23" customHeight="1">
      <x:c r="A31" s="24" t="s">
        <x:v>116</x:v>
      </x:c>
      <x:c r="B31" s="53" t="s">
        <x:v>117</x:v>
      </x:c>
      <x:c r="C31" s="53" t="s">
        <x:v>65</x:v>
      </x:c>
      <x:c r="D31" s="54">
        <x:v>42.7313769480033</x:v>
      </x:c>
      <x:c r="E31" s="54">
        <x:v>-73.6791896873967</x:v>
      </x:c>
      <x:c r="F31" s="55" t="n">
        <x:f>_xlfn.COUNTIFS('Connections'!$B$6:$B$590,A31)+_xlfn.COUNTIFS('Connections'!$C$6:$C$590,A31)</x:f>
        <x:v>1</x:v>
      </x:c>
      <x:c r="G31" s="55" t="n">
        <x:f>_xlfn.COUNTIFS('Connections'!$B$6:$B$590,A31,'Connections'!$D$6:$D$590,"TRUE")+_xlfn.COUNTIFS('Connections'!$C$6:$C$590,A31,'Connections'!$D$6:$D$590,"TRUE")</x:f>
        <x:v>0</x:v>
      </x:c>
      <x:c r="H31" s="48" t="s">
        <x:v>66</x:v>
      </x:c>
      <x:c r="I31" s="48" t="s">
        <x:v>67</x:v>
      </x:c>
      <x:c r="J31" s="49"/>
      <x:c r="K31" s="50"/>
      <x:c r="L31" s="56"/>
      <x:c r="M31" s="53" t="s">
        <x:v>6</x:v>
      </x:c>
      <x:c r="N31" s="57">
        <x:v>12</x:v>
      </x:c>
      <x:c r="O31" s="44"/>
    </x:row>
    <x:row r="32" ht="23" customHeight="1">
      <x:c r="A32" s="21" t="s">
        <x:v>118</x:v>
      </x:c>
      <x:c r="B32" s="45" t="s">
        <x:v>119</x:v>
      </x:c>
      <x:c r="C32" s="45" t="s">
        <x:v>65</x:v>
      </x:c>
      <x:c r="D32" s="46">
        <x:v>42.732367962673</x:v>
      </x:c>
      <x:c r="E32" s="46">
        <x:v>-73.6676237933532</x:v>
      </x:c>
      <x:c r="F32" s="47" t="n">
        <x:f>_xlfn.COUNTIFS('Connections'!$B$6:$B$590,A32)+_xlfn.COUNTIFS('Connections'!$C$6:$C$590,A32)</x:f>
        <x:v>1</x:v>
      </x:c>
      <x:c r="G32" s="47" t="n">
        <x:f>_xlfn.COUNTIFS('Connections'!$B$6:$B$590,A32,'Connections'!$D$6:$D$590,"TRUE")+_xlfn.COUNTIFS('Connections'!$C$6:$C$590,A32,'Connections'!$D$6:$D$590,"TRUE")</x:f>
        <x:v>1</x:v>
      </x:c>
      <x:c r="H32" s="48" t="s">
        <x:v>66</x:v>
      </x:c>
      <x:c r="I32" s="48" t="s">
        <x:v>67</x:v>
      </x:c>
      <x:c r="J32" s="49"/>
      <x:c r="K32" s="50"/>
      <x:c r="L32" s="51"/>
      <x:c r="M32" s="45" t="s">
        <x:v>6</x:v>
      </x:c>
      <x:c r="N32" s="52">
        <x:v>60</x:v>
      </x:c>
      <x:c r="O32" s="44"/>
    </x:row>
    <x:row r="33" ht="23" customHeight="1">
      <x:c r="A33" s="24" t="s">
        <x:v>120</x:v>
      </x:c>
      <x:c r="B33" s="53" t="s">
        <x:v>121</x:v>
      </x:c>
      <x:c r="C33" s="53" t="s">
        <x:v>65</x:v>
      </x:c>
      <x:c r="D33" s="54">
        <x:v>42.7288955249045</x:v>
      </x:c>
      <x:c r="E33" s="54">
        <x:v>-73.6836128303383</x:v>
      </x:c>
      <x:c r="F33" s="55" t="n">
        <x:f>_xlfn.COUNTIFS('Connections'!$B$6:$B$590,A33)+_xlfn.COUNTIFS('Connections'!$C$6:$C$590,A33)</x:f>
        <x:v>1</x:v>
      </x:c>
      <x:c r="G33" s="55" t="n">
        <x:f>_xlfn.COUNTIFS('Connections'!$B$6:$B$590,A33,'Connections'!$D$6:$D$590,"TRUE")+_xlfn.COUNTIFS('Connections'!$C$6:$C$590,A33,'Connections'!$D$6:$D$590,"TRUE")</x:f>
        <x:v>1</x:v>
      </x:c>
      <x:c r="H33" s="48" t="s">
        <x:v>66</x:v>
      </x:c>
      <x:c r="I33" s="48" t="s">
        <x:v>67</x:v>
      </x:c>
      <x:c r="J33" s="49"/>
      <x:c r="K33" s="50"/>
      <x:c r="L33" s="56"/>
      <x:c r="M33" s="53" t="s">
        <x:v>6</x:v>
      </x:c>
      <x:c r="N33" s="57">
        <x:v>64</x:v>
      </x:c>
      <x:c r="O33" s="44"/>
    </x:row>
    <x:row r="34" ht="23" customHeight="1">
      <x:c r="A34" s="21" t="s">
        <x:v>122</x:v>
      </x:c>
      <x:c r="B34" s="45" t="s">
        <x:v>123</x:v>
      </x:c>
      <x:c r="C34" s="45" t="s">
        <x:v>65</x:v>
      </x:c>
      <x:c r="D34" s="46">
        <x:v>42.7293468233902</x:v>
      </x:c>
      <x:c r="E34" s="46">
        <x:v>-73.68254817542559</x:v>
      </x:c>
      <x:c r="F34" s="47" t="n">
        <x:f>_xlfn.COUNTIFS('Connections'!$B$6:$B$590,A34)+_xlfn.COUNTIFS('Connections'!$C$6:$C$590,A34)</x:f>
        <x:v>4</x:v>
      </x:c>
      <x:c r="G34" s="47" t="n">
        <x:f>_xlfn.COUNTIFS('Connections'!$B$6:$B$590,A34,'Connections'!$D$6:$D$590,"TRUE")+_xlfn.COUNTIFS('Connections'!$C$6:$C$590,A34,'Connections'!$D$6:$D$590,"TRUE")</x:f>
        <x:v>4</x:v>
      </x:c>
      <x:c r="H34" s="48" t="s">
        <x:v>66</x:v>
      </x:c>
      <x:c r="I34" s="48" t="s">
        <x:v>67</x:v>
      </x:c>
      <x:c r="J34" s="49"/>
      <x:c r="K34" s="50"/>
      <x:c r="L34" s="51"/>
      <x:c r="M34" s="45" t="s">
        <x:v>6</x:v>
      </x:c>
      <x:c r="N34" s="52">
        <x:v>24</x:v>
      </x:c>
      <x:c r="O34" s="44"/>
    </x:row>
    <x:row r="35" ht="23" customHeight="1">
      <x:c r="A35" s="24" t="s">
        <x:v>124</x:v>
      </x:c>
      <x:c r="B35" s="53" t="s">
        <x:v>125</x:v>
      </x:c>
      <x:c r="C35" s="53" t="s">
        <x:v>65</x:v>
      </x:c>
      <x:c r="D35" s="54">
        <x:v>42.7300180143745</x:v>
      </x:c>
      <x:c r="E35" s="54">
        <x:v>-73.6811693363836</x:v>
      </x:c>
      <x:c r="F35" s="55" t="n">
        <x:f>_xlfn.COUNTIFS('Connections'!$B$6:$B$590,A35)+_xlfn.COUNTIFS('Connections'!$C$6:$C$590,A35)</x:f>
        <x:v>2</x:v>
      </x:c>
      <x:c r="G35" s="55" t="n">
        <x:f>_xlfn.COUNTIFS('Connections'!$B$6:$B$590,A35,'Connections'!$D$6:$D$590,"TRUE")+_xlfn.COUNTIFS('Connections'!$C$6:$C$590,A35,'Connections'!$D$6:$D$590,"TRUE")</x:f>
        <x:v>2</x:v>
      </x:c>
      <x:c r="H35" s="48" t="s">
        <x:v>66</x:v>
      </x:c>
      <x:c r="I35" s="48" t="s">
        <x:v>67</x:v>
      </x:c>
      <x:c r="J35" s="49"/>
      <x:c r="K35" s="50"/>
      <x:c r="L35" s="56"/>
      <x:c r="M35" s="53" t="s">
        <x:v>6</x:v>
      </x:c>
      <x:c r="N35" s="57">
        <x:v>25</x:v>
      </x:c>
      <x:c r="O35" s="44"/>
    </x:row>
    <x:row r="36" ht="23" customHeight="1">
      <x:c r="A36" s="21" t="s">
        <x:v>126</x:v>
      </x:c>
      <x:c r="B36" s="45" t="s">
        <x:v>127</x:v>
      </x:c>
      <x:c r="C36" s="45" t="s">
        <x:v>65</x:v>
      </x:c>
      <x:c r="D36" s="46">
        <x:v>42.7288083242615</x:v>
      </x:c>
      <x:c r="E36" s="46">
        <x:v>-73.6679496547526</x:v>
      </x:c>
      <x:c r="F36" s="47" t="n">
        <x:f>_xlfn.COUNTIFS('Connections'!$B$6:$B$590,A36)+_xlfn.COUNTIFS('Connections'!$C$6:$C$590,A36)</x:f>
        <x:v>1</x:v>
      </x:c>
      <x:c r="G36" s="47" t="n">
        <x:f>_xlfn.COUNTIFS('Connections'!$B$6:$B$590,A36,'Connections'!$D$6:$D$590,"TRUE")+_xlfn.COUNTIFS('Connections'!$C$6:$C$590,A36,'Connections'!$D$6:$D$590,"TRUE")</x:f>
        <x:v>1</x:v>
      </x:c>
      <x:c r="H36" s="48" t="s">
        <x:v>66</x:v>
      </x:c>
      <x:c r="I36" s="48" t="s">
        <x:v>67</x:v>
      </x:c>
      <x:c r="J36" s="49"/>
      <x:c r="K36" s="50"/>
      <x:c r="L36" s="51"/>
      <x:c r="M36" s="45" t="s">
        <x:v>6</x:v>
      </x:c>
      <x:c r="N36" s="52">
        <x:v>53</x:v>
      </x:c>
      <x:c r="O36" s="44"/>
    </x:row>
    <x:row r="37" ht="23" customHeight="1">
      <x:c r="A37" s="24" t="s">
        <x:v>128</x:v>
      </x:c>
      <x:c r="B37" s="53" t="s">
        <x:v>129</x:v>
      </x:c>
      <x:c r="C37" s="53" t="s">
        <x:v>65</x:v>
      </x:c>
      <x:c r="D37" s="54">
        <x:v>42.7326033187689</x:v>
      </x:c>
      <x:c r="E37" s="54">
        <x:v>-73.6792189042077</x:v>
      </x:c>
      <x:c r="F37" s="55" t="n">
        <x:f>_xlfn.COUNTIFS('Connections'!$B$6:$B$590,A37)+_xlfn.COUNTIFS('Connections'!$C$6:$C$590,A37)</x:f>
        <x:v>1</x:v>
      </x:c>
      <x:c r="G37" s="55" t="n">
        <x:f>_xlfn.COUNTIFS('Connections'!$B$6:$B$590,A37,'Connections'!$D$6:$D$590,"TRUE")+_xlfn.COUNTIFS('Connections'!$C$6:$C$590,A37,'Connections'!$D$6:$D$590,"TRUE")</x:f>
        <x:v>1</x:v>
      </x:c>
      <x:c r="H37" s="48" t="s">
        <x:v>66</x:v>
      </x:c>
      <x:c r="I37" s="48" t="s">
        <x:v>67</x:v>
      </x:c>
      <x:c r="J37" s="49"/>
      <x:c r="K37" s="50"/>
      <x:c r="L37" s="56"/>
      <x:c r="M37" s="53" t="s">
        <x:v>6</x:v>
      </x:c>
      <x:c r="N37" s="57">
        <x:v>32</x:v>
      </x:c>
      <x:c r="O37" s="44"/>
    </x:row>
    <x:row r="38" ht="23" customHeight="1">
      <x:c r="A38" s="21" t="s">
        <x:v>130</x:v>
      </x:c>
      <x:c r="B38" s="45" t="s">
        <x:v>131</x:v>
      </x:c>
      <x:c r="C38" s="45" t="s">
        <x:v>65</x:v>
      </x:c>
      <x:c r="D38" s="46">
        <x:v>42.7285552030114</x:v>
      </x:c>
      <x:c r="E38" s="46">
        <x:v>-73.6751461783729</x:v>
      </x:c>
      <x:c r="F38" s="47" t="n">
        <x:f>_xlfn.COUNTIFS('Connections'!$B$6:$B$590,A38)+_xlfn.COUNTIFS('Connections'!$C$6:$C$590,A38)</x:f>
        <x:v>1</x:v>
      </x:c>
      <x:c r="G38" s="47" t="n">
        <x:f>_xlfn.COUNTIFS('Connections'!$B$6:$B$590,A38,'Connections'!$D$6:$D$590,"TRUE")+_xlfn.COUNTIFS('Connections'!$C$6:$C$590,A38,'Connections'!$D$6:$D$590,"TRUE")</x:f>
        <x:v>1</x:v>
      </x:c>
      <x:c r="H38" s="48" t="s">
        <x:v>66</x:v>
      </x:c>
      <x:c r="I38" s="48" t="s">
        <x:v>67</x:v>
      </x:c>
      <x:c r="J38" s="49"/>
      <x:c r="K38" s="50"/>
      <x:c r="L38" s="51"/>
      <x:c r="M38" s="45" t="s">
        <x:v>6</x:v>
      </x:c>
      <x:c r="N38" s="52">
        <x:v>46</x:v>
      </x:c>
      <x:c r="O38" s="44"/>
    </x:row>
    <x:row r="39" ht="23" customHeight="1">
      <x:c r="A39" s="24" t="s">
        <x:v>132</x:v>
      </x:c>
      <x:c r="B39" s="53" t="s">
        <x:v>133</x:v>
      </x:c>
      <x:c r="C39" s="53" t="s">
        <x:v>65</x:v>
      </x:c>
      <x:c r="D39" s="54">
        <x:v>42.7331555238384</x:v>
      </x:c>
      <x:c r="E39" s="54">
        <x:v>-73.6689110910544</x:v>
      </x:c>
      <x:c r="F39" s="55" t="n">
        <x:f>_xlfn.COUNTIFS('Connections'!$B$6:$B$590,A39)+_xlfn.COUNTIFS('Connections'!$C$6:$C$590,A39)</x:f>
        <x:v>1</x:v>
      </x:c>
      <x:c r="G39" s="55" t="n">
        <x:f>_xlfn.COUNTIFS('Connections'!$B$6:$B$590,A39,'Connections'!$D$6:$D$590,"TRUE")+_xlfn.COUNTIFS('Connections'!$C$6:$C$590,A39,'Connections'!$D$6:$D$590,"TRUE")</x:f>
        <x:v>1</x:v>
      </x:c>
      <x:c r="H39" s="48" t="s">
        <x:v>66</x:v>
      </x:c>
      <x:c r="I39" s="48" t="s">
        <x:v>67</x:v>
      </x:c>
      <x:c r="J39" s="49"/>
      <x:c r="K39" s="50"/>
      <x:c r="L39" s="56"/>
      <x:c r="M39" s="53" t="s">
        <x:v>6</x:v>
      </x:c>
      <x:c r="N39" s="57">
        <x:v>68</x:v>
      </x:c>
      <x:c r="O39" s="44"/>
    </x:row>
    <x:row r="40" ht="23" customHeight="1">
      <x:c r="A40" s="21" t="s">
        <x:v>134</x:v>
      </x:c>
      <x:c r="B40" s="45" t="s">
        <x:v>135</x:v>
      </x:c>
      <x:c r="C40" s="45" t="s">
        <x:v>65</x:v>
      </x:c>
      <x:c r="D40" s="46">
        <x:v>42.7328920544551</x:v>
      </x:c>
      <x:c r="E40" s="46">
        <x:v>-73.678166768821</x:v>
      </x:c>
      <x:c r="F40" s="47" t="n">
        <x:f>_xlfn.COUNTIFS('Connections'!$B$6:$B$590,A40)+_xlfn.COUNTIFS('Connections'!$C$6:$C$590,A40)</x:f>
        <x:v>1</x:v>
      </x:c>
      <x:c r="G40" s="47" t="n">
        <x:f>_xlfn.COUNTIFS('Connections'!$B$6:$B$590,A40,'Connections'!$D$6:$D$590,"TRUE")+_xlfn.COUNTIFS('Connections'!$C$6:$C$590,A40,'Connections'!$D$6:$D$590,"TRUE")</x:f>
        <x:v>1</x:v>
      </x:c>
      <x:c r="H40" s="48" t="s">
        <x:v>66</x:v>
      </x:c>
      <x:c r="I40" s="48" t="s">
        <x:v>67</x:v>
      </x:c>
      <x:c r="J40" s="49"/>
      <x:c r="K40" s="50"/>
      <x:c r="L40" s="51"/>
      <x:c r="M40" s="45" t="s">
        <x:v>6</x:v>
      </x:c>
      <x:c r="N40" s="52">
        <x:v>33</x:v>
      </x:c>
      <x:c r="O40" s="44"/>
    </x:row>
    <x:row r="41" ht="23" customHeight="1">
      <x:c r="A41" s="24" t="s">
        <x:v>136</x:v>
      </x:c>
      <x:c r="B41" s="53" t="s">
        <x:v>137</x:v>
      </x:c>
      <x:c r="C41" s="53" t="s">
        <x:v>65</x:v>
      </x:c>
      <x:c r="D41" s="54">
        <x:v>42.7321437395256</x:v>
      </x:c>
      <x:c r="E41" s="54">
        <x:v>-73.66965064056549</x:v>
      </x:c>
      <x:c r="F41" s="55" t="n">
        <x:f>_xlfn.COUNTIFS('Connections'!$B$6:$B$590,A41)+_xlfn.COUNTIFS('Connections'!$C$6:$C$590,A41)</x:f>
        <x:v>2</x:v>
      </x:c>
      <x:c r="G41" s="55" t="n">
        <x:f>_xlfn.COUNTIFS('Connections'!$B$6:$B$590,A41,'Connections'!$D$6:$D$590,"TRUE")+_xlfn.COUNTIFS('Connections'!$C$6:$C$590,A41,'Connections'!$D$6:$D$590,"TRUE")</x:f>
        <x:v>2</x:v>
      </x:c>
      <x:c r="H41" s="48" t="s">
        <x:v>66</x:v>
      </x:c>
      <x:c r="I41" s="48" t="s">
        <x:v>67</x:v>
      </x:c>
      <x:c r="J41" s="49"/>
      <x:c r="K41" s="50"/>
      <x:c r="L41" s="56"/>
      <x:c r="M41" s="53" t="s">
        <x:v>6</x:v>
      </x:c>
      <x:c r="N41" s="57">
        <x:v>51</x:v>
      </x:c>
      <x:c r="O41" s="44"/>
    </x:row>
    <x:row r="42" ht="23" customHeight="1">
      <x:c r="A42" s="21" t="s">
        <x:v>138</x:v>
      </x:c>
      <x:c r="B42" s="45" t="s">
        <x:v>139</x:v>
      </x:c>
      <x:c r="C42" s="45" t="s">
        <x:v>65</x:v>
      </x:c>
      <x:c r="D42" s="46">
        <x:v>42.7331692394064</x:v>
      </x:c>
      <x:c r="E42" s="46">
        <x:v>-73.6798983927157</x:v>
      </x:c>
      <x:c r="F42" s="47" t="n">
        <x:f>_xlfn.COUNTIFS('Connections'!$B$6:$B$590,A42)+_xlfn.COUNTIFS('Connections'!$C$6:$C$590,A42)</x:f>
        <x:v>1</x:v>
      </x:c>
      <x:c r="G42" s="47" t="n">
        <x:f>_xlfn.COUNTIFS('Connections'!$B$6:$B$590,A42,'Connections'!$D$6:$D$590,"TRUE")+_xlfn.COUNTIFS('Connections'!$C$6:$C$590,A42,'Connections'!$D$6:$D$590,"TRUE")</x:f>
        <x:v>1</x:v>
      </x:c>
      <x:c r="H42" s="48" t="s">
        <x:v>66</x:v>
      </x:c>
      <x:c r="I42" s="48" t="s">
        <x:v>67</x:v>
      </x:c>
      <x:c r="J42" s="49"/>
      <x:c r="K42" s="50"/>
      <x:c r="L42" s="51"/>
      <x:c r="M42" s="45" t="s">
        <x:v>6</x:v>
      </x:c>
      <x:c r="N42" s="52">
        <x:v>31</x:v>
      </x:c>
      <x:c r="O42" s="44"/>
    </x:row>
    <x:row r="43" ht="23" customHeight="1">
      <x:c r="A43" s="24" t="s">
        <x:v>140</x:v>
      </x:c>
      <x:c r="B43" s="53" t="s">
        <x:v>141</x:v>
      </x:c>
      <x:c r="C43" s="53" t="s">
        <x:v>65</x:v>
      </x:c>
      <x:c r="D43" s="54">
        <x:v>42.7296023792144</x:v>
      </x:c>
      <x:c r="E43" s="54">
        <x:v>-73.6801876114796</x:v>
      </x:c>
      <x:c r="F43" s="55" t="n">
        <x:f>_xlfn.COUNTIFS('Connections'!$B$6:$B$590,A43)+_xlfn.COUNTIFS('Connections'!$C$6:$C$590,A43)</x:f>
        <x:v>2</x:v>
      </x:c>
      <x:c r="G43" s="55" t="n">
        <x:f>_xlfn.COUNTIFS('Connections'!$B$6:$B$590,A43,'Connections'!$D$6:$D$590,"TRUE")+_xlfn.COUNTIFS('Connections'!$C$6:$C$590,A43,'Connections'!$D$6:$D$590,"TRUE")</x:f>
        <x:v>2</x:v>
      </x:c>
      <x:c r="H43" s="48" t="s">
        <x:v>66</x:v>
      </x:c>
      <x:c r="I43" s="48" t="s">
        <x:v>67</x:v>
      </x:c>
      <x:c r="J43" s="49"/>
      <x:c r="K43" s="50"/>
      <x:c r="L43" s="56"/>
      <x:c r="M43" s="53" t="s">
        <x:v>6</x:v>
      </x:c>
      <x:c r="N43" s="57">
        <x:v>19</x:v>
      </x:c>
      <x:c r="O43" s="44"/>
    </x:row>
    <x:row r="44" ht="23" customHeight="1">
      <x:c r="A44" s="21" t="s">
        <x:v>142</x:v>
      </x:c>
      <x:c r="B44" s="45" t="s">
        <x:v>143</x:v>
      </x:c>
      <x:c r="C44" s="45" t="s">
        <x:v>65</x:v>
      </x:c>
      <x:c r="D44" s="46">
        <x:v>42.7288196976939</x:v>
      </x:c>
      <x:c r="E44" s="46">
        <x:v>-73.68037847802439</x:v>
      </x:c>
      <x:c r="F44" s="47" t="n">
        <x:f>_xlfn.COUNTIFS('Connections'!$B$6:$B$590,A44)+_xlfn.COUNTIFS('Connections'!$C$6:$C$590,A44)</x:f>
        <x:v>1</x:v>
      </x:c>
      <x:c r="G44" s="47" t="n">
        <x:f>_xlfn.COUNTIFS('Connections'!$B$6:$B$590,A44,'Connections'!$D$6:$D$590,"TRUE")+_xlfn.COUNTIFS('Connections'!$C$6:$C$590,A44,'Connections'!$D$6:$D$590,"TRUE")</x:f>
        <x:v>1</x:v>
      </x:c>
      <x:c r="H44" s="48" t="s">
        <x:v>66</x:v>
      </x:c>
      <x:c r="I44" s="48" t="s">
        <x:v>67</x:v>
      </x:c>
      <x:c r="J44" s="49"/>
      <x:c r="K44" s="50"/>
      <x:c r="L44" s="51"/>
      <x:c r="M44" s="45" t="s">
        <x:v>6</x:v>
      </x:c>
      <x:c r="N44" s="52">
        <x:v>20</x:v>
      </x:c>
      <x:c r="O44" s="44"/>
    </x:row>
    <x:row r="45" ht="23" customHeight="1">
      <x:c r="A45" s="24" t="s">
        <x:v>144</x:v>
      </x:c>
      <x:c r="B45" s="53" t="s">
        <x:v>145</x:v>
      </x:c>
      <x:c r="C45" s="53" t="s">
        <x:v>65</x:v>
      </x:c>
      <x:c r="D45" s="54">
        <x:v>42.7300826547069</x:v>
      </x:c>
      <x:c r="E45" s="54">
        <x:v>-73.6818996007287</x:v>
      </x:c>
      <x:c r="F45" s="55" t="n">
        <x:f>_xlfn.COUNTIFS('Connections'!$B$6:$B$590,A45)+_xlfn.COUNTIFS('Connections'!$C$6:$C$590,A45)</x:f>
        <x:v>1</x:v>
      </x:c>
      <x:c r="G45" s="55" t="n">
        <x:f>_xlfn.COUNTIFS('Connections'!$B$6:$B$590,A45,'Connections'!$D$6:$D$590,"TRUE")+_xlfn.COUNTIFS('Connections'!$C$6:$C$590,A45,'Connections'!$D$6:$D$590,"TRUE")</x:f>
        <x:v>1</x:v>
      </x:c>
      <x:c r="H45" s="48" t="s">
        <x:v>66</x:v>
      </x:c>
      <x:c r="I45" s="48" t="s">
        <x:v>67</x:v>
      </x:c>
      <x:c r="J45" s="49"/>
      <x:c r="K45" s="50"/>
      <x:c r="L45" s="56"/>
      <x:c r="M45" s="53" t="s">
        <x:v>6</x:v>
      </x:c>
      <x:c r="N45" s="57">
        <x:v>26</x:v>
      </x:c>
      <x:c r="O45" s="44"/>
    </x:row>
    <x:row r="46" ht="23" customHeight="1">
      <x:c r="A46" s="21" t="s">
        <x:v>146</x:v>
      </x:c>
      <x:c r="B46" s="45" t="s">
        <x:v>147</x:v>
      </x:c>
      <x:c r="C46" s="45" t="s">
        <x:v>65</x:v>
      </x:c>
      <x:c r="D46" s="46">
        <x:v>42.7294025452251</x:v>
      </x:c>
      <x:c r="E46" s="46">
        <x:v>-73.67868702133759</x:v>
      </x:c>
      <x:c r="F46" s="47" t="n">
        <x:f>_xlfn.COUNTIFS('Connections'!$B$6:$B$590,A46)+_xlfn.COUNTIFS('Connections'!$C$6:$C$590,A46)</x:f>
        <x:v>1</x:v>
      </x:c>
      <x:c r="G46" s="47" t="n">
        <x:f>_xlfn.COUNTIFS('Connections'!$B$6:$B$590,A46,'Connections'!$D$6:$D$590,"TRUE")+_xlfn.COUNTIFS('Connections'!$C$6:$C$590,A46,'Connections'!$D$6:$D$590,"TRUE")</x:f>
        <x:v>1</x:v>
      </x:c>
      <x:c r="H46" s="48" t="s">
        <x:v>66</x:v>
      </x:c>
      <x:c r="I46" s="48" t="s">
        <x:v>67</x:v>
      </x:c>
      <x:c r="J46" s="49"/>
      <x:c r="K46" s="50"/>
      <x:c r="L46" s="51"/>
      <x:c r="M46" s="45" t="s">
        <x:v>6</x:v>
      </x:c>
      <x:c r="N46" s="52">
        <x:v>16</x:v>
      </x:c>
      <x:c r="O46" s="44"/>
    </x:row>
    <x:row r="47" ht="23" customHeight="1">
      <x:c r="A47" s="24" t="s">
        <x:v>148</x:v>
      </x:c>
      <x:c r="B47" s="53" t="s">
        <x:v>149</x:v>
      </x:c>
      <x:c r="C47" s="53" t="s">
        <x:v>65</x:v>
      </x:c>
      <x:c r="D47" s="54">
        <x:v>42.7283133827967</x:v>
      </x:c>
      <x:c r="E47" s="54">
        <x:v>-73.6819688586443</x:v>
      </x:c>
      <x:c r="F47" s="55" t="n">
        <x:f>_xlfn.COUNTIFS('Connections'!$B$6:$B$590,A47)+_xlfn.COUNTIFS('Connections'!$C$6:$C$590,A47)</x:f>
        <x:v>2</x:v>
      </x:c>
      <x:c r="G47" s="55" t="n">
        <x:f>_xlfn.COUNTIFS('Connections'!$B$6:$B$590,A47,'Connections'!$D$6:$D$590,"TRUE")+_xlfn.COUNTIFS('Connections'!$C$6:$C$590,A47,'Connections'!$D$6:$D$590,"TRUE")</x:f>
        <x:v>2</x:v>
      </x:c>
      <x:c r="H47" s="48" t="s">
        <x:v>66</x:v>
      </x:c>
      <x:c r="I47" s="48" t="s">
        <x:v>67</x:v>
      </x:c>
      <x:c r="J47" s="49"/>
      <x:c r="K47" s="50"/>
      <x:c r="L47" s="56"/>
      <x:c r="M47" s="53" t="s">
        <x:v>6</x:v>
      </x:c>
      <x:c r="N47" s="57">
        <x:v>22</x:v>
      </x:c>
      <x:c r="O47" s="44"/>
    </x:row>
    <x:row r="48" ht="23" customHeight="1">
      <x:c r="A48" s="21" t="s">
        <x:v>150</x:v>
      </x:c>
      <x:c r="B48" s="45" t="s">
        <x:v>151</x:v>
      </x:c>
      <x:c r="C48" s="45" t="s">
        <x:v>65</x:v>
      </x:c>
      <x:c r="D48" s="46">
        <x:v>42.728805307566</x:v>
      </x:c>
      <x:c r="E48" s="46">
        <x:v>-73.67691223726879</x:v>
      </x:c>
      <x:c r="F48" s="47" t="n">
        <x:f>_xlfn.COUNTIFS('Connections'!$B$6:$B$590,A48)+_xlfn.COUNTIFS('Connections'!$C$6:$C$590,A48)</x:f>
        <x:v>2</x:v>
      </x:c>
      <x:c r="G48" s="47" t="n">
        <x:f>_xlfn.COUNTIFS('Connections'!$B$6:$B$590,A48,'Connections'!$D$6:$D$590,"TRUE")+_xlfn.COUNTIFS('Connections'!$C$6:$C$590,A48,'Connections'!$D$6:$D$590,"TRUE")</x:f>
        <x:v>2</x:v>
      </x:c>
      <x:c r="H48" s="48" t="s">
        <x:v>66</x:v>
      </x:c>
      <x:c r="I48" s="48" t="s">
        <x:v>67</x:v>
      </x:c>
      <x:c r="J48" s="49"/>
      <x:c r="K48" s="50"/>
      <x:c r="L48" s="51"/>
      <x:c r="M48" s="45" t="s">
        <x:v>6</x:v>
      </x:c>
      <x:c r="N48" s="52">
        <x:v>37</x:v>
      </x:c>
      <x:c r="O48" s="44"/>
    </x:row>
    <x:row r="49" ht="23" customHeight="1">
      <x:c r="A49" s="24" t="s">
        <x:v>152</x:v>
      </x:c>
      <x:c r="B49" s="53" t="s">
        <x:v>153</x:v>
      </x:c>
      <x:c r="C49" s="53" t="s">
        <x:v>65</x:v>
      </x:c>
      <x:c r="D49" s="54">
        <x:v>42.727659785464</x:v>
      </x:c>
      <x:c r="E49" s="54">
        <x:v>-73.67362914253449</x:v>
      </x:c>
      <x:c r="F49" s="55" t="n">
        <x:f>_xlfn.COUNTIFS('Connections'!$B$6:$B$590,A49)+_xlfn.COUNTIFS('Connections'!$C$6:$C$590,A49)</x:f>
        <x:v>1</x:v>
      </x:c>
      <x:c r="G49" s="55" t="n">
        <x:f>_xlfn.COUNTIFS('Connections'!$B$6:$B$590,A49,'Connections'!$D$6:$D$590,"TRUE")+_xlfn.COUNTIFS('Connections'!$C$6:$C$590,A49,'Connections'!$D$6:$D$590,"TRUE")</x:f>
        <x:v>1</x:v>
      </x:c>
      <x:c r="H49" s="48" t="s">
        <x:v>66</x:v>
      </x:c>
      <x:c r="I49" s="48" t="s">
        <x:v>67</x:v>
      </x:c>
      <x:c r="J49" s="49"/>
      <x:c r="K49" s="50"/>
      <x:c r="L49" s="56"/>
      <x:c r="M49" s="53" t="s">
        <x:v>6</x:v>
      </x:c>
      <x:c r="N49" s="57">
        <x:v>41</x:v>
      </x:c>
      <x:c r="O49" s="44"/>
    </x:row>
    <x:row r="50" ht="23" customHeight="1">
      <x:c r="A50" s="21" t="s">
        <x:v>154</x:v>
      </x:c>
      <x:c r="B50" s="45" t="s">
        <x:v>155</x:v>
      </x:c>
      <x:c r="C50" s="45" t="s">
        <x:v>65</x:v>
      </x:c>
      <x:c r="D50" s="46">
        <x:v>42.7313610903711</x:v>
      </x:c>
      <x:c r="E50" s="46">
        <x:v>-73.6798278892484</x:v>
      </x:c>
      <x:c r="F50" s="47" t="n">
        <x:f>_xlfn.COUNTIFS('Connections'!$B$6:$B$590,A50)+_xlfn.COUNTIFS('Connections'!$C$6:$C$590,A50)</x:f>
        <x:v>1</x:v>
      </x:c>
      <x:c r="G50" s="47" t="n">
        <x:f>_xlfn.COUNTIFS('Connections'!$B$6:$B$590,A50,'Connections'!$D$6:$D$590,"TRUE")+_xlfn.COUNTIFS('Connections'!$C$6:$C$590,A50,'Connections'!$D$6:$D$590,"TRUE")</x:f>
        <x:v>1</x:v>
      </x:c>
      <x:c r="H50" s="48" t="s">
        <x:v>66</x:v>
      </x:c>
      <x:c r="I50" s="48" t="s">
        <x:v>67</x:v>
      </x:c>
      <x:c r="J50" s="49"/>
      <x:c r="K50" s="50"/>
      <x:c r="L50" s="51"/>
      <x:c r="M50" s="45" t="s">
        <x:v>6</x:v>
      </x:c>
      <x:c r="N50" s="52">
        <x:v>11</x:v>
      </x:c>
      <x:c r="O50" s="44"/>
    </x:row>
    <x:row r="51" ht="23" customHeight="1">
      <x:c r="A51" s="24" t="s">
        <x:v>156</x:v>
      </x:c>
      <x:c r="B51" s="53" t="s">
        <x:v>157</x:v>
      </x:c>
      <x:c r="C51" s="53" t="s">
        <x:v>65</x:v>
      </x:c>
      <x:c r="D51" s="54">
        <x:v>42.7274275472005</x:v>
      </x:c>
      <x:c r="E51" s="54">
        <x:v>-73.6750424434785</x:v>
      </x:c>
      <x:c r="F51" s="55" t="n">
        <x:f>_xlfn.COUNTIFS('Connections'!$B$6:$B$590,A51)+_xlfn.COUNTIFS('Connections'!$C$6:$C$590,A51)</x:f>
        <x:v>1</x:v>
      </x:c>
      <x:c r="G51" s="55" t="n">
        <x:f>_xlfn.COUNTIFS('Connections'!$B$6:$B$590,A51,'Connections'!$D$6:$D$590,"TRUE")+_xlfn.COUNTIFS('Connections'!$C$6:$C$590,A51,'Connections'!$D$6:$D$590,"TRUE")</x:f>
        <x:v>1</x:v>
      </x:c>
      <x:c r="H51" s="48" t="s">
        <x:v>66</x:v>
      </x:c>
      <x:c r="I51" s="48" t="s">
        <x:v>67</x:v>
      </x:c>
      <x:c r="J51" s="49"/>
      <x:c r="K51" s="50"/>
      <x:c r="L51" s="56"/>
      <x:c r="M51" s="53" t="s">
        <x:v>6</x:v>
      </x:c>
      <x:c r="N51" s="57">
        <x:v>44</x:v>
      </x:c>
      <x:c r="O51" s="44"/>
    </x:row>
    <x:row r="52" ht="23" customHeight="1">
      <x:c r="A52" s="21" t="s">
        <x:v>158</x:v>
      </x:c>
      <x:c r="B52" s="45" t="s">
        <x:v>159</x:v>
      </x:c>
      <x:c r="C52" s="45" t="s">
        <x:v>65</x:v>
      </x:c>
      <x:c r="D52" s="46">
        <x:v>42.7277297315786</x:v>
      </x:c>
      <x:c r="E52" s="46">
        <x:v>-73.681413620707</x:v>
      </x:c>
      <x:c r="F52" s="47" t="n">
        <x:f>_xlfn.COUNTIFS('Connections'!$B$6:$B$590,A52)+_xlfn.COUNTIFS('Connections'!$C$6:$C$590,A52)</x:f>
        <x:v>1</x:v>
      </x:c>
      <x:c r="G52" s="47" t="n">
        <x:f>_xlfn.COUNTIFS('Connections'!$B$6:$B$590,A52,'Connections'!$D$6:$D$590,"TRUE")+_xlfn.COUNTIFS('Connections'!$C$6:$C$590,A52,'Connections'!$D$6:$D$590,"TRUE")</x:f>
        <x:v>1</x:v>
      </x:c>
      <x:c r="H52" s="48" t="s">
        <x:v>66</x:v>
      </x:c>
      <x:c r="I52" s="48" t="s">
        <x:v>67</x:v>
      </x:c>
      <x:c r="J52" s="49"/>
      <x:c r="K52" s="50"/>
      <x:c r="L52" s="51"/>
      <x:c r="M52" s="45" t="s">
        <x:v>6</x:v>
      </x:c>
      <x:c r="N52" s="52">
        <x:v>63</x:v>
      </x:c>
      <x:c r="O52" s="44"/>
    </x:row>
    <x:row r="53" ht="23" customHeight="1">
      <x:c r="A53" s="24" t="s">
        <x:v>160</x:v>
      </x:c>
      <x:c r="B53" s="53" t="s">
        <x:v>161</x:v>
      </x:c>
      <x:c r="C53" s="53" t="s">
        <x:v>65</x:v>
      </x:c>
      <x:c r="D53" s="54">
        <x:v>42.7311695906155</x:v>
      </x:c>
      <x:c r="E53" s="54">
        <x:v>-73.6833097926915</x:v>
      </x:c>
      <x:c r="F53" s="55" t="n">
        <x:f>_xlfn.COUNTIFS('Connections'!$B$6:$B$590,A53)+_xlfn.COUNTIFS('Connections'!$C$6:$C$590,A53)</x:f>
        <x:v>2</x:v>
      </x:c>
      <x:c r="G53" s="55" t="n">
        <x:f>_xlfn.COUNTIFS('Connections'!$B$6:$B$590,A53,'Connections'!$D$6:$D$590,"TRUE")+_xlfn.COUNTIFS('Connections'!$C$6:$C$590,A53,'Connections'!$D$6:$D$590,"TRUE")</x:f>
        <x:v>2</x:v>
      </x:c>
      <x:c r="H53" s="48" t="s">
        <x:v>66</x:v>
      </x:c>
      <x:c r="I53" s="48" t="s">
        <x:v>67</x:v>
      </x:c>
      <x:c r="J53" s="49"/>
      <x:c r="K53" s="50"/>
      <x:c r="L53" s="56"/>
      <x:c r="M53" s="53" t="s">
        <x:v>6</x:v>
      </x:c>
      <x:c r="N53" s="57">
        <x:v>4</x:v>
      </x:c>
      <x:c r="O53" s="44"/>
    </x:row>
    <x:row r="54" ht="23" customHeight="1">
      <x:c r="A54" s="21" t="s">
        <x:v>162</x:v>
      </x:c>
      <x:c r="B54" s="45" t="s">
        <x:v>163</x:v>
      </x:c>
      <x:c r="C54" s="45" t="s">
        <x:v>65</x:v>
      </x:c>
      <x:c r="D54" s="46">
        <x:v>42.729251662132</x:v>
      </x:c>
      <x:c r="E54" s="46">
        <x:v>-73.67700170629379</x:v>
      </x:c>
      <x:c r="F54" s="47" t="n">
        <x:f>_xlfn.COUNTIFS('Connections'!$B$6:$B$590,A54)+_xlfn.COUNTIFS('Connections'!$C$6:$C$590,A54)</x:f>
        <x:v>1</x:v>
      </x:c>
      <x:c r="G54" s="47" t="n">
        <x:f>_xlfn.COUNTIFS('Connections'!$B$6:$B$590,A54,'Connections'!$D$6:$D$590,"TRUE")+_xlfn.COUNTIFS('Connections'!$C$6:$C$590,A54,'Connections'!$D$6:$D$590,"TRUE")</x:f>
        <x:v>1</x:v>
      </x:c>
      <x:c r="H54" s="48" t="s">
        <x:v>66</x:v>
      </x:c>
      <x:c r="I54" s="48" t="s">
        <x:v>67</x:v>
      </x:c>
      <x:c r="J54" s="49"/>
      <x:c r="K54" s="50"/>
      <x:c r="L54" s="51"/>
      <x:c r="M54" s="45" t="s">
        <x:v>6</x:v>
      </x:c>
      <x:c r="N54" s="52">
        <x:v>35</x:v>
      </x:c>
      <x:c r="O54" s="44"/>
    </x:row>
    <x:row r="55" ht="23" customHeight="1">
      <x:c r="A55" s="24" t="s">
        <x:v>164</x:v>
      </x:c>
      <x:c r="B55" s="53" t="s">
        <x:v>165</x:v>
      </x:c>
      <x:c r="C55" s="53" t="s">
        <x:v>65</x:v>
      </x:c>
      <x:c r="D55" s="54">
        <x:v>42.7301321088195</x:v>
      </x:c>
      <x:c r="E55" s="54">
        <x:v>-73.6777225353032</x:v>
      </x:c>
      <x:c r="F55" s="55" t="n">
        <x:f>_xlfn.COUNTIFS('Connections'!$B$6:$B$590,A55)+_xlfn.COUNTIFS('Connections'!$C$6:$C$590,A55)</x:f>
        <x:v>3</x:v>
      </x:c>
      <x:c r="G55" s="55" t="n">
        <x:f>_xlfn.COUNTIFS('Connections'!$B$6:$B$590,A55,'Connections'!$D$6:$D$590,"TRUE")+_xlfn.COUNTIFS('Connections'!$C$6:$C$590,A55,'Connections'!$D$6:$D$590,"TRUE")</x:f>
        <x:v>2</x:v>
      </x:c>
      <x:c r="H55" s="48" t="s">
        <x:v>66</x:v>
      </x:c>
      <x:c r="I55" s="48" t="s">
        <x:v>67</x:v>
      </x:c>
      <x:c r="J55" s="49"/>
      <x:c r="K55" s="50"/>
      <x:c r="L55" s="56"/>
      <x:c r="M55" s="53" t="s">
        <x:v>6</x:v>
      </x:c>
      <x:c r="N55" s="57">
        <x:v>15</x:v>
      </x:c>
      <x:c r="O55" s="44"/>
    </x:row>
    <x:row r="56" ht="23" customHeight="1">
      <x:c r="A56" s="21" t="s">
        <x:v>166</x:v>
      </x:c>
      <x:c r="B56" s="45" t="s">
        <x:v>167</x:v>
      </x:c>
      <x:c r="C56" s="45" t="s">
        <x:v>65</x:v>
      </x:c>
      <x:c r="D56" s="46">
        <x:v>42.734249293852</x:v>
      </x:c>
      <x:c r="E56" s="46">
        <x:v>-73.6631980548119</x:v>
      </x:c>
      <x:c r="F56" s="47" t="n">
        <x:f>_xlfn.COUNTIFS('Connections'!$B$6:$B$590,A56)+_xlfn.COUNTIFS('Connections'!$C$6:$C$590,A56)</x:f>
        <x:v>2</x:v>
      </x:c>
      <x:c r="G56" s="47" t="n">
        <x:f>_xlfn.COUNTIFS('Connections'!$B$6:$B$590,A56,'Connections'!$D$6:$D$590,"TRUE")+_xlfn.COUNTIFS('Connections'!$C$6:$C$590,A56,'Connections'!$D$6:$D$590,"TRUE")</x:f>
        <x:v>2</x:v>
      </x:c>
      <x:c r="H56" s="48" t="s">
        <x:v>66</x:v>
      </x:c>
      <x:c r="I56" s="48" t="s">
        <x:v>67</x:v>
      </x:c>
      <x:c r="J56" s="49"/>
      <x:c r="K56" s="50"/>
      <x:c r="L56" s="51"/>
      <x:c r="M56" s="45" t="s">
        <x:v>6</x:v>
      </x:c>
      <x:c r="N56" s="52">
        <x:v>55</x:v>
      </x:c>
      <x:c r="O56" s="44"/>
    </x:row>
    <x:row r="57" ht="23" customHeight="1">
      <x:c r="A57" s="24" t="s">
        <x:v>168</x:v>
      </x:c>
      <x:c r="B57" s="53" t="s">
        <x:v>169</x:v>
      </x:c>
      <x:c r="C57" s="53" t="s">
        <x:v>65</x:v>
      </x:c>
      <x:c r="D57" s="54">
        <x:v>42.7310122669798</x:v>
      </x:c>
      <x:c r="E57" s="54">
        <x:v>-73.6694188616615</x:v>
      </x:c>
      <x:c r="F57" s="55" t="n">
        <x:f>_xlfn.COUNTIFS('Connections'!$B$6:$B$590,A57)+_xlfn.COUNTIFS('Connections'!$C$6:$C$590,A57)</x:f>
        <x:v>1</x:v>
      </x:c>
      <x:c r="G57" s="55" t="n">
        <x:f>_xlfn.COUNTIFS('Connections'!$B$6:$B$590,A57,'Connections'!$D$6:$D$590,"TRUE")+_xlfn.COUNTIFS('Connections'!$C$6:$C$590,A57,'Connections'!$D$6:$D$590,"TRUE")</x:f>
        <x:v>1</x:v>
      </x:c>
      <x:c r="H57" s="48" t="s">
        <x:v>66</x:v>
      </x:c>
      <x:c r="I57" s="48" t="s">
        <x:v>67</x:v>
      </x:c>
      <x:c r="J57" s="49"/>
      <x:c r="K57" s="50"/>
      <x:c r="L57" s="56"/>
      <x:c r="M57" s="53" t="s">
        <x:v>6</x:v>
      </x:c>
      <x:c r="N57" s="57">
        <x:v>52</x:v>
      </x:c>
      <x:c r="O57" s="44"/>
    </x:row>
    <x:row r="58" ht="23" customHeight="1">
      <x:c r="A58" s="21" t="s">
        <x:v>170</x:v>
      </x:c>
      <x:c r="B58" s="45" t="s">
        <x:v>171</x:v>
      </x:c>
      <x:c r="C58" s="45" t="s">
        <x:v>65</x:v>
      </x:c>
      <x:c r="D58" s="46">
        <x:v>42.7349771351961</x:v>
      </x:c>
      <x:c r="E58" s="46">
        <x:v>-73.6653996986484</x:v>
      </x:c>
      <x:c r="F58" s="47" t="n">
        <x:f>_xlfn.COUNTIFS('Connections'!$B$6:$B$590,A58)+_xlfn.COUNTIFS('Connections'!$C$6:$C$590,A58)</x:f>
        <x:v>1</x:v>
      </x:c>
      <x:c r="G58" s="47" t="n">
        <x:f>_xlfn.COUNTIFS('Connections'!$B$6:$B$590,A58,'Connections'!$D$6:$D$590,"TRUE")+_xlfn.COUNTIFS('Connections'!$C$6:$C$590,A58,'Connections'!$D$6:$D$590,"TRUE")</x:f>
        <x:v>1</x:v>
      </x:c>
      <x:c r="H58" s="48" t="s">
        <x:v>66</x:v>
      </x:c>
      <x:c r="I58" s="48" t="s">
        <x:v>67</x:v>
      </x:c>
      <x:c r="J58" s="49"/>
      <x:c r="K58" s="50"/>
      <x:c r="L58" s="51"/>
      <x:c r="M58" s="45" t="s">
        <x:v>6</x:v>
      </x:c>
      <x:c r="N58" s="52">
        <x:v>57</x:v>
      </x:c>
      <x:c r="O58" s="44"/>
    </x:row>
    <x:row r="59" ht="23" customHeight="1">
      <x:c r="A59" s="24" t="s">
        <x:v>172</x:v>
      </x:c>
      <x:c r="B59" s="53" t="s">
        <x:v>173</x:v>
      </x:c>
      <x:c r="C59" s="53" t="s">
        <x:v>65</x:v>
      </x:c>
      <x:c r="D59" s="54">
        <x:v>42.7298997202713</x:v>
      </x:c>
      <x:c r="E59" s="54">
        <x:v>-73.6766696757312</x:v>
      </x:c>
      <x:c r="F59" s="55" t="n">
        <x:f>_xlfn.COUNTIFS('Connections'!$B$6:$B$590,A59)+_xlfn.COUNTIFS('Connections'!$C$6:$C$590,A59)</x:f>
        <x:v>5</x:v>
      </x:c>
      <x:c r="G59" s="55" t="n">
        <x:f>_xlfn.COUNTIFS('Connections'!$B$6:$B$590,A59,'Connections'!$D$6:$D$590,"TRUE")+_xlfn.COUNTIFS('Connections'!$C$6:$C$590,A59,'Connections'!$D$6:$D$590,"TRUE")</x:f>
        <x:v>5</x:v>
      </x:c>
      <x:c r="H59" s="48" t="s">
        <x:v>66</x:v>
      </x:c>
      <x:c r="I59" s="48" t="s">
        <x:v>67</x:v>
      </x:c>
      <x:c r="J59" s="49"/>
      <x:c r="K59" s="50"/>
      <x:c r="L59" s="56"/>
      <x:c r="M59" s="53" t="s">
        <x:v>6</x:v>
      </x:c>
      <x:c r="N59" s="57">
        <x:v>3</x:v>
      </x:c>
      <x:c r="O59" s="44"/>
    </x:row>
    <x:row r="60" ht="23" customHeight="1">
      <x:c r="A60" s="21" t="s">
        <x:v>174</x:v>
      </x:c>
      <x:c r="B60" s="45" t="s">
        <x:v>175</x:v>
      </x:c>
      <x:c r="C60" s="45" t="s">
        <x:v>65</x:v>
      </x:c>
      <x:c r="D60" s="46">
        <x:v>42.7309017267168</x:v>
      </x:c>
      <x:c r="E60" s="46">
        <x:v>-73.6797509579396</x:v>
      </x:c>
      <x:c r="F60" s="47" t="n">
        <x:f>_xlfn.COUNTIFS('Connections'!$B$6:$B$590,A60)+_xlfn.COUNTIFS('Connections'!$C$6:$C$590,A60)</x:f>
        <x:v>1</x:v>
      </x:c>
      <x:c r="G60" s="47" t="n">
        <x:f>_xlfn.COUNTIFS('Connections'!$B$6:$B$590,A60,'Connections'!$D$6:$D$590,"TRUE")+_xlfn.COUNTIFS('Connections'!$C$6:$C$590,A60,'Connections'!$D$6:$D$590,"TRUE")</x:f>
        <x:v>1</x:v>
      </x:c>
      <x:c r="H60" s="48" t="s">
        <x:v>66</x:v>
      </x:c>
      <x:c r="I60" s="48" t="s">
        <x:v>67</x:v>
      </x:c>
      <x:c r="J60" s="49"/>
      <x:c r="K60" s="50"/>
      <x:c r="L60" s="51"/>
      <x:c r="M60" s="45" t="s">
        <x:v>6</x:v>
      </x:c>
      <x:c r="N60" s="52">
        <x:v>13</x:v>
      </x:c>
      <x:c r="O60" s="44"/>
    </x:row>
    <x:row r="61" ht="23" customHeight="1">
      <x:c r="A61" s="24" t="s">
        <x:v>176</x:v>
      </x:c>
      <x:c r="B61" s="53" t="s">
        <x:v>177</x:v>
      </x:c>
      <x:c r="C61" s="53" t="s">
        <x:v>65</x:v>
      </x:c>
      <x:c r="D61" s="54">
        <x:v>42.7281536327168</x:v>
      </x:c>
      <x:c r="E61" s="54">
        <x:v>-73.67724499364719</x:v>
      </x:c>
      <x:c r="F61" s="55" t="n">
        <x:f>_xlfn.COUNTIFS('Connections'!$B$6:$B$590,A61)+_xlfn.COUNTIFS('Connections'!$C$6:$C$590,A61)</x:f>
        <x:v>1</x:v>
      </x:c>
      <x:c r="G61" s="55" t="n">
        <x:f>_xlfn.COUNTIFS('Connections'!$B$6:$B$590,A61,'Connections'!$D$6:$D$590,"TRUE")+_xlfn.COUNTIFS('Connections'!$C$6:$C$590,A61,'Connections'!$D$6:$D$590,"TRUE")</x:f>
        <x:v>1</x:v>
      </x:c>
      <x:c r="H61" s="48" t="s">
        <x:v>66</x:v>
      </x:c>
      <x:c r="I61" s="48" t="s">
        <x:v>67</x:v>
      </x:c>
      <x:c r="J61" s="49"/>
      <x:c r="K61" s="50"/>
      <x:c r="L61" s="56"/>
      <x:c r="M61" s="53" t="s">
        <x:v>6</x:v>
      </x:c>
      <x:c r="N61" s="57">
        <x:v>38</x:v>
      </x:c>
      <x:c r="O61" s="44"/>
    </x:row>
    <x:row r="62" ht="23" customHeight="1">
      <x:c r="A62" s="21" t="s">
        <x:v>178</x:v>
      </x:c>
      <x:c r="B62" s="45" t="s">
        <x:v>179</x:v>
      </x:c>
      <x:c r="C62" s="45" t="s">
        <x:v>65</x:v>
      </x:c>
      <x:c r="D62" s="46">
        <x:v>42.727225286618</x:v>
      </x:c>
      <x:c r="E62" s="46">
        <x:v>-73.6806606651005</x:v>
      </x:c>
      <x:c r="F62" s="47" t="n">
        <x:f>_xlfn.COUNTIFS('Connections'!$B$6:$B$590,A62)+_xlfn.COUNTIFS('Connections'!$C$6:$C$590,A62)</x:f>
        <x:v>3</x:v>
      </x:c>
      <x:c r="G62" s="47" t="n">
        <x:f>_xlfn.COUNTIFS('Connections'!$B$6:$B$590,A62,'Connections'!$D$6:$D$590,"TRUE")+_xlfn.COUNTIFS('Connections'!$C$6:$C$590,A62,'Connections'!$D$6:$D$590,"TRUE")</x:f>
        <x:v>3</x:v>
      </x:c>
      <x:c r="H62" s="48" t="s">
        <x:v>66</x:v>
      </x:c>
      <x:c r="I62" s="48" t="s">
        <x:v>67</x:v>
      </x:c>
      <x:c r="J62" s="49"/>
      <x:c r="K62" s="50"/>
      <x:c r="L62" s="51"/>
      <x:c r="M62" s="45" t="s">
        <x:v>6</x:v>
      </x:c>
      <x:c r="N62" s="52">
        <x:v>66</x:v>
      </x:c>
      <x:c r="O62" s="44"/>
    </x:row>
    <x:row r="63" ht="23" customHeight="1">
      <x:c r="A63" s="24" t="s">
        <x:v>180</x:v>
      </x:c>
      <x:c r="B63" s="53" t="s">
        <x:v>181</x:v>
      </x:c>
      <x:c r="C63" s="53" t="s">
        <x:v>65</x:v>
      </x:c>
      <x:c r="D63" s="54">
        <x:v>42.7292099242771</x:v>
      </x:c>
      <x:c r="E63" s="54">
        <x:v>-73.67815983327949</x:v>
      </x:c>
      <x:c r="F63" s="55" t="n">
        <x:f>_xlfn.COUNTIFS('Connections'!$B$6:$B$590,A63)+_xlfn.COUNTIFS('Connections'!$C$6:$C$590,A63)</x:f>
        <x:v>2</x:v>
      </x:c>
      <x:c r="G63" s="55" t="n">
        <x:f>_xlfn.COUNTIFS('Connections'!$B$6:$B$590,A63,'Connections'!$D$6:$D$590,"TRUE")+_xlfn.COUNTIFS('Connections'!$C$6:$C$590,A63,'Connections'!$D$6:$D$590,"TRUE")</x:f>
        <x:v>2</x:v>
      </x:c>
      <x:c r="H63" s="48" t="s">
        <x:v>66</x:v>
      </x:c>
      <x:c r="I63" s="48" t="s">
        <x:v>67</x:v>
      </x:c>
      <x:c r="J63" s="49"/>
      <x:c r="K63" s="50"/>
      <x:c r="L63" s="56"/>
      <x:c r="M63" s="53" t="s">
        <x:v>6</x:v>
      </x:c>
      <x:c r="N63" s="57">
        <x:v>17</x:v>
      </x:c>
      <x:c r="O63" s="44"/>
    </x:row>
    <x:row r="64" ht="23" customHeight="1">
      <x:c r="A64" s="21" t="s">
        <x:v>182</x:v>
      </x:c>
      <x:c r="B64" s="45" t="s">
        <x:v>183</x:v>
      </x:c>
      <x:c r="C64" s="45" t="s">
        <x:v>65</x:v>
      </x:c>
      <x:c r="D64" s="46">
        <x:v>42.7297841661032</x:v>
      </x:c>
      <x:c r="E64" s="46">
        <x:v>-73.678207915226</x:v>
      </x:c>
      <x:c r="F64" s="47" t="n">
        <x:f>_xlfn.COUNTIFS('Connections'!$B$6:$B$590,A64)+_xlfn.COUNTIFS('Connections'!$C$6:$C$590,A64)</x:f>
        <x:v>1</x:v>
      </x:c>
      <x:c r="G64" s="47" t="n">
        <x:f>_xlfn.COUNTIFS('Connections'!$B$6:$B$590,A64,'Connections'!$D$6:$D$590,"TRUE")+_xlfn.COUNTIFS('Connections'!$C$6:$C$590,A64,'Connections'!$D$6:$D$590,"TRUE")</x:f>
        <x:v>1</x:v>
      </x:c>
      <x:c r="H64" s="48" t="s">
        <x:v>66</x:v>
      </x:c>
      <x:c r="I64" s="48" t="s">
        <x:v>67</x:v>
      </x:c>
      <x:c r="J64" s="49"/>
      <x:c r="K64" s="50"/>
      <x:c r="L64" s="51"/>
      <x:c r="M64" s="45" t="s">
        <x:v>6</x:v>
      </x:c>
      <x:c r="N64" s="52">
        <x:v>2</x:v>
      </x:c>
      <x:c r="O64" s="44"/>
    </x:row>
    <x:row r="65" ht="23" customHeight="1">
      <x:c r="A65" s="24" t="s">
        <x:v>184</x:v>
      </x:c>
      <x:c r="B65" s="53" t="s">
        <x:v>185</x:v>
      </x:c>
      <x:c r="C65" s="53" t="s">
        <x:v>65</x:v>
      </x:c>
      <x:c r="D65" s="54">
        <x:v>42.7308640200207</x:v>
      </x:c>
      <x:c r="E65" s="54">
        <x:v>-73.6816022813999</x:v>
      </x:c>
      <x:c r="F65" s="55" t="n">
        <x:f>_xlfn.COUNTIFS('Connections'!$B$6:$B$590,A65)+_xlfn.COUNTIFS('Connections'!$C$6:$C$590,A65)</x:f>
        <x:v>1</x:v>
      </x:c>
      <x:c r="G65" s="55" t="n">
        <x:f>_xlfn.COUNTIFS('Connections'!$B$6:$B$590,A65,'Connections'!$D$6:$D$590,"TRUE")+_xlfn.COUNTIFS('Connections'!$C$6:$C$590,A65,'Connections'!$D$6:$D$590,"TRUE")</x:f>
        <x:v>1</x:v>
      </x:c>
      <x:c r="H65" s="48" t="s">
        <x:v>66</x:v>
      </x:c>
      <x:c r="I65" s="48" t="s">
        <x:v>67</x:v>
      </x:c>
      <x:c r="J65" s="49"/>
      <x:c r="K65" s="50"/>
      <x:c r="L65" s="56"/>
      <x:c r="M65" s="53" t="s">
        <x:v>6</x:v>
      </x:c>
      <x:c r="N65" s="57">
        <x:v>9</x:v>
      </x:c>
      <x:c r="O65" s="44"/>
    </x:row>
    <x:row r="66" ht="23" customHeight="1">
      <x:c r="A66" s="21" t="s">
        <x:v>186</x:v>
      </x:c>
      <x:c r="B66" s="45" t="s">
        <x:v>187</x:v>
      </x:c>
      <x:c r="C66" s="45" t="s">
        <x:v>65</x:v>
      </x:c>
      <x:c r="D66" s="46">
        <x:v>42.7332453932335</x:v>
      </x:c>
      <x:c r="E66" s="46">
        <x:v>-73.67243780241181</x:v>
      </x:c>
      <x:c r="F66" s="47" t="n">
        <x:f>_xlfn.COUNTIFS('Connections'!$B$6:$B$590,A66)+_xlfn.COUNTIFS('Connections'!$C$6:$C$590,A66)</x:f>
        <x:v>1</x:v>
      </x:c>
      <x:c r="G66" s="47" t="n">
        <x:f>_xlfn.COUNTIFS('Connections'!$B$6:$B$590,A66,'Connections'!$D$6:$D$590,"TRUE")+_xlfn.COUNTIFS('Connections'!$C$6:$C$590,A66,'Connections'!$D$6:$D$590,"TRUE")</x:f>
        <x:v>1</x:v>
      </x:c>
      <x:c r="H66" s="48" t="s">
        <x:v>66</x:v>
      </x:c>
      <x:c r="I66" s="48" t="s">
        <x:v>67</x:v>
      </x:c>
      <x:c r="J66" s="49"/>
      <x:c r="K66" s="50"/>
      <x:c r="L66" s="51"/>
      <x:c r="M66" s="45" t="s">
        <x:v>6</x:v>
      </x:c>
      <x:c r="N66" s="52">
        <x:v>69</x:v>
      </x:c>
      <x:c r="O66" s="44"/>
    </x:row>
    <x:row r="67" ht="23" customHeight="1">
      <x:c r="A67" s="24" t="s">
        <x:v>188</x:v>
      </x:c>
      <x:c r="B67" s="53" t="s">
        <x:v>189</x:v>
      </x:c>
      <x:c r="C67" s="53" t="s">
        <x:v>65</x:v>
      </x:c>
      <x:c r="D67" s="54">
        <x:v>42.7328887776181</x:v>
      </x:c>
      <x:c r="E67" s="54">
        <x:v>-73.6808383806214</x:v>
      </x:c>
      <x:c r="F67" s="55" t="n">
        <x:f>_xlfn.COUNTIFS('Connections'!$B$6:$B$590,A67)+_xlfn.COUNTIFS('Connections'!$C$6:$C$590,A67)</x:f>
        <x:v>1</x:v>
      </x:c>
      <x:c r="G67" s="55" t="n">
        <x:f>_xlfn.COUNTIFS('Connections'!$B$6:$B$590,A67,'Connections'!$D$6:$D$590,"TRUE")+_xlfn.COUNTIFS('Connections'!$C$6:$C$590,A67,'Connections'!$D$6:$D$590,"TRUE")</x:f>
        <x:v>1</x:v>
      </x:c>
      <x:c r="H67" s="48" t="s">
        <x:v>66</x:v>
      </x:c>
      <x:c r="I67" s="48" t="s">
        <x:v>67</x:v>
      </x:c>
      <x:c r="J67" s="49"/>
      <x:c r="K67" s="50"/>
      <x:c r="L67" s="56"/>
      <x:c r="M67" s="53" t="s">
        <x:v>6</x:v>
      </x:c>
      <x:c r="N67" s="57">
        <x:v>29</x:v>
      </x:c>
      <x:c r="O67" s="44"/>
    </x:row>
    <x:row r="68" ht="23" customHeight="1">
      <x:c r="A68" s="21" t="s">
        <x:v>190</x:v>
      </x:c>
      <x:c r="B68" s="45" t="s">
        <x:v>191</x:v>
      </x:c>
      <x:c r="C68" s="45" t="s">
        <x:v>65</x:v>
      </x:c>
      <x:c r="D68" s="46">
        <x:v>42.7270250661145</x:v>
      </x:c>
      <x:c r="E68" s="46">
        <x:v>-73.6746479607236</x:v>
      </x:c>
      <x:c r="F68" s="47" t="n">
        <x:f>_xlfn.COUNTIFS('Connections'!$B$6:$B$590,A68)+_xlfn.COUNTIFS('Connections'!$C$6:$C$590,A68)</x:f>
        <x:v>2</x:v>
      </x:c>
      <x:c r="G68" s="47" t="n">
        <x:f>_xlfn.COUNTIFS('Connections'!$B$6:$B$590,A68,'Connections'!$D$6:$D$590,"TRUE")+_xlfn.COUNTIFS('Connections'!$C$6:$C$590,A68,'Connections'!$D$6:$D$590,"TRUE")</x:f>
        <x:v>2</x:v>
      </x:c>
      <x:c r="H68" s="48" t="s">
        <x:v>66</x:v>
      </x:c>
      <x:c r="I68" s="48" t="s">
        <x:v>67</x:v>
      </x:c>
      <x:c r="J68" s="49"/>
      <x:c r="K68" s="50"/>
      <x:c r="L68" s="51"/>
      <x:c r="M68" s="45" t="s">
        <x:v>6</x:v>
      </x:c>
      <x:c r="N68" s="52">
        <x:v>43</x:v>
      </x:c>
      <x:c r="O68" s="44"/>
    </x:row>
    <x:row r="69" ht="23" customHeight="1">
      <x:c r="A69" s="24" t="s">
        <x:v>192</x:v>
      </x:c>
      <x:c r="B69" s="53" t="s">
        <x:v>193</x:v>
      </x:c>
      <x:c r="C69" s="53" t="s">
        <x:v>65</x:v>
      </x:c>
      <x:c r="D69" s="54">
        <x:v>42.7337312515574</x:v>
      </x:c>
      <x:c r="E69" s="54">
        <x:v>-73.6649082730455</x:v>
      </x:c>
      <x:c r="F69" s="55" t="n">
        <x:f>_xlfn.COUNTIFS('Connections'!$B$6:$B$590,A69)+_xlfn.COUNTIFS('Connections'!$C$6:$C$590,A69)</x:f>
        <x:v>2</x:v>
      </x:c>
      <x:c r="G69" s="55" t="n">
        <x:f>_xlfn.COUNTIFS('Connections'!$B$6:$B$590,A69,'Connections'!$D$6:$D$590,"TRUE")+_xlfn.COUNTIFS('Connections'!$C$6:$C$590,A69,'Connections'!$D$6:$D$590,"TRUE")</x:f>
        <x:v>2</x:v>
      </x:c>
      <x:c r="H69" s="48" t="s">
        <x:v>66</x:v>
      </x:c>
      <x:c r="I69" s="48" t="s">
        <x:v>67</x:v>
      </x:c>
      <x:c r="J69" s="49"/>
      <x:c r="K69" s="50"/>
      <x:c r="L69" s="56"/>
      <x:c r="M69" s="53" t="s">
        <x:v>6</x:v>
      </x:c>
      <x:c r="N69" s="57">
        <x:v>54</x:v>
      </x:c>
      <x:c r="O69" s="44"/>
    </x:row>
    <x:row r="70" ht="23" customHeight="1">
      <x:c r="A70" s="21" t="s">
        <x:v>194</x:v>
      </x:c>
      <x:c r="B70" s="45" t="s">
        <x:v>195</x:v>
      </x:c>
      <x:c r="C70" s="45" t="s">
        <x:v>65</x:v>
      </x:c>
      <x:c r="D70" s="46">
        <x:v>42.7330440756996</x:v>
      </x:c>
      <x:c r="E70" s="46">
        <x:v>-73.6669462049943</x:v>
      </x:c>
      <x:c r="F70" s="47" t="n">
        <x:f>_xlfn.COUNTIFS('Connections'!$B$6:$B$590,A70)+_xlfn.COUNTIFS('Connections'!$C$6:$C$590,A70)</x:f>
        <x:v>4</x:v>
      </x:c>
      <x:c r="G70" s="47" t="n">
        <x:f>_xlfn.COUNTIFS('Connections'!$B$6:$B$590,A70,'Connections'!$D$6:$D$590,"TRUE")+_xlfn.COUNTIFS('Connections'!$C$6:$C$590,A70,'Connections'!$D$6:$D$590,"TRUE")</x:f>
        <x:v>4</x:v>
      </x:c>
      <x:c r="H70" s="48" t="s">
        <x:v>66</x:v>
      </x:c>
      <x:c r="I70" s="48" t="s">
        <x:v>67</x:v>
      </x:c>
      <x:c r="J70" s="49"/>
      <x:c r="K70" s="50"/>
      <x:c r="L70" s="51"/>
      <x:c r="M70" s="45" t="s">
        <x:v>6</x:v>
      </x:c>
      <x:c r="N70" s="52">
        <x:v>67</x:v>
      </x:c>
      <x:c r="O70" s="44"/>
    </x:row>
    <x:row r="71" ht="23" customHeight="1">
      <x:c r="A71" s="24" t="s">
        <x:v>196</x:v>
      </x:c>
      <x:c r="B71" s="53" t="s">
        <x:v>197</x:v>
      </x:c>
      <x:c r="C71" s="53" t="s">
        <x:v>65</x:v>
      </x:c>
      <x:c r="D71" s="54">
        <x:v>42.7310834884144</x:v>
      </x:c>
      <x:c r="E71" s="54">
        <x:v>-73.6805230007287</x:v>
      </x:c>
      <x:c r="F71" s="55" t="n">
        <x:f>_xlfn.COUNTIFS('Connections'!$B$6:$B$590,A71)+_xlfn.COUNTIFS('Connections'!$C$6:$C$590,A71)</x:f>
        <x:v>1</x:v>
      </x:c>
      <x:c r="G71" s="55" t="n">
        <x:f>_xlfn.COUNTIFS('Connections'!$B$6:$B$590,A71,'Connections'!$D$6:$D$590,"TRUE")+_xlfn.COUNTIFS('Connections'!$C$6:$C$590,A71,'Connections'!$D$6:$D$590,"TRUE")</x:f>
        <x:v>1</x:v>
      </x:c>
      <x:c r="H71" s="48" t="s">
        <x:v>66</x:v>
      </x:c>
      <x:c r="I71" s="48" t="s">
        <x:v>67</x:v>
      </x:c>
      <x:c r="J71" s="49"/>
      <x:c r="K71" s="50"/>
      <x:c r="L71" s="56"/>
      <x:c r="M71" s="53" t="s">
        <x:v>6</x:v>
      </x:c>
      <x:c r="N71" s="57">
        <x:v>10</x:v>
      </x:c>
      <x:c r="O71" s="44"/>
    </x:row>
    <x:row r="72" ht="23" customHeight="1">
      <x:c r="A72" s="21" t="s">
        <x:v>198</x:v>
      </x:c>
      <x:c r="B72" s="45" t="s">
        <x:v>199</x:v>
      </x:c>
      <x:c r="C72" s="45" t="s">
        <x:v>65</x:v>
      </x:c>
      <x:c r="D72" s="46">
        <x:v>42.7292472880867</x:v>
      </x:c>
      <x:c r="E72" s="46">
        <x:v>-73.6819248492686</x:v>
      </x:c>
      <x:c r="F72" s="47" t="n">
        <x:f>_xlfn.COUNTIFS('Connections'!$B$6:$B$590,A72)+_xlfn.COUNTIFS('Connections'!$C$6:$C$590,A72)</x:f>
        <x:v>2</x:v>
      </x:c>
      <x:c r="G72" s="47" t="n">
        <x:f>_xlfn.COUNTIFS('Connections'!$B$6:$B$590,A72,'Connections'!$D$6:$D$590,"TRUE")+_xlfn.COUNTIFS('Connections'!$C$6:$C$590,A72,'Connections'!$D$6:$D$590,"TRUE")</x:f>
        <x:v>2</x:v>
      </x:c>
      <x:c r="H72" s="48" t="s">
        <x:v>66</x:v>
      </x:c>
      <x:c r="I72" s="48" t="s">
        <x:v>67</x:v>
      </x:c>
      <x:c r="J72" s="49"/>
      <x:c r="K72" s="50"/>
      <x:c r="L72" s="51"/>
      <x:c r="M72" s="45" t="s">
        <x:v>6</x:v>
      </x:c>
      <x:c r="N72" s="52">
        <x:v>23</x:v>
      </x:c>
      <x:c r="O72" s="44"/>
    </x:row>
    <x:row r="73" ht="23" customHeight="1">
      <x:c r="A73" s="24" t="s">
        <x:v>200</x:v>
      </x:c>
      <x:c r="B73" s="53" t="s">
        <x:v>201</x:v>
      </x:c>
      <x:c r="C73" s="53" t="s">
        <x:v>65</x:v>
      </x:c>
      <x:c r="D73" s="54">
        <x:v>42.7308675073972</x:v>
      </x:c>
      <x:c r="E73" s="54">
        <x:v>-73.6825236241763</x:v>
      </x:c>
      <x:c r="F73" s="55" t="n">
        <x:f>_xlfn.COUNTIFS('Connections'!$B$6:$B$590,A73)+_xlfn.COUNTIFS('Connections'!$C$6:$C$590,A73)</x:f>
        <x:v>1</x:v>
      </x:c>
      <x:c r="G73" s="55" t="n">
        <x:f>_xlfn.COUNTIFS('Connections'!$B$6:$B$590,A73,'Connections'!$D$6:$D$590,"TRUE")+_xlfn.COUNTIFS('Connections'!$C$6:$C$590,A73,'Connections'!$D$6:$D$590,"TRUE")</x:f>
        <x:v>1</x:v>
      </x:c>
      <x:c r="H73" s="48" t="s">
        <x:v>66</x:v>
      </x:c>
      <x:c r="I73" s="48" t="s">
        <x:v>67</x:v>
      </x:c>
      <x:c r="J73" s="49"/>
      <x:c r="K73" s="50"/>
      <x:c r="L73" s="56"/>
      <x:c r="M73" s="53" t="s">
        <x:v>6</x:v>
      </x:c>
      <x:c r="N73" s="57">
        <x:v>7</x:v>
      </x:c>
      <x:c r="O73" s="44"/>
    </x:row>
    <x:row r="74" ht="23" customHeight="1">
      <x:c r="A74" s="21" t="s">
        <x:v>202</x:v>
      </x:c>
      <x:c r="B74" s="45" t="s">
        <x:v>203</x:v>
      </x:c>
      <x:c r="C74" s="45" t="s">
        <x:v>65</x:v>
      </x:c>
      <x:c r="D74" s="46">
        <x:v>42.7279134886281</x:v>
      </x:c>
      <x:c r="E74" s="46">
        <x:v>-73.6752662371224</x:v>
      </x:c>
      <x:c r="F74" s="47" t="n">
        <x:f>_xlfn.COUNTIFS('Connections'!$B$6:$B$590,A74)+_xlfn.COUNTIFS('Connections'!$C$6:$C$590,A74)</x:f>
        <x:v>1</x:v>
      </x:c>
      <x:c r="G74" s="47" t="n">
        <x:f>_xlfn.COUNTIFS('Connections'!$B$6:$B$590,A74,'Connections'!$D$6:$D$590,"TRUE")+_xlfn.COUNTIFS('Connections'!$C$6:$C$590,A74,'Connections'!$D$6:$D$590,"TRUE")</x:f>
        <x:v>1</x:v>
      </x:c>
      <x:c r="H74" s="48" t="s">
        <x:v>66</x:v>
      </x:c>
      <x:c r="I74" s="48" t="s">
        <x:v>67</x:v>
      </x:c>
      <x:c r="J74" s="49"/>
      <x:c r="K74" s="50"/>
      <x:c r="L74" s="51"/>
      <x:c r="M74" s="45" t="s">
        <x:v>6</x:v>
      </x:c>
      <x:c r="N74" s="52">
        <x:v>45</x:v>
      </x:c>
      <x:c r="O74" s="44"/>
    </x:row>
    <x:row r="75" ht="23" customHeight="1">
      <x:c r="A75" s="24" t="s">
        <x:v>204</x:v>
      </x:c>
      <x:c r="B75" s="53" t="s">
        <x:v>205</x:v>
      </x:c>
      <x:c r="C75" s="53" t="s">
        <x:v>65</x:v>
      </x:c>
      <x:c r="D75" s="54">
        <x:v>42.7317041350482</x:v>
      </x:c>
      <x:c r="E75" s="54">
        <x:v>-73.6831166044322</x:v>
      </x:c>
      <x:c r="F75" s="55" t="n">
        <x:f>_xlfn.COUNTIFS('Connections'!$B$6:$B$590,A75)+_xlfn.COUNTIFS('Connections'!$C$6:$C$590,A75)</x:f>
        <x:v>1</x:v>
      </x:c>
      <x:c r="G75" s="55" t="n">
        <x:f>_xlfn.COUNTIFS('Connections'!$B$6:$B$590,A75,'Connections'!$D$6:$D$590,"TRUE")+_xlfn.COUNTIFS('Connections'!$C$6:$C$590,A75,'Connections'!$D$6:$D$590,"TRUE")</x:f>
        <x:v>1</x:v>
      </x:c>
      <x:c r="H75" s="48" t="s">
        <x:v>66</x:v>
      </x:c>
      <x:c r="I75" s="48" t="s">
        <x:v>67</x:v>
      </x:c>
      <x:c r="J75" s="49"/>
      <x:c r="K75" s="50"/>
      <x:c r="L75" s="56"/>
      <x:c r="M75" s="53" t="s">
        <x:v>6</x:v>
      </x:c>
      <x:c r="N75" s="57">
        <x:v>5</x:v>
      </x:c>
      <x:c r="O75" s="44"/>
    </x:row>
    <x:row r="76" ht="44" customHeight="1">
      <x:c r="A76" s="21" t="s">
        <x:v>206</x:v>
      </x:c>
      <x:c r="B76" s="45" t="s">
        <x:v>207</x:v>
      </x:c>
      <x:c r="C76" s="45" t="s">
        <x:v>65</x:v>
      </x:c>
      <x:c r="D76" s="46">
        <x:v>42.7309208693319</x:v>
      </x:c>
      <x:c r="E76" s="46">
        <x:v>-73.68431180246741</x:v>
      </x:c>
      <x:c r="F76" s="47" t="n">
        <x:f>_xlfn.COUNTIFS('Connections'!$B$6:$B$590,A76)+_xlfn.COUNTIFS('Connections'!$C$6:$C$590,A76)</x:f>
        <x:v>1</x:v>
      </x:c>
      <x:c r="G76" s="47" t="n">
        <x:f>_xlfn.COUNTIFS('Connections'!$B$6:$B$590,A76,'Connections'!$D$6:$D$590,"TRUE")+_xlfn.COUNTIFS('Connections'!$C$6:$C$590,A76,'Connections'!$D$6:$D$590,"TRUE")</x:f>
        <x:v>0</x:v>
      </x:c>
      <x:c r="H76" s="48" t="s">
        <x:v>66</x:v>
      </x:c>
      <x:c r="I76" s="48" t="s">
        <x:v>67</x:v>
      </x:c>
      <x:c r="J76" s="49"/>
      <x:c r="K76" s="50"/>
      <x:c r="L76" s="58" t="str">
        <x:v>Connected to N71 by E0585. Separate locations retained per user correction; accessibility unverified.</x:v>
      </x:c>
      <x:c r="M76" s="45" t="s">
        <x:v>6</x:v>
      </x:c>
      <x:c r="N76" s="52">
        <x:v>72</x:v>
      </x:c>
      <x:c r="O76" s="44"/>
    </x:row>
    <x:row r="77" ht="44" customHeight="1">
      <x:c r="A77" s="21" t="str">
        <x:v>N71</x:v>
      </x:c>
      <x:c r="B77" s="45" t="str">
        <x:v>N71</x:v>
      </x:c>
      <x:c r="C77" s="45" t="str">
        <x:v>path_point</x:v>
      </x:c>
      <x:c r="D77" s="46" t="n">
        <x:v>42.73092087</x:v>
      </x:c>
      <x:c r="E77" s="46" t="n">
        <x:v>-73.6843118</x:v>
      </x:c>
      <x:c r="F77" s="47" t="n">
        <x:f>_xlfn.COUNTIFS('Connections'!$B$6:$B$590,A77)+_xlfn.COUNTIFS('Connections'!$C$6:$C$590,A77)</x:f>
        <x:v>2</x:v>
      </x:c>
      <x:c r="G77" s="47" t="n">
        <x:f>_xlfn.COUNTIFS('Connections'!$B$6:$B$590,A77,'Connections'!$D$6:$D$590,"TRUE")+_xlfn.COUNTIFS('Connections'!$C$6:$C$590,A77,'Connections'!$D$6:$D$590,"TRUE")</x:f>
        <x:v>1</x:v>
      </x:c>
      <x:c r="H77" s="48" t="s">
        <x:v>66</x:v>
      </x:c>
      <x:c r="I77" s="48" t="s">
        <x:v>67</x:v>
      </x:c>
      <x:c r="J77" s="49"/>
      <x:c r="K77" s="50"/>
      <x:c r="L77" s="51" t="str">
        <x:v>Connected to Winslow Building (L071) and N312. Separate location retained per user correction.</x:v>
      </x:c>
      <x:c r="M77" s="45" t="str">
        <x:v>Nodes</x:v>
      </x:c>
      <x:c r="N77" s="52" t="n">
        <x:v>2</x:v>
      </x:c>
      <x:c r="O77" s="44"/>
    </x:row>
    <x:row r="78" ht="23" customHeight="1">
      <x:c r="A78" s="21" t="s">
        <x:v>208</x:v>
      </x:c>
      <x:c r="B78" s="45" t="s">
        <x:v>208</x:v>
      </x:c>
      <x:c r="C78" s="45" t="s">
        <x:v>209</x:v>
      </x:c>
      <x:c r="D78" s="46">
        <x:v>42.732426129427</x:v>
      </x:c>
      <x:c r="E78" s="46">
        <x:v>-73.6716057078776</x:v>
      </x:c>
      <x:c r="F78" s="47" t="n">
        <x:f>_xlfn.COUNTIFS('Connections'!$B$6:$B$590,A78)+_xlfn.COUNTIFS('Connections'!$C$6:$C$590,A78)</x:f>
        <x:v>4</x:v>
      </x:c>
      <x:c r="G78" s="47" t="n">
        <x:f>_xlfn.COUNTIFS('Connections'!$B$6:$B$590,A78,'Connections'!$D$6:$D$590,"TRUE")+_xlfn.COUNTIFS('Connections'!$C$6:$C$590,A78,'Connections'!$D$6:$D$590,"TRUE")</x:f>
        <x:v>4</x:v>
      </x:c>
      <x:c r="H78" s="48" t="s">
        <x:v>66</x:v>
      </x:c>
      <x:c r="I78" s="48" t="s">
        <x:v>67</x:v>
      </x:c>
      <x:c r="J78" s="49"/>
      <x:c r="K78" s="50"/>
      <x:c r="L78" s="51"/>
      <x:c r="M78" s="45" t="s">
        <x:v>210</x:v>
      </x:c>
      <x:c r="N78" s="52">
        <x:v>3</x:v>
      </x:c>
      <x:c r="O78" s="44"/>
    </x:row>
    <x:row r="79" ht="23" customHeight="1">
      <x:c r="A79" s="24" t="s">
        <x:v>211</x:v>
      </x:c>
      <x:c r="B79" s="53" t="s">
        <x:v>211</x:v>
      </x:c>
      <x:c r="C79" s="53" t="s">
        <x:v>209</x:v>
      </x:c>
      <x:c r="D79" s="54">
        <x:v>42.7330583616459</x:v>
      </x:c>
      <x:c r="E79" s="54">
        <x:v>-73.6765397817569</x:v>
      </x:c>
      <x:c r="F79" s="55" t="n">
        <x:f>_xlfn.COUNTIFS('Connections'!$B$6:$B$590,A79)+_xlfn.COUNTIFS('Connections'!$C$6:$C$590,A79)</x:f>
        <x:v>4</x:v>
      </x:c>
      <x:c r="G79" s="55" t="n">
        <x:f>_xlfn.COUNTIFS('Connections'!$B$6:$B$590,A79,'Connections'!$D$6:$D$590,"TRUE")+_xlfn.COUNTIFS('Connections'!$C$6:$C$590,A79,'Connections'!$D$6:$D$590,"TRUE")</x:f>
        <x:v>4</x:v>
      </x:c>
      <x:c r="H79" s="48" t="s">
        <x:v>66</x:v>
      </x:c>
      <x:c r="I79" s="48" t="s">
        <x:v>67</x:v>
      </x:c>
      <x:c r="J79" s="49"/>
      <x:c r="K79" s="50"/>
      <x:c r="L79" s="56"/>
      <x:c r="M79" s="53" t="s">
        <x:v>210</x:v>
      </x:c>
      <x:c r="N79" s="57">
        <x:v>4</x:v>
      </x:c>
      <x:c r="O79" s="44"/>
    </x:row>
    <x:row r="80" ht="23" customHeight="1">
      <x:c r="A80" s="21" t="s">
        <x:v>212</x:v>
      </x:c>
      <x:c r="B80" s="45" t="s">
        <x:v>212</x:v>
      </x:c>
      <x:c r="C80" s="45" t="s">
        <x:v>209</x:v>
      </x:c>
      <x:c r="D80" s="46">
        <x:v>42.7307708305265</x:v>
      </x:c>
      <x:c r="E80" s="46">
        <x:v>-73.6772241855531</x:v>
      </x:c>
      <x:c r="F80" s="47" t="n">
        <x:f>_xlfn.COUNTIFS('Connections'!$B$6:$B$590,A80)+_xlfn.COUNTIFS('Connections'!$C$6:$C$590,A80)</x:f>
        <x:v>4</x:v>
      </x:c>
      <x:c r="G80" s="47" t="n">
        <x:f>_xlfn.COUNTIFS('Connections'!$B$6:$B$590,A80,'Connections'!$D$6:$D$590,"TRUE")+_xlfn.COUNTIFS('Connections'!$C$6:$C$590,A80,'Connections'!$D$6:$D$590,"TRUE")</x:f>
        <x:v>4</x:v>
      </x:c>
      <x:c r="H80" s="48" t="s">
        <x:v>66</x:v>
      </x:c>
      <x:c r="I80" s="48" t="s">
        <x:v>67</x:v>
      </x:c>
      <x:c r="J80" s="49"/>
      <x:c r="K80" s="50"/>
      <x:c r="L80" s="51"/>
      <x:c r="M80" s="45" t="s">
        <x:v>210</x:v>
      </x:c>
      <x:c r="N80" s="52">
        <x:v>5</x:v>
      </x:c>
      <x:c r="O80" s="44"/>
    </x:row>
    <x:row r="81" ht="23" customHeight="1">
      <x:c r="A81" s="24" t="s">
        <x:v>213</x:v>
      </x:c>
      <x:c r="B81" s="53" t="s">
        <x:v>213</x:v>
      </x:c>
      <x:c r="C81" s="53" t="s">
        <x:v>209</x:v>
      </x:c>
      <x:c r="D81" s="54">
        <x:v>42.7306443840828</x:v>
      </x:c>
      <x:c r="E81" s="54">
        <x:v>-73.6762214544098</x:v>
      </x:c>
      <x:c r="F81" s="55" t="n">
        <x:f>_xlfn.COUNTIFS('Connections'!$B$6:$B$590,A81)+_xlfn.COUNTIFS('Connections'!$C$6:$C$590,A81)</x:f>
        <x:v>4</x:v>
      </x:c>
      <x:c r="G81" s="55" t="n">
        <x:f>_xlfn.COUNTIFS('Connections'!$B$6:$B$590,A81,'Connections'!$D$6:$D$590,"TRUE")+_xlfn.COUNTIFS('Connections'!$C$6:$C$590,A81,'Connections'!$D$6:$D$590,"TRUE")</x:f>
        <x:v>4</x:v>
      </x:c>
      <x:c r="H81" s="48" t="s">
        <x:v>66</x:v>
      </x:c>
      <x:c r="I81" s="48" t="s">
        <x:v>67</x:v>
      </x:c>
      <x:c r="J81" s="49"/>
      <x:c r="K81" s="50"/>
      <x:c r="L81" s="56"/>
      <x:c r="M81" s="53" t="s">
        <x:v>210</x:v>
      </x:c>
      <x:c r="N81" s="57">
        <x:v>6</x:v>
      </x:c>
      <x:c r="O81" s="44"/>
    </x:row>
    <x:row r="82" ht="23" customHeight="1">
      <x:c r="A82" s="21" t="s">
        <x:v>214</x:v>
      </x:c>
      <x:c r="B82" s="45" t="s">
        <x:v>214</x:v>
      </x:c>
      <x:c r="C82" s="45" t="s">
        <x:v>209</x:v>
      </x:c>
      <x:c r="D82" s="46">
        <x:v>42.7309432574953</x:v>
      </x:c>
      <x:c r="E82" s="46">
        <x:v>-73.67564846518511</x:v>
      </x:c>
      <x:c r="F82" s="47" t="n">
        <x:f>_xlfn.COUNTIFS('Connections'!$B$6:$B$590,A82)+_xlfn.COUNTIFS('Connections'!$C$6:$C$590,A82)</x:f>
        <x:v>3</x:v>
      </x:c>
      <x:c r="G82" s="47" t="n">
        <x:f>_xlfn.COUNTIFS('Connections'!$B$6:$B$590,A82,'Connections'!$D$6:$D$590,"TRUE")+_xlfn.COUNTIFS('Connections'!$C$6:$C$590,A82,'Connections'!$D$6:$D$590,"TRUE")</x:f>
        <x:v>3</x:v>
      </x:c>
      <x:c r="H82" s="48" t="s">
        <x:v>66</x:v>
      </x:c>
      <x:c r="I82" s="48" t="s">
        <x:v>67</x:v>
      </x:c>
      <x:c r="J82" s="49"/>
      <x:c r="K82" s="50"/>
      <x:c r="L82" s="51"/>
      <x:c r="M82" s="45" t="s">
        <x:v>210</x:v>
      </x:c>
      <x:c r="N82" s="52">
        <x:v>7</x:v>
      </x:c>
      <x:c r="O82" s="44"/>
    </x:row>
    <x:row r="83" ht="23" customHeight="1">
      <x:c r="A83" s="24" t="s">
        <x:v>215</x:v>
      </x:c>
      <x:c r="B83" s="53" t="s">
        <x:v>215</x:v>
      </x:c>
      <x:c r="C83" s="53" t="s">
        <x:v>209</x:v>
      </x:c>
      <x:c r="D83" s="54">
        <x:v>42.7319088485206</x:v>
      </x:c>
      <x:c r="E83" s="54">
        <x:v>-73.6746298176746</x:v>
      </x:c>
      <x:c r="F83" s="55" t="n">
        <x:f>_xlfn.COUNTIFS('Connections'!$B$6:$B$590,A83)+_xlfn.COUNTIFS('Connections'!$C$6:$C$590,A83)</x:f>
        <x:v>3</x:v>
      </x:c>
      <x:c r="G83" s="55" t="n">
        <x:f>_xlfn.COUNTIFS('Connections'!$B$6:$B$590,A83,'Connections'!$D$6:$D$590,"TRUE")+_xlfn.COUNTIFS('Connections'!$C$6:$C$590,A83,'Connections'!$D$6:$D$590,"TRUE")</x:f>
        <x:v>3</x:v>
      </x:c>
      <x:c r="H83" s="48" t="s">
        <x:v>66</x:v>
      </x:c>
      <x:c r="I83" s="48" t="s">
        <x:v>67</x:v>
      </x:c>
      <x:c r="J83" s="49"/>
      <x:c r="K83" s="50"/>
      <x:c r="L83" s="56"/>
      <x:c r="M83" s="53" t="s">
        <x:v>210</x:v>
      </x:c>
      <x:c r="N83" s="57">
        <x:v>8</x:v>
      </x:c>
      <x:c r="O83" s="44"/>
    </x:row>
    <x:row r="84" ht="23" customHeight="1">
      <x:c r="A84" s="21" t="s">
        <x:v>216</x:v>
      </x:c>
      <x:c r="B84" s="45" t="s">
        <x:v>216</x:v>
      </x:c>
      <x:c r="C84" s="45" t="s">
        <x:v>209</x:v>
      </x:c>
      <x:c r="D84" s="46">
        <x:v>42.7327135077083</x:v>
      </x:c>
      <x:c r="E84" s="46">
        <x:v>-73.6743114903275</x:v>
      </x:c>
      <x:c r="F84" s="47" t="n">
        <x:f>_xlfn.COUNTIFS('Connections'!$B$6:$B$590,A84)+_xlfn.COUNTIFS('Connections'!$C$6:$C$590,A84)</x:f>
        <x:v>3</x:v>
      </x:c>
      <x:c r="G84" s="47" t="n">
        <x:f>_xlfn.COUNTIFS('Connections'!$B$6:$B$590,A84,'Connections'!$D$6:$D$590,"TRUE")+_xlfn.COUNTIFS('Connections'!$C$6:$C$590,A84,'Connections'!$D$6:$D$590,"TRUE")</x:f>
        <x:v>3</x:v>
      </x:c>
      <x:c r="H84" s="48" t="s">
        <x:v>66</x:v>
      </x:c>
      <x:c r="I84" s="48" t="s">
        <x:v>67</x:v>
      </x:c>
      <x:c r="J84" s="49"/>
      <x:c r="K84" s="50"/>
      <x:c r="L84" s="51"/>
      <x:c r="M84" s="45" t="s">
        <x:v>210</x:v>
      </x:c>
      <x:c r="N84" s="52">
        <x:v>9</x:v>
      </x:c>
      <x:c r="O84" s="44"/>
    </x:row>
    <x:row r="85" ht="23" customHeight="1">
      <x:c r="A85" s="24" t="s">
        <x:v>217</x:v>
      </x:c>
      <x:c r="B85" s="53" t="s">
        <x:v>217</x:v>
      </x:c>
      <x:c r="C85" s="53" t="s">
        <x:v>209</x:v>
      </x:c>
      <x:c r="D85" s="54">
        <x:v>42.7309145196672</x:v>
      </x:c>
      <x:c r="E85" s="54">
        <x:v>-73.6737926167518</x:v>
      </x:c>
      <x:c r="F85" s="55" t="n">
        <x:f>_xlfn.COUNTIFS('Connections'!$B$6:$B$590,A85)+_xlfn.COUNTIFS('Connections'!$C$6:$C$590,A85)</x:f>
        <x:v>3</x:v>
      </x:c>
      <x:c r="G85" s="55" t="n">
        <x:f>_xlfn.COUNTIFS('Connections'!$B$6:$B$590,A85,'Connections'!$D$6:$D$590,"TRUE")+_xlfn.COUNTIFS('Connections'!$C$6:$C$590,A85,'Connections'!$D$6:$D$590,"TRUE")</x:f>
        <x:v>3</x:v>
      </x:c>
      <x:c r="H85" s="48" t="s">
        <x:v>66</x:v>
      </x:c>
      <x:c r="I85" s="48" t="s">
        <x:v>67</x:v>
      </x:c>
      <x:c r="J85" s="49"/>
      <x:c r="K85" s="50"/>
      <x:c r="L85" s="56"/>
      <x:c r="M85" s="53" t="s">
        <x:v>210</x:v>
      </x:c>
      <x:c r="N85" s="57">
        <x:v>10</x:v>
      </x:c>
      <x:c r="O85" s="44"/>
    </x:row>
    <x:row r="86" ht="23" customHeight="1">
      <x:c r="A86" s="21" t="s">
        <x:v>218</x:v>
      </x:c>
      <x:c r="B86" s="45" t="s">
        <x:v>218</x:v>
      </x:c>
      <x:c r="C86" s="45" t="s">
        <x:v>209</x:v>
      </x:c>
      <x:c r="D86" s="46">
        <x:v>42.7313455870892</x:v>
      </x:c>
      <x:c r="E86" s="46">
        <x:v>-73.67429557396019</x:v>
      </x:c>
      <x:c r="F86" s="47" t="n">
        <x:f>_xlfn.COUNTIFS('Connections'!$B$6:$B$590,A86)+_xlfn.COUNTIFS('Connections'!$C$6:$C$590,A86)</x:f>
        <x:v>2</x:v>
      </x:c>
      <x:c r="G86" s="47" t="n">
        <x:f>_xlfn.COUNTIFS('Connections'!$B$6:$B$590,A86,'Connections'!$D$6:$D$590,"TRUE")+_xlfn.COUNTIFS('Connections'!$C$6:$C$590,A86,'Connections'!$D$6:$D$590,"TRUE")</x:f>
        <x:v>2</x:v>
      </x:c>
      <x:c r="H86" s="48" t="s">
        <x:v>66</x:v>
      </x:c>
      <x:c r="I86" s="48" t="s">
        <x:v>67</x:v>
      </x:c>
      <x:c r="J86" s="49"/>
      <x:c r="K86" s="50"/>
      <x:c r="L86" s="51"/>
      <x:c r="M86" s="45" t="s">
        <x:v>210</x:v>
      </x:c>
      <x:c r="N86" s="52">
        <x:v>11</x:v>
      </x:c>
      <x:c r="O86" s="44"/>
    </x:row>
    <x:row r="87" ht="23" customHeight="1">
      <x:c r="A87" s="24" t="s">
        <x:v>219</x:v>
      </x:c>
      <x:c r="B87" s="53" t="s">
        <x:v>219</x:v>
      </x:c>
      <x:c r="C87" s="53" t="s">
        <x:v>209</x:v>
      </x:c>
      <x:c r="D87" s="54">
        <x:v>42.7312651211704</x:v>
      </x:c>
      <x:c r="E87" s="54">
        <x:v>-73.6719081188573</x:v>
      </x:c>
      <x:c r="F87" s="55" t="n">
        <x:f>_xlfn.COUNTIFS('Connections'!$B$6:$B$590,A87)+_xlfn.COUNTIFS('Connections'!$C$6:$C$590,A87)</x:f>
        <x:v>4</x:v>
      </x:c>
      <x:c r="G87" s="55" t="n">
        <x:f>_xlfn.COUNTIFS('Connections'!$B$6:$B$590,A87,'Connections'!$D$6:$D$590,"TRUE")+_xlfn.COUNTIFS('Connections'!$C$6:$C$590,A87,'Connections'!$D$6:$D$590,"TRUE")</x:f>
        <x:v>4</x:v>
      </x:c>
      <x:c r="H87" s="48" t="s">
        <x:v>66</x:v>
      </x:c>
      <x:c r="I87" s="48" t="s">
        <x:v>67</x:v>
      </x:c>
      <x:c r="J87" s="49"/>
      <x:c r="K87" s="50"/>
      <x:c r="L87" s="56"/>
      <x:c r="M87" s="53" t="s">
        <x:v>210</x:v>
      </x:c>
      <x:c r="N87" s="57">
        <x:v>12</x:v>
      </x:c>
      <x:c r="O87" s="44"/>
    </x:row>
    <x:row r="88" ht="23" customHeight="1">
      <x:c r="A88" s="21" t="s">
        <x:v>220</x:v>
      </x:c>
      <x:c r="B88" s="45" t="s">
        <x:v>220</x:v>
      </x:c>
      <x:c r="C88" s="45" t="s">
        <x:v>209</x:v>
      </x:c>
      <x:c r="D88" s="46">
        <x:v>42.7311271795954</x:v>
      </x:c>
      <x:c r="E88" s="46">
        <x:v>-73.6730381809393</x:v>
      </x:c>
      <x:c r="F88" s="47" t="n">
        <x:f>_xlfn.COUNTIFS('Connections'!$B$6:$B$590,A88)+_xlfn.COUNTIFS('Connections'!$C$6:$C$590,A88)</x:f>
        <x:v>3</x:v>
      </x:c>
      <x:c r="G88" s="47" t="n">
        <x:f>_xlfn.COUNTIFS('Connections'!$B$6:$B$590,A88,'Connections'!$D$6:$D$590,"TRUE")+_xlfn.COUNTIFS('Connections'!$C$6:$C$590,A88,'Connections'!$D$6:$D$590,"TRUE")</x:f>
        <x:v>3</x:v>
      </x:c>
      <x:c r="H88" s="48" t="s">
        <x:v>66</x:v>
      </x:c>
      <x:c r="I88" s="48" t="s">
        <x:v>67</x:v>
      </x:c>
      <x:c r="J88" s="49"/>
      <x:c r="K88" s="50"/>
      <x:c r="L88" s="51"/>
      <x:c r="M88" s="45" t="s">
        <x:v>210</x:v>
      </x:c>
      <x:c r="N88" s="52">
        <x:v>13</x:v>
      </x:c>
      <x:c r="O88" s="44"/>
    </x:row>
    <x:row r="89" ht="23" customHeight="1">
      <x:c r="A89" s="24" t="s">
        <x:v>221</x:v>
      </x:c>
      <x:c r="B89" s="53" t="s">
        <x:v>221</x:v>
      </x:c>
      <x:c r="C89" s="53" t="s">
        <x:v>209</x:v>
      </x:c>
      <x:c r="D89" s="54">
        <x:v>42.7325065953458</x:v>
      </x:c>
      <x:c r="E89" s="54">
        <x:v>-73.6726721044902</x:v>
      </x:c>
      <x:c r="F89" s="55" t="n">
        <x:f>_xlfn.COUNTIFS('Connections'!$B$6:$B$590,A89)+_xlfn.COUNTIFS('Connections'!$C$6:$C$590,A89)</x:f>
        <x:v>4</x:v>
      </x:c>
      <x:c r="G89" s="55" t="n">
        <x:f>_xlfn.COUNTIFS('Connections'!$B$6:$B$590,A89,'Connections'!$D$6:$D$590,"TRUE")+_xlfn.COUNTIFS('Connections'!$C$6:$C$590,A89,'Connections'!$D$6:$D$590,"TRUE")</x:f>
        <x:v>4</x:v>
      </x:c>
      <x:c r="H89" s="48" t="s">
        <x:v>66</x:v>
      </x:c>
      <x:c r="I89" s="48" t="s">
        <x:v>67</x:v>
      </x:c>
      <x:c r="J89" s="49"/>
      <x:c r="K89" s="50"/>
      <x:c r="L89" s="56"/>
      <x:c r="M89" s="53" t="s">
        <x:v>210</x:v>
      </x:c>
      <x:c r="N89" s="57">
        <x:v>14</x:v>
      </x:c>
      <x:c r="O89" s="44"/>
    </x:row>
    <x:row r="90" ht="23" customHeight="1">
      <x:c r="A90" s="21" t="s">
        <x:v>222</x:v>
      </x:c>
      <x:c r="B90" s="45" t="s">
        <x:v>222</x:v>
      </x:c>
      <x:c r="C90" s="45" t="s">
        <x:v>209</x:v>
      </x:c>
      <x:c r="D90" s="46">
        <x:v>42.7313685773517</x:v>
      </x:c>
      <x:c r="E90" s="46">
        <x:v>-73.6751073086951</x:v>
      </x:c>
      <x:c r="F90" s="47" t="n">
        <x:f>_xlfn.COUNTIFS('Connections'!$B$6:$B$590,A90)+_xlfn.COUNTIFS('Connections'!$C$6:$C$590,A90)</x:f>
        <x:v>2</x:v>
      </x:c>
      <x:c r="G90" s="47" t="n">
        <x:f>_xlfn.COUNTIFS('Connections'!$B$6:$B$590,A90,'Connections'!$D$6:$D$590,"TRUE")+_xlfn.COUNTIFS('Connections'!$C$6:$C$590,A90,'Connections'!$D$6:$D$590,"TRUE")</x:f>
        <x:v>2</x:v>
      </x:c>
      <x:c r="H90" s="48" t="s">
        <x:v>66</x:v>
      </x:c>
      <x:c r="I90" s="48" t="s">
        <x:v>67</x:v>
      </x:c>
      <x:c r="J90" s="49"/>
      <x:c r="K90" s="50"/>
      <x:c r="L90" s="51"/>
      <x:c r="M90" s="45" t="s">
        <x:v>210</x:v>
      </x:c>
      <x:c r="N90" s="52">
        <x:v>15</x:v>
      </x:c>
      <x:c r="O90" s="44"/>
    </x:row>
    <x:row r="91" ht="23" customHeight="1">
      <x:c r="A91" s="24" t="s">
        <x:v>223</x:v>
      </x:c>
      <x:c r="B91" s="53" t="s">
        <x:v>223</x:v>
      </x:c>
      <x:c r="C91" s="53" t="s">
        <x:v>209</x:v>
      </x:c>
      <x:c r="D91" s="54">
        <x:v>42.7306053006365</x:v>
      </x:c>
      <x:c r="E91" s="54">
        <x:v>-73.6740520535397</x:v>
      </x:c>
      <x:c r="F91" s="55" t="n">
        <x:f>_xlfn.COUNTIFS('Connections'!$B$6:$B$590,A91)+_xlfn.COUNTIFS('Connections'!$C$6:$C$590,A91)</x:f>
        <x:v>2</x:v>
      </x:c>
      <x:c r="G91" s="55" t="n">
        <x:f>_xlfn.COUNTIFS('Connections'!$B$6:$B$590,A91,'Connections'!$D$6:$D$590,"TRUE")+_xlfn.COUNTIFS('Connections'!$C$6:$C$590,A91,'Connections'!$D$6:$D$590,"TRUE")</x:f>
        <x:v>2</x:v>
      </x:c>
      <x:c r="H91" s="48" t="s">
        <x:v>66</x:v>
      </x:c>
      <x:c r="I91" s="48" t="s">
        <x:v>67</x:v>
      </x:c>
      <x:c r="J91" s="49"/>
      <x:c r="K91" s="50"/>
      <x:c r="L91" s="56"/>
      <x:c r="M91" s="53" t="s">
        <x:v>210</x:v>
      </x:c>
      <x:c r="N91" s="57">
        <x:v>16</x:v>
      </x:c>
      <x:c r="O91" s="44"/>
    </x:row>
    <x:row r="92" ht="23" customHeight="1">
      <x:c r="A92" s="21" t="s">
        <x:v>224</x:v>
      </x:c>
      <x:c r="B92" s="45" t="s">
        <x:v>224</x:v>
      </x:c>
      <x:c r="C92" s="45" t="s">
        <x:v>209</x:v>
      </x:c>
      <x:c r="D92" s="46">
        <x:v>42.7304294251283</x:v>
      </x:c>
      <x:c r="E92" s="46">
        <x:v>-73.6745868434827</x:v>
      </x:c>
      <x:c r="F92" s="47" t="n">
        <x:f>_xlfn.COUNTIFS('Connections'!$B$6:$B$590,A92)+_xlfn.COUNTIFS('Connections'!$C$6:$C$590,A92)</x:f>
        <x:v>2</x:v>
      </x:c>
      <x:c r="G92" s="47" t="n">
        <x:f>_xlfn.COUNTIFS('Connections'!$B$6:$B$590,A92,'Connections'!$D$6:$D$590,"TRUE")+_xlfn.COUNTIFS('Connections'!$C$6:$C$590,A92,'Connections'!$D$6:$D$590,"TRUE")</x:f>
        <x:v>2</x:v>
      </x:c>
      <x:c r="H92" s="48" t="s">
        <x:v>66</x:v>
      </x:c>
      <x:c r="I92" s="48" t="s">
        <x:v>67</x:v>
      </x:c>
      <x:c r="J92" s="49"/>
      <x:c r="K92" s="50"/>
      <x:c r="L92" s="51"/>
      <x:c r="M92" s="45" t="s">
        <x:v>210</x:v>
      </x:c>
      <x:c r="N92" s="52">
        <x:v>17</x:v>
      </x:c>
      <x:c r="O92" s="44"/>
    </x:row>
    <x:row r="93" ht="23" customHeight="1">
      <x:c r="A93" s="24" t="s">
        <x:v>225</x:v>
      </x:c>
      <x:c r="B93" s="53" t="s">
        <x:v>225</x:v>
      </x:c>
      <x:c r="C93" s="53" t="s">
        <x:v>209</x:v>
      </x:c>
      <x:c r="D93" s="54">
        <x:v>42.7303340155389</x:v>
      </x:c>
      <x:c r="E93" s="54">
        <x:v>-73.6747030329644</x:v>
      </x:c>
      <x:c r="F93" s="55" t="n">
        <x:f>_xlfn.COUNTIFS('Connections'!$B$6:$B$590,A93)+_xlfn.COUNTIFS('Connections'!$C$6:$C$590,A93)</x:f>
        <x:v>3</x:v>
      </x:c>
      <x:c r="G93" s="55" t="n">
        <x:f>_xlfn.COUNTIFS('Connections'!$B$6:$B$590,A93,'Connections'!$D$6:$D$590,"TRUE")+_xlfn.COUNTIFS('Connections'!$C$6:$C$590,A93,'Connections'!$D$6:$D$590,"TRUE")</x:f>
        <x:v>3</x:v>
      </x:c>
      <x:c r="H93" s="48" t="s">
        <x:v>66</x:v>
      </x:c>
      <x:c r="I93" s="48" t="s">
        <x:v>67</x:v>
      </x:c>
      <x:c r="J93" s="49"/>
      <x:c r="K93" s="50"/>
      <x:c r="L93" s="56"/>
      <x:c r="M93" s="53" t="s">
        <x:v>210</x:v>
      </x:c>
      <x:c r="N93" s="57">
        <x:v>18</x:v>
      </x:c>
      <x:c r="O93" s="44"/>
    </x:row>
    <x:row r="94" ht="23" customHeight="1">
      <x:c r="A94" s="21" t="s">
        <x:v>226</x:v>
      </x:c>
      <x:c r="B94" s="45" t="s">
        <x:v>226</x:v>
      </x:c>
      <x:c r="C94" s="45" t="s">
        <x:v>209</x:v>
      </x:c>
      <x:c r="D94" s="46">
        <x:v>42.7300857207039</x:v>
      </x:c>
      <x:c r="E94" s="46">
        <x:v>-73.6750356850421</x:v>
      </x:c>
      <x:c r="F94" s="47" t="n">
        <x:f>_xlfn.COUNTIFS('Connections'!$B$6:$B$590,A94)+_xlfn.COUNTIFS('Connections'!$C$6:$C$590,A94)</x:f>
        <x:v>3</x:v>
      </x:c>
      <x:c r="G94" s="47" t="n">
        <x:f>_xlfn.COUNTIFS('Connections'!$B$6:$B$590,A94,'Connections'!$D$6:$D$590,"TRUE")+_xlfn.COUNTIFS('Connections'!$C$6:$C$590,A94,'Connections'!$D$6:$D$590,"TRUE")</x:f>
        <x:v>3</x:v>
      </x:c>
      <x:c r="H94" s="48" t="s">
        <x:v>66</x:v>
      </x:c>
      <x:c r="I94" s="48" t="s">
        <x:v>67</x:v>
      </x:c>
      <x:c r="J94" s="49"/>
      <x:c r="K94" s="50"/>
      <x:c r="L94" s="51"/>
      <x:c r="M94" s="45" t="s">
        <x:v>210</x:v>
      </x:c>
      <x:c r="N94" s="52">
        <x:v>19</x:v>
      </x:c>
      <x:c r="O94" s="44"/>
    </x:row>
    <x:row r="95" ht="23" customHeight="1">
      <x:c r="A95" s="24" t="s">
        <x:v>227</x:v>
      </x:c>
      <x:c r="B95" s="53" t="s">
        <x:v>227</x:v>
      </x:c>
      <x:c r="C95" s="53" t="s">
        <x:v>209</x:v>
      </x:c>
      <x:c r="D95" s="54">
        <x:v>42.7303075767371</x:v>
      </x:c>
      <x:c r="E95" s="54">
        <x:v>-73.6758617445077</x:v>
      </x:c>
      <x:c r="F95" s="55" t="n">
        <x:f>_xlfn.COUNTIFS('Connections'!$B$6:$B$590,A95)+_xlfn.COUNTIFS('Connections'!$C$6:$C$590,A95)</x:f>
        <x:v>3</x:v>
      </x:c>
      <x:c r="G95" s="55" t="n">
        <x:f>_xlfn.COUNTIFS('Connections'!$B$6:$B$590,A95,'Connections'!$D$6:$D$590,"TRUE")+_xlfn.COUNTIFS('Connections'!$C$6:$C$590,A95,'Connections'!$D$6:$D$590,"TRUE")</x:f>
        <x:v>3</x:v>
      </x:c>
      <x:c r="H95" s="48" t="s">
        <x:v>66</x:v>
      </x:c>
      <x:c r="I95" s="48" t="s">
        <x:v>67</x:v>
      </x:c>
      <x:c r="J95" s="49"/>
      <x:c r="K95" s="50"/>
      <x:c r="L95" s="56"/>
      <x:c r="M95" s="53" t="s">
        <x:v>210</x:v>
      </x:c>
      <x:c r="N95" s="57">
        <x:v>20</x:v>
      </x:c>
      <x:c r="O95" s="44"/>
    </x:row>
    <x:row r="96" ht="23" customHeight="1">
      <x:c r="A96" s="21" t="s">
        <x:v>228</x:v>
      </x:c>
      <x:c r="B96" s="45" t="s">
        <x:v>228</x:v>
      </x:c>
      <x:c r="C96" s="45" t="s">
        <x:v>209</x:v>
      </x:c>
      <x:c r="D96" s="46">
        <x:v>42.7307133548703</x:v>
      </x:c>
      <x:c r="E96" s="46">
        <x:v>-73.6752664723687</x:v>
      </x:c>
      <x:c r="F96" s="47" t="n">
        <x:f>_xlfn.COUNTIFS('Connections'!$B$6:$B$590,A96)+_xlfn.COUNTIFS('Connections'!$C$6:$C$590,A96)</x:f>
        <x:v>3</x:v>
      </x:c>
      <x:c r="G96" s="47" t="n">
        <x:f>_xlfn.COUNTIFS('Connections'!$B$6:$B$590,A96,'Connections'!$D$6:$D$590,"TRUE")+_xlfn.COUNTIFS('Connections'!$C$6:$C$590,A96,'Connections'!$D$6:$D$590,"TRUE")</x:f>
        <x:v>3</x:v>
      </x:c>
      <x:c r="H96" s="48" t="s">
        <x:v>66</x:v>
      </x:c>
      <x:c r="I96" s="48" t="s">
        <x:v>67</x:v>
      </x:c>
      <x:c r="J96" s="49"/>
      <x:c r="K96" s="50"/>
      <x:c r="L96" s="51"/>
      <x:c r="M96" s="45" t="s">
        <x:v>210</x:v>
      </x:c>
      <x:c r="N96" s="52">
        <x:v>21</x:v>
      </x:c>
      <x:c r="O96" s="44"/>
    </x:row>
    <x:row r="97" ht="23" customHeight="1">
      <x:c r="A97" s="24" t="s">
        <x:v>229</x:v>
      </x:c>
      <x:c r="B97" s="53" t="s">
        <x:v>229</x:v>
      </x:c>
      <x:c r="C97" s="53" t="s">
        <x:v>209</x:v>
      </x:c>
      <x:c r="D97" s="54">
        <x:v>42.7316674507643</x:v>
      </x:c>
      <x:c r="E97" s="54">
        <x:v>-73.67221371311039</x:v>
      </x:c>
      <x:c r="F97" s="55" t="n">
        <x:f>_xlfn.COUNTIFS('Connections'!$B$6:$B$590,A97)+_xlfn.COUNTIFS('Connections'!$C$6:$C$590,A97)</x:f>
        <x:v>2</x:v>
      </x:c>
      <x:c r="G97" s="55" t="n">
        <x:f>_xlfn.COUNTIFS('Connections'!$B$6:$B$590,A97,'Connections'!$D$6:$D$590,"TRUE")+_xlfn.COUNTIFS('Connections'!$C$6:$C$590,A97,'Connections'!$D$6:$D$590,"TRUE")</x:f>
        <x:v>2</x:v>
      </x:c>
      <x:c r="H97" s="48" t="s">
        <x:v>66</x:v>
      </x:c>
      <x:c r="I97" s="48" t="s">
        <x:v>67</x:v>
      </x:c>
      <x:c r="J97" s="49"/>
      <x:c r="K97" s="50"/>
      <x:c r="L97" s="56"/>
      <x:c r="M97" s="53" t="s">
        <x:v>210</x:v>
      </x:c>
      <x:c r="N97" s="57">
        <x:v>22</x:v>
      </x:c>
      <x:c r="O97" s="44"/>
    </x:row>
    <x:row r="98" ht="23" customHeight="1">
      <x:c r="A98" s="21" t="s">
        <x:v>230</x:v>
      </x:c>
      <x:c r="B98" s="45" t="s">
        <x:v>230</x:v>
      </x:c>
      <x:c r="C98" s="45" t="s">
        <x:v>209</x:v>
      </x:c>
      <x:c r="D98" s="46">
        <x:v>42.7316594041724</x:v>
      </x:c>
      <x:c r="E98" s="46">
        <x:v>-73.6717967042858</x:v>
      </x:c>
      <x:c r="F98" s="47" t="n">
        <x:f>_xlfn.COUNTIFS('Connections'!$B$6:$B$590,A98)+_xlfn.COUNTIFS('Connections'!$C$6:$C$590,A98)</x:f>
        <x:v>3</x:v>
      </x:c>
      <x:c r="G98" s="47" t="n">
        <x:f>_xlfn.COUNTIFS('Connections'!$B$6:$B$590,A98,'Connections'!$D$6:$D$590,"TRUE")+_xlfn.COUNTIFS('Connections'!$C$6:$C$590,A98,'Connections'!$D$6:$D$590,"TRUE")</x:f>
        <x:v>3</x:v>
      </x:c>
      <x:c r="H98" s="48" t="s">
        <x:v>66</x:v>
      </x:c>
      <x:c r="I98" s="48" t="s">
        <x:v>67</x:v>
      </x:c>
      <x:c r="J98" s="49"/>
      <x:c r="K98" s="50"/>
      <x:c r="L98" s="51"/>
      <x:c r="M98" s="45" t="s">
        <x:v>210</x:v>
      </x:c>
      <x:c r="N98" s="52">
        <x:v>23</x:v>
      </x:c>
      <x:c r="O98" s="44"/>
    </x:row>
    <x:row r="99" ht="23" customHeight="1">
      <x:c r="A99" s="24" t="s">
        <x:v>231</x:v>
      </x:c>
      <x:c r="B99" s="53" t="s">
        <x:v>231</x:v>
      </x:c>
      <x:c r="C99" s="53" t="s">
        <x:v>209</x:v>
      </x:c>
      <x:c r="D99" s="54">
        <x:v>42.7316904410268</x:v>
      </x:c>
      <x:c r="E99" s="54">
        <x:v>-73.6731336791434</x:v>
      </x:c>
      <x:c r="F99" s="55" t="n">
        <x:f>_xlfn.COUNTIFS('Connections'!$B$6:$B$590,A99)+_xlfn.COUNTIFS('Connections'!$C$6:$C$590,A99)</x:f>
        <x:v>1</x:v>
      </x:c>
      <x:c r="G99" s="55" t="n">
        <x:f>_xlfn.COUNTIFS('Connections'!$B$6:$B$590,A99,'Connections'!$D$6:$D$590,"TRUE")+_xlfn.COUNTIFS('Connections'!$C$6:$C$590,A99,'Connections'!$D$6:$D$590,"TRUE")</x:f>
        <x:v>1</x:v>
      </x:c>
      <x:c r="H99" s="48" t="s">
        <x:v>66</x:v>
      </x:c>
      <x:c r="I99" s="48" t="s">
        <x:v>67</x:v>
      </x:c>
      <x:c r="J99" s="49"/>
      <x:c r="K99" s="50"/>
      <x:c r="L99" s="56"/>
      <x:c r="M99" s="53" t="s">
        <x:v>210</x:v>
      </x:c>
      <x:c r="N99" s="57">
        <x:v>24</x:v>
      </x:c>
      <x:c r="O99" s="44"/>
    </x:row>
    <x:row r="100" ht="23" customHeight="1">
      <x:c r="A100" s="21" t="s">
        <x:v>232</x:v>
      </x:c>
      <x:c r="B100" s="45" t="s">
        <x:v>232</x:v>
      </x:c>
      <x:c r="C100" s="45" t="s">
        <x:v>209</x:v>
      </x:c>
      <x:c r="D100" s="46">
        <x:v>42.7316525070937</x:v>
      </x:c>
      <x:c r="E100" s="46">
        <x:v>-73.6729347245515</x:v>
      </x:c>
      <x:c r="F100" s="47" t="n">
        <x:f>_xlfn.COUNTIFS('Connections'!$B$6:$B$590,A100)+_xlfn.COUNTIFS('Connections'!$C$6:$C$590,A100)</x:f>
        <x:v>3</x:v>
      </x:c>
      <x:c r="G100" s="47" t="n">
        <x:f>_xlfn.COUNTIFS('Connections'!$B$6:$B$590,A100,'Connections'!$D$6:$D$590,"TRUE")+_xlfn.COUNTIFS('Connections'!$C$6:$C$590,A100,'Connections'!$D$6:$D$590,"TRUE")</x:f>
        <x:v>3</x:v>
      </x:c>
      <x:c r="H100" s="48" t="s">
        <x:v>66</x:v>
      </x:c>
      <x:c r="I100" s="48" t="s">
        <x:v>67</x:v>
      </x:c>
      <x:c r="J100" s="49"/>
      <x:c r="K100" s="50"/>
      <x:c r="L100" s="51"/>
      <x:c r="M100" s="45" t="s">
        <x:v>210</x:v>
      </x:c>
      <x:c r="N100" s="52">
        <x:v>25</x:v>
      </x:c>
      <x:c r="O100" s="44"/>
    </x:row>
    <x:row r="101" ht="23" customHeight="1">
      <x:c r="A101" s="24" t="s">
        <x:v>233</x:v>
      </x:c>
      <x:c r="B101" s="53" t="s">
        <x:v>233</x:v>
      </x:c>
      <x:c r="C101" s="53" t="s">
        <x:v>209</x:v>
      </x:c>
      <x:c r="D101" s="54">
        <x:v>42.7291212791917</x:v>
      </x:c>
      <x:c r="E101" s="54">
        <x:v>-73.6725208990003</x:v>
      </x:c>
      <x:c r="F101" s="55" t="n">
        <x:f>_xlfn.COUNTIFS('Connections'!$B$6:$B$590,A101)+_xlfn.COUNTIFS('Connections'!$C$6:$C$590,A101)</x:f>
        <x:v>3</x:v>
      </x:c>
      <x:c r="G101" s="55" t="n">
        <x:f>_xlfn.COUNTIFS('Connections'!$B$6:$B$590,A101,'Connections'!$D$6:$D$590,"TRUE")+_xlfn.COUNTIFS('Connections'!$C$6:$C$590,A101,'Connections'!$D$6:$D$590,"TRUE")</x:f>
        <x:v>3</x:v>
      </x:c>
      <x:c r="H101" s="48" t="s">
        <x:v>66</x:v>
      </x:c>
      <x:c r="I101" s="48" t="s">
        <x:v>67</x:v>
      </x:c>
      <x:c r="J101" s="49"/>
      <x:c r="K101" s="50"/>
      <x:c r="L101" s="56"/>
      <x:c r="M101" s="53" t="s">
        <x:v>210</x:v>
      </x:c>
      <x:c r="N101" s="57">
        <x:v>26</x:v>
      </x:c>
      <x:c r="O101" s="44"/>
    </x:row>
    <x:row r="102" ht="23" customHeight="1">
      <x:c r="A102" s="21" t="s">
        <x:v>234</x:v>
      </x:c>
      <x:c r="B102" s="45" t="s">
        <x:v>234</x:v>
      </x:c>
      <x:c r="C102" s="45" t="s">
        <x:v>209</x:v>
      </x:c>
      <x:c r="D102" s="46">
        <x:v>42.7295144126806</x:v>
      </x:c>
      <x:c r="E102" s="46">
        <x:v>-73.67441653835201</x:v>
      </x:c>
      <x:c r="F102" s="47" t="n">
        <x:f>_xlfn.COUNTIFS('Connections'!$B$6:$B$590,A102)+_xlfn.COUNTIFS('Connections'!$C$6:$C$590,A102)</x:f>
        <x:v>3</x:v>
      </x:c>
      <x:c r="G102" s="47" t="n">
        <x:f>_xlfn.COUNTIFS('Connections'!$B$6:$B$590,A102,'Connections'!$D$6:$D$590,"TRUE")+_xlfn.COUNTIFS('Connections'!$C$6:$C$590,A102,'Connections'!$D$6:$D$590,"TRUE")</x:f>
        <x:v>3</x:v>
      </x:c>
      <x:c r="H102" s="48" t="s">
        <x:v>66</x:v>
      </x:c>
      <x:c r="I102" s="48" t="s">
        <x:v>67</x:v>
      </x:c>
      <x:c r="J102" s="49"/>
      <x:c r="K102" s="50"/>
      <x:c r="L102" s="51"/>
      <x:c r="M102" s="45" t="s">
        <x:v>210</x:v>
      </x:c>
      <x:c r="N102" s="52">
        <x:v>27</x:v>
      </x:c>
      <x:c r="O102" s="44"/>
    </x:row>
    <x:row r="103" ht="23" customHeight="1">
      <x:c r="A103" s="24" t="s">
        <x:v>235</x:v>
      </x:c>
      <x:c r="B103" s="53" t="s">
        <x:v>235</x:v>
      </x:c>
      <x:c r="C103" s="53" t="s">
        <x:v>209</x:v>
      </x:c>
      <x:c r="D103" s="54">
        <x:v>42.729362676948</x:v>
      </x:c>
      <x:c r="E103" s="54">
        <x:v>-73.6734360901231</x:v>
      </x:c>
      <x:c r="F103" s="55" t="n">
        <x:f>_xlfn.COUNTIFS('Connections'!$B$6:$B$590,A103)+_xlfn.COUNTIFS('Connections'!$C$6:$C$590,A103)</x:f>
        <x:v>2</x:v>
      </x:c>
      <x:c r="G103" s="55" t="n">
        <x:f>_xlfn.COUNTIFS('Connections'!$B$6:$B$590,A103,'Connections'!$D$6:$D$590,"TRUE")+_xlfn.COUNTIFS('Connections'!$C$6:$C$590,A103,'Connections'!$D$6:$D$590,"TRUE")</x:f>
        <x:v>2</x:v>
      </x:c>
      <x:c r="H103" s="48" t="s">
        <x:v>66</x:v>
      </x:c>
      <x:c r="I103" s="48" t="s">
        <x:v>67</x:v>
      </x:c>
      <x:c r="J103" s="49"/>
      <x:c r="K103" s="50"/>
      <x:c r="L103" s="56"/>
      <x:c r="M103" s="53" t="s">
        <x:v>210</x:v>
      </x:c>
      <x:c r="N103" s="57">
        <x:v>28</x:v>
      </x:c>
      <x:c r="O103" s="44"/>
    </x:row>
    <x:row r="104" ht="23" customHeight="1">
      <x:c r="A104" s="21" t="s">
        <x:v>236</x:v>
      </x:c>
      <x:c r="B104" s="45" t="s">
        <x:v>236</x:v>
      </x:c>
      <x:c r="C104" s="45" t="s">
        <x:v>209</x:v>
      </x:c>
      <x:c r="D104" s="46">
        <x:v>42.7292304829386</x:v>
      </x:c>
      <x:c r="E104" s="46">
        <x:v>-73.6729967983842</x:v>
      </x:c>
      <x:c r="F104" s="47" t="n">
        <x:f>_xlfn.COUNTIFS('Connections'!$B$6:$B$590,A104)+_xlfn.COUNTIFS('Connections'!$C$6:$C$590,A104)</x:f>
        <x:v>4</x:v>
      </x:c>
      <x:c r="G104" s="47" t="n">
        <x:f>_xlfn.COUNTIFS('Connections'!$B$6:$B$590,A104,'Connections'!$D$6:$D$590,"TRUE")+_xlfn.COUNTIFS('Connections'!$C$6:$C$590,A104,'Connections'!$D$6:$D$590,"TRUE")</x:f>
        <x:v>4</x:v>
      </x:c>
      <x:c r="H104" s="48" t="s">
        <x:v>66</x:v>
      </x:c>
      <x:c r="I104" s="48" t="s">
        <x:v>67</x:v>
      </x:c>
      <x:c r="J104" s="49"/>
      <x:c r="K104" s="50"/>
      <x:c r="L104" s="51"/>
      <x:c r="M104" s="45" t="s">
        <x:v>210</x:v>
      </x:c>
      <x:c r="N104" s="52">
        <x:v>29</x:v>
      </x:c>
      <x:c r="O104" s="44"/>
    </x:row>
    <x:row r="105" ht="23" customHeight="1">
      <x:c r="A105" s="24" t="s">
        <x:v>237</x:v>
      </x:c>
      <x:c r="B105" s="53" t="s">
        <x:v>237</x:v>
      </x:c>
      <x:c r="C105" s="53" t="s">
        <x:v>209</x:v>
      </x:c>
      <x:c r="D105" s="54">
        <x:v>42.728793667951</x:v>
      </x:c>
      <x:c r="E105" s="54">
        <x:v>-73.6731177627761</x:v>
      </x:c>
      <x:c r="F105" s="55" t="n">
        <x:f>_xlfn.COUNTIFS('Connections'!$B$6:$B$590,A105)+_xlfn.COUNTIFS('Connections'!$C$6:$C$590,A105)</x:f>
        <x:v>2</x:v>
      </x:c>
      <x:c r="G105" s="55" t="n">
        <x:f>_xlfn.COUNTIFS('Connections'!$B$6:$B$590,A105,'Connections'!$D$6:$D$590,"TRUE")+_xlfn.COUNTIFS('Connections'!$C$6:$C$590,A105,'Connections'!$D$6:$D$590,"TRUE")</x:f>
        <x:v>2</x:v>
      </x:c>
      <x:c r="H105" s="48" t="s">
        <x:v>66</x:v>
      </x:c>
      <x:c r="I105" s="48" t="s">
        <x:v>67</x:v>
      </x:c>
      <x:c r="J105" s="49"/>
      <x:c r="K105" s="50"/>
      <x:c r="L105" s="56"/>
      <x:c r="M105" s="53" t="s">
        <x:v>210</x:v>
      </x:c>
      <x:c r="N105" s="57">
        <x:v>30</x:v>
      </x:c>
      <x:c r="O105" s="44"/>
    </x:row>
    <x:row r="106" ht="23" customHeight="1">
      <x:c r="A106" s="21" t="s">
        <x:v>238</x:v>
      </x:c>
      <x:c r="B106" s="45" t="s">
        <x:v>238</x:v>
      </x:c>
      <x:c r="C106" s="45" t="s">
        <x:v>209</x:v>
      </x:c>
      <x:c r="D106" s="46">
        <x:v>42.7286327361135</x:v>
      </x:c>
      <x:c r="E106" s="46">
        <x:v>-73.6741841593887</x:v>
      </x:c>
      <x:c r="F106" s="47" t="n">
        <x:f>_xlfn.COUNTIFS('Connections'!$B$6:$B$590,A106)+_xlfn.COUNTIFS('Connections'!$C$6:$C$590,A106)</x:f>
        <x:v>6</x:v>
      </x:c>
      <x:c r="G106" s="47" t="n">
        <x:f>_xlfn.COUNTIFS('Connections'!$B$6:$B$590,A106,'Connections'!$D$6:$D$590,"TRUE")+_xlfn.COUNTIFS('Connections'!$C$6:$C$590,A106,'Connections'!$D$6:$D$590,"TRUE")</x:f>
        <x:v>6</x:v>
      </x:c>
      <x:c r="H106" s="48" t="s">
        <x:v>66</x:v>
      </x:c>
      <x:c r="I106" s="48" t="s">
        <x:v>67</x:v>
      </x:c>
      <x:c r="J106" s="49"/>
      <x:c r="K106" s="50"/>
      <x:c r="L106" s="51"/>
      <x:c r="M106" s="45" t="s">
        <x:v>210</x:v>
      </x:c>
      <x:c r="N106" s="52">
        <x:v>31</x:v>
      </x:c>
      <x:c r="O106" s="44"/>
    </x:row>
    <x:row r="107" ht="23" customHeight="1">
      <x:c r="A107" s="24" t="s">
        <x:v>239</x:v>
      </x:c>
      <x:c r="B107" s="53" t="s">
        <x:v>239</x:v>
      </x:c>
      <x:c r="C107" s="53" t="s">
        <x:v>209</x:v>
      </x:c>
      <x:c r="D107" s="54">
        <x:v>42.7284488140134</x:v>
      </x:c>
      <x:c r="E107" s="54">
        <x:v>-73.6733183090047</x:v>
      </x:c>
      <x:c r="F107" s="55" t="n">
        <x:f>_xlfn.COUNTIFS('Connections'!$B$6:$B$590,A107)+_xlfn.COUNTIFS('Connections'!$C$6:$C$590,A107)</x:f>
        <x:v>2</x:v>
      </x:c>
      <x:c r="G107" s="55" t="n">
        <x:f>_xlfn.COUNTIFS('Connections'!$B$6:$B$590,A107,'Connections'!$D$6:$D$590,"TRUE")+_xlfn.COUNTIFS('Connections'!$C$6:$C$590,A107,'Connections'!$D$6:$D$590,"TRUE")</x:f>
        <x:v>2</x:v>
      </x:c>
      <x:c r="H107" s="48" t="s">
        <x:v>66</x:v>
      </x:c>
      <x:c r="I107" s="48" t="s">
        <x:v>67</x:v>
      </x:c>
      <x:c r="J107" s="49"/>
      <x:c r="K107" s="50"/>
      <x:c r="L107" s="56"/>
      <x:c r="M107" s="53" t="s">
        <x:v>210</x:v>
      </x:c>
      <x:c r="N107" s="57">
        <x:v>32</x:v>
      </x:c>
      <x:c r="O107" s="44"/>
    </x:row>
    <x:row r="108" ht="23" customHeight="1">
      <x:c r="A108" s="21" t="s">
        <x:v>240</x:v>
      </x:c>
      <x:c r="B108" s="45" t="s">
        <x:v>240</x:v>
      </x:c>
      <x:c r="C108" s="45" t="s">
        <x:v>209</x:v>
      </x:c>
      <x:c r="D108" s="46">
        <x:v>42.729004028853</x:v>
      </x:c>
      <x:c r="E108" s="46">
        <x:v>-73.6734679228578</x:v>
      </x:c>
      <x:c r="F108" s="47" t="n">
        <x:f>_xlfn.COUNTIFS('Connections'!$B$6:$B$590,A108)+_xlfn.COUNTIFS('Connections'!$C$6:$C$590,A108)</x:f>
        <x:v>2</x:v>
      </x:c>
      <x:c r="G108" s="47" t="n">
        <x:f>_xlfn.COUNTIFS('Connections'!$B$6:$B$590,A108,'Connections'!$D$6:$D$590,"TRUE")+_xlfn.COUNTIFS('Connections'!$C$6:$C$590,A108,'Connections'!$D$6:$D$590,"TRUE")</x:f>
        <x:v>2</x:v>
      </x:c>
      <x:c r="H108" s="48" t="s">
        <x:v>66</x:v>
      </x:c>
      <x:c r="I108" s="48" t="s">
        <x:v>67</x:v>
      </x:c>
      <x:c r="J108" s="49"/>
      <x:c r="K108" s="50"/>
      <x:c r="L108" s="51"/>
      <x:c r="M108" s="45" t="s">
        <x:v>210</x:v>
      </x:c>
      <x:c r="N108" s="52">
        <x:v>33</x:v>
      </x:c>
      <x:c r="O108" s="44"/>
    </x:row>
    <x:row r="109" ht="23" customHeight="1">
      <x:c r="A109" s="24" t="s">
        <x:v>241</x:v>
      </x:c>
      <x:c r="B109" s="53" t="s">
        <x:v>241</x:v>
      </x:c>
      <x:c r="C109" s="53" t="s">
        <x:v>209</x:v>
      </x:c>
      <x:c r="D109" s="54">
        <x:v>42.7288339009104</x:v>
      </x:c>
      <x:c r="E109" s="54">
        <x:v>-73.67378306693141</x:v>
      </x:c>
      <x:c r="F109" s="55" t="n">
        <x:f>_xlfn.COUNTIFS('Connections'!$B$6:$B$590,A109)+_xlfn.COUNTIFS('Connections'!$C$6:$C$590,A109)</x:f>
        <x:v>2</x:v>
      </x:c>
      <x:c r="G109" s="55" t="n">
        <x:f>_xlfn.COUNTIFS('Connections'!$B$6:$B$590,A109,'Connections'!$D$6:$D$590,"TRUE")+_xlfn.COUNTIFS('Connections'!$C$6:$C$590,A109,'Connections'!$D$6:$D$590,"TRUE")</x:f>
        <x:v>2</x:v>
      </x:c>
      <x:c r="H109" s="48" t="s">
        <x:v>66</x:v>
      </x:c>
      <x:c r="I109" s="48" t="s">
        <x:v>67</x:v>
      </x:c>
      <x:c r="J109" s="49"/>
      <x:c r="K109" s="50"/>
      <x:c r="L109" s="56"/>
      <x:c r="M109" s="53" t="s">
        <x:v>210</x:v>
      </x:c>
      <x:c r="N109" s="57">
        <x:v>34</x:v>
      </x:c>
      <x:c r="O109" s="44"/>
    </x:row>
    <x:row r="110" ht="23" customHeight="1">
      <x:c r="A110" s="21" t="s">
        <x:v>242</x:v>
      </x:c>
      <x:c r="B110" s="45" t="s">
        <x:v>242</x:v>
      </x:c>
      <x:c r="C110" s="45" t="s">
        <x:v>209</x:v>
      </x:c>
      <x:c r="D110" s="46">
        <x:v>42.728839648476</x:v>
      </x:c>
      <x:c r="E110" s="46">
        <x:v>-73.6740886611846</x:v>
      </x:c>
      <x:c r="F110" s="47" t="n">
        <x:f>_xlfn.COUNTIFS('Connections'!$B$6:$B$590,A110)+_xlfn.COUNTIFS('Connections'!$C$6:$C$590,A110)</x:f>
        <x:v>4</x:v>
      </x:c>
      <x:c r="G110" s="47" t="n">
        <x:f>_xlfn.COUNTIFS('Connections'!$B$6:$B$590,A110,'Connections'!$D$6:$D$590,"TRUE")+_xlfn.COUNTIFS('Connections'!$C$6:$C$590,A110,'Connections'!$D$6:$D$590,"TRUE")</x:f>
        <x:v>4</x:v>
      </x:c>
      <x:c r="H110" s="48" t="s">
        <x:v>66</x:v>
      </x:c>
      <x:c r="I110" s="48" t="s">
        <x:v>67</x:v>
      </x:c>
      <x:c r="J110" s="49"/>
      <x:c r="K110" s="50"/>
      <x:c r="L110" s="51"/>
      <x:c r="M110" s="45" t="s">
        <x:v>210</x:v>
      </x:c>
      <x:c r="N110" s="52">
        <x:v>35</x:v>
      </x:c>
      <x:c r="O110" s="44"/>
    </x:row>
    <x:row r="111" ht="23" customHeight="1">
      <x:c r="A111" s="24" t="s">
        <x:v>243</x:v>
      </x:c>
      <x:c r="B111" s="53" t="s">
        <x:v>243</x:v>
      </x:c>
      <x:c r="C111" s="53" t="s">
        <x:v>209</x:v>
      </x:c>
      <x:c r="D111" s="54">
        <x:v>42.7289339085523</x:v>
      </x:c>
      <x:c r="E111" s="54">
        <x:v>-73.6744292714459</x:v>
      </x:c>
      <x:c r="F111" s="55" t="n">
        <x:f>_xlfn.COUNTIFS('Connections'!$B$6:$B$590,A111)+_xlfn.COUNTIFS('Connections'!$C$6:$C$590,A111)</x:f>
        <x:v>2</x:v>
      </x:c>
      <x:c r="G111" s="55" t="n">
        <x:f>_xlfn.COUNTIFS('Connections'!$B$6:$B$590,A111,'Connections'!$D$6:$D$590,"TRUE")+_xlfn.COUNTIFS('Connections'!$C$6:$C$590,A111,'Connections'!$D$6:$D$590,"TRUE")</x:f>
        <x:v>2</x:v>
      </x:c>
      <x:c r="H111" s="48" t="s">
        <x:v>66</x:v>
      </x:c>
      <x:c r="I111" s="48" t="s">
        <x:v>67</x:v>
      </x:c>
      <x:c r="J111" s="49"/>
      <x:c r="K111" s="50"/>
      <x:c r="L111" s="56"/>
      <x:c r="M111" s="53" t="s">
        <x:v>210</x:v>
      </x:c>
      <x:c r="N111" s="57">
        <x:v>36</x:v>
      </x:c>
      <x:c r="O111" s="44"/>
    </x:row>
    <x:row r="112" ht="23" customHeight="1">
      <x:c r="A112" s="21" t="s">
        <x:v>244</x:v>
      </x:c>
      <x:c r="B112" s="45" t="s">
        <x:v>244</x:v>
      </x:c>
      <x:c r="C112" s="45" t="s">
        <x:v>209</x:v>
      </x:c>
      <x:c r="D112" s="46">
        <x:v>42.7292649683324</x:v>
      </x:c>
      <x:c r="E112" s="46">
        <x:v>-73.6746298176746</x:v>
      </x:c>
      <x:c r="F112" s="47" t="n">
        <x:f>_xlfn.COUNTIFS('Connections'!$B$6:$B$590,A112)+_xlfn.COUNTIFS('Connections'!$C$6:$C$590,A112)</x:f>
        <x:v>2</x:v>
      </x:c>
      <x:c r="G112" s="47" t="n">
        <x:f>_xlfn.COUNTIFS('Connections'!$B$6:$B$590,A112,'Connections'!$D$6:$D$590,"TRUE")+_xlfn.COUNTIFS('Connections'!$C$6:$C$590,A112,'Connections'!$D$6:$D$590,"TRUE")</x:f>
        <x:v>2</x:v>
      </x:c>
      <x:c r="H112" s="48" t="s">
        <x:v>66</x:v>
      </x:c>
      <x:c r="I112" s="48" t="s">
        <x:v>67</x:v>
      </x:c>
      <x:c r="J112" s="49"/>
      <x:c r="K112" s="50"/>
      <x:c r="L112" s="51"/>
      <x:c r="M112" s="45" t="s">
        <x:v>210</x:v>
      </x:c>
      <x:c r="N112" s="52">
        <x:v>37</x:v>
      </x:c>
      <x:c r="O112" s="44"/>
    </x:row>
    <x:row r="113" ht="23" customHeight="1">
      <x:c r="A113" s="24" t="s">
        <x:v>245</x:v>
      </x:c>
      <x:c r="B113" s="53" t="s">
        <x:v>245</x:v>
      </x:c>
      <x:c r="C113" s="53" t="s">
        <x:v>209</x:v>
      </x:c>
      <x:c r="D113" s="54">
        <x:v>42.7285177848009</x:v>
      </x:c>
      <x:c r="E113" s="54">
        <x:v>-73.6745438692909</x:v>
      </x:c>
      <x:c r="F113" s="55" t="n">
        <x:f>_xlfn.COUNTIFS('Connections'!$B$6:$B$590,A113)+_xlfn.COUNTIFS('Connections'!$C$6:$C$590,A113)</x:f>
        <x:v>4</x:v>
      </x:c>
      <x:c r="G113" s="55" t="n">
        <x:f>_xlfn.COUNTIFS('Connections'!$B$6:$B$590,A113,'Connections'!$D$6:$D$590,"TRUE")+_xlfn.COUNTIFS('Connections'!$C$6:$C$590,A113,'Connections'!$D$6:$D$590,"TRUE")</x:f>
        <x:v>4</x:v>
      </x:c>
      <x:c r="H113" s="48" t="s">
        <x:v>66</x:v>
      </x:c>
      <x:c r="I113" s="48" t="s">
        <x:v>67</x:v>
      </x:c>
      <x:c r="J113" s="49"/>
      <x:c r="K113" s="50"/>
      <x:c r="L113" s="56"/>
      <x:c r="M113" s="53" t="s">
        <x:v>210</x:v>
      </x:c>
      <x:c r="N113" s="57">
        <x:v>38</x:v>
      </x:c>
      <x:c r="O113" s="44"/>
    </x:row>
    <x:row r="114" ht="23" customHeight="1">
      <x:c r="A114" s="21" t="s">
        <x:v>246</x:v>
      </x:c>
      <x:c r="B114" s="45" t="s">
        <x:v>246</x:v>
      </x:c>
      <x:c r="C114" s="45" t="s">
        <x:v>209</x:v>
      </x:c>
      <x:c r="D114" s="46">
        <x:v>42.7283143209778</x:v>
      </x:c>
      <x:c r="E114" s="46">
        <x:v>-73.6747157660583</x:v>
      </x:c>
      <x:c r="F114" s="47" t="n">
        <x:f>_xlfn.COUNTIFS('Connections'!$B$6:$B$590,A114)+_xlfn.COUNTIFS('Connections'!$C$6:$C$590,A114)</x:f>
        <x:v>4</x:v>
      </x:c>
      <x:c r="G114" s="47" t="n">
        <x:f>_xlfn.COUNTIFS('Connections'!$B$6:$B$590,A114,'Connections'!$D$6:$D$590,"TRUE")+_xlfn.COUNTIFS('Connections'!$C$6:$C$590,A114,'Connections'!$D$6:$D$590,"TRUE")</x:f>
        <x:v>4</x:v>
      </x:c>
      <x:c r="H114" s="48" t="s">
        <x:v>66</x:v>
      </x:c>
      <x:c r="I114" s="48" t="s">
        <x:v>67</x:v>
      </x:c>
      <x:c r="J114" s="49"/>
      <x:c r="K114" s="50"/>
      <x:c r="L114" s="51"/>
      <x:c r="M114" s="45" t="s">
        <x:v>210</x:v>
      </x:c>
      <x:c r="N114" s="52">
        <x:v>39</x:v>
      </x:c>
      <x:c r="O114" s="44"/>
    </x:row>
    <x:row r="115" ht="23" customHeight="1">
      <x:c r="A115" s="24" t="s">
        <x:v>247</x:v>
      </x:c>
      <x:c r="B115" s="53" t="s">
        <x:v>247</x:v>
      </x:c>
      <x:c r="C115" s="53" t="s">
        <x:v>209</x:v>
      </x:c>
      <x:c r="D115" s="54">
        <x:v>42.7281039600758</x:v>
      </x:c>
      <x:c r="E115" s="54">
        <x:v>-73.6737225847355</x:v>
      </x:c>
      <x:c r="F115" s="55" t="n">
        <x:f>_xlfn.COUNTIFS('Connections'!$B$6:$B$590,A115)+_xlfn.COUNTIFS('Connections'!$C$6:$C$590,A115)</x:f>
        <x:v>4</x:v>
      </x:c>
      <x:c r="G115" s="55" t="n">
        <x:f>_xlfn.COUNTIFS('Connections'!$B$6:$B$590,A115,'Connections'!$D$6:$D$590,"TRUE")+_xlfn.COUNTIFS('Connections'!$C$6:$C$590,A115,'Connections'!$D$6:$D$590,"TRUE")</x:f>
        <x:v>4</x:v>
      </x:c>
      <x:c r="H115" s="48" t="s">
        <x:v>66</x:v>
      </x:c>
      <x:c r="I115" s="48" t="s">
        <x:v>67</x:v>
      </x:c>
      <x:c r="J115" s="49"/>
      <x:c r="K115" s="50"/>
      <x:c r="L115" s="56"/>
      <x:c r="M115" s="53" t="s">
        <x:v>210</x:v>
      </x:c>
      <x:c r="N115" s="57">
        <x:v>40</x:v>
      </x:c>
      <x:c r="O115" s="44"/>
    </x:row>
    <x:row r="116" ht="23" customHeight="1">
      <x:c r="A116" s="21" t="s">
        <x:v>248</x:v>
      </x:c>
      <x:c r="B116" s="45" t="s">
        <x:v>248</x:v>
      </x:c>
      <x:c r="C116" s="45" t="s">
        <x:v>209</x:v>
      </x:c>
      <x:c r="D116" s="46">
        <x:v>42.7284488140134</x:v>
      </x:c>
      <x:c r="E116" s="46">
        <x:v>-73.67389766477631</x:v>
      </x:c>
      <x:c r="F116" s="47" t="n">
        <x:f>_xlfn.COUNTIFS('Connections'!$B$6:$B$590,A116)+_xlfn.COUNTIFS('Connections'!$C$6:$C$590,A116)</x:f>
        <x:v>2</x:v>
      </x:c>
      <x:c r="G116" s="47" t="n">
        <x:f>_xlfn.COUNTIFS('Connections'!$B$6:$B$590,A116,'Connections'!$D$6:$D$590,"TRUE")+_xlfn.COUNTIFS('Connections'!$C$6:$C$590,A116,'Connections'!$D$6:$D$590,"TRUE")</x:f>
        <x:v>2</x:v>
      </x:c>
      <x:c r="H116" s="48" t="s">
        <x:v>66</x:v>
      </x:c>
      <x:c r="I116" s="48" t="s">
        <x:v>67</x:v>
      </x:c>
      <x:c r="J116" s="49"/>
      <x:c r="K116" s="50"/>
      <x:c r="L116" s="51"/>
      <x:c r="M116" s="45" t="s">
        <x:v>210</x:v>
      </x:c>
      <x:c r="N116" s="52">
        <x:v>41</x:v>
      </x:c>
      <x:c r="O116" s="44"/>
    </x:row>
    <x:row r="117" ht="23" customHeight="1">
      <x:c r="A117" s="24" t="s">
        <x:v>249</x:v>
      </x:c>
      <x:c r="B117" s="53" t="s">
        <x:v>249</x:v>
      </x:c>
      <x:c r="C117" s="53" t="s">
        <x:v>209</x:v>
      </x:c>
      <x:c r="D117" s="54">
        <x:v>42.7280005038946</x:v>
      </x:c>
      <x:c r="E117" s="54">
        <x:v>-73.6728790172658</x:v>
      </x:c>
      <x:c r="F117" s="55" t="n">
        <x:f>_xlfn.COUNTIFS('Connections'!$B$6:$B$590,A117)+_xlfn.COUNTIFS('Connections'!$C$6:$C$590,A117)</x:f>
        <x:v>3</x:v>
      </x:c>
      <x:c r="G117" s="55" t="n">
        <x:f>_xlfn.COUNTIFS('Connections'!$B$6:$B$590,A117,'Connections'!$D$6:$D$590,"TRUE")+_xlfn.COUNTIFS('Connections'!$C$6:$C$590,A117,'Connections'!$D$6:$D$590,"TRUE")</x:f>
        <x:v>3</x:v>
      </x:c>
      <x:c r="H117" s="48" t="s">
        <x:v>66</x:v>
      </x:c>
      <x:c r="I117" s="48" t="s">
        <x:v>67</x:v>
      </x:c>
      <x:c r="J117" s="49"/>
      <x:c r="K117" s="50"/>
      <x:c r="L117" s="56"/>
      <x:c r="M117" s="53" t="s">
        <x:v>210</x:v>
      </x:c>
      <x:c r="N117" s="57">
        <x:v>42</x:v>
      </x:c>
      <x:c r="O117" s="44"/>
    </x:row>
    <x:row r="118" ht="23" customHeight="1">
      <x:c r="A118" s="21" t="s">
        <x:v>250</x:v>
      </x:c>
      <x:c r="B118" s="45" t="s">
        <x:v>250</x:v>
      </x:c>
      <x:c r="C118" s="45" t="s">
        <x:v>209</x:v>
      </x:c>
      <x:c r="D118" s="46">
        <x:v>42.7288511436073</x:v>
      </x:c>
      <x:c r="E118" s="46">
        <x:v>-73.6749958941237</x:v>
      </x:c>
      <x:c r="F118" s="47" t="n">
        <x:f>_xlfn.COUNTIFS('Connections'!$B$6:$B$590,A118)+_xlfn.COUNTIFS('Connections'!$C$6:$C$590,A118)</x:f>
        <x:v>2</x:v>
      </x:c>
      <x:c r="G118" s="47" t="n">
        <x:f>_xlfn.COUNTIFS('Connections'!$B$6:$B$590,A118,'Connections'!$D$6:$D$590,"TRUE")+_xlfn.COUNTIFS('Connections'!$C$6:$C$590,A118,'Connections'!$D$6:$D$590,"TRUE")</x:f>
        <x:v>2</x:v>
      </x:c>
      <x:c r="H118" s="48" t="s">
        <x:v>66</x:v>
      </x:c>
      <x:c r="I118" s="48" t="s">
        <x:v>67</x:v>
      </x:c>
      <x:c r="J118" s="49"/>
      <x:c r="K118" s="50"/>
      <x:c r="L118" s="51"/>
      <x:c r="M118" s="45" t="s">
        <x:v>210</x:v>
      </x:c>
      <x:c r="N118" s="52">
        <x:v>43</x:v>
      </x:c>
      <x:c r="O118" s="44"/>
    </x:row>
    <x:row r="119" ht="23" customHeight="1">
      <x:c r="A119" s="24" t="s">
        <x:v>251</x:v>
      </x:c>
      <x:c r="B119" s="53" t="s">
        <x:v>251</x:v>
      </x:c>
      <x:c r="C119" s="53" t="s">
        <x:v>209</x:v>
      </x:c>
      <x:c r="D119" s="54">
        <x:v>42.7290005803136</x:v>
      </x:c>
      <x:c r="E119" s="54">
        <x:v>-73.6753221796544</x:v>
      </x:c>
      <x:c r="F119" s="55" t="n">
        <x:f>_xlfn.COUNTIFS('Connections'!$B$6:$B$590,A119)+_xlfn.COUNTIFS('Connections'!$C$6:$C$590,A119)</x:f>
        <x:v>3</x:v>
      </x:c>
      <x:c r="G119" s="55" t="n">
        <x:f>_xlfn.COUNTIFS('Connections'!$B$6:$B$590,A119,'Connections'!$D$6:$D$590,"TRUE")+_xlfn.COUNTIFS('Connections'!$C$6:$C$590,A119,'Connections'!$D$6:$D$590,"TRUE")</x:f>
        <x:v>2</x:v>
      </x:c>
      <x:c r="H119" s="48" t="s">
        <x:v>66</x:v>
      </x:c>
      <x:c r="I119" s="48" t="s">
        <x:v>67</x:v>
      </x:c>
      <x:c r="J119" s="49"/>
      <x:c r="K119" s="50"/>
      <x:c r="L119" s="56"/>
      <x:c r="M119" s="53" t="s">
        <x:v>210</x:v>
      </x:c>
      <x:c r="N119" s="57">
        <x:v>44</x:v>
      </x:c>
      <x:c r="O119" s="44"/>
    </x:row>
    <x:row r="120" ht="23" customHeight="1">
      <x:c r="A120" s="21" t="s">
        <x:v>252</x:v>
      </x:c>
      <x:c r="B120" s="45" t="s">
        <x:v>252</x:v>
      </x:c>
      <x:c r="C120" s="45" t="s">
        <x:v>209</x:v>
      </x:c>
      <x:c r="D120" s="46">
        <x:v>42.7292488751486</x:v>
      </x:c>
      <x:c r="E120" s="46">
        <x:v>-73.6757344135688</x:v>
      </x:c>
      <x:c r="F120" s="47" t="n">
        <x:f>_xlfn.COUNTIFS('Connections'!$B$6:$B$590,A120)+_xlfn.COUNTIFS('Connections'!$C$6:$C$590,A120)</x:f>
        <x:v>4</x:v>
      </x:c>
      <x:c r="G120" s="47" t="n">
        <x:f>_xlfn.COUNTIFS('Connections'!$B$6:$B$590,A120,'Connections'!$D$6:$D$590,"TRUE")+_xlfn.COUNTIFS('Connections'!$C$6:$C$590,A120,'Connections'!$D$6:$D$590,"TRUE")</x:f>
        <x:v>3</x:v>
      </x:c>
      <x:c r="H120" s="48" t="s">
        <x:v>66</x:v>
      </x:c>
      <x:c r="I120" s="48" t="s">
        <x:v>67</x:v>
      </x:c>
      <x:c r="J120" s="49"/>
      <x:c r="K120" s="50"/>
      <x:c r="L120" s="51"/>
      <x:c r="M120" s="45" t="s">
        <x:v>210</x:v>
      </x:c>
      <x:c r="N120" s="52">
        <x:v>45</x:v>
      </x:c>
      <x:c r="O120" s="44"/>
    </x:row>
    <x:row r="121" ht="23" customHeight="1">
      <x:c r="A121" s="24" t="s">
        <x:v>253</x:v>
      </x:c>
      <x:c r="B121" s="53" t="s">
        <x:v>253</x:v>
      </x:c>
      <x:c r="C121" s="53" t="s">
        <x:v>209</x:v>
      </x:c>
      <x:c r="D121" s="54">
        <x:v>42.728766079636</x:v>
      </x:c>
      <x:c r="E121" s="54">
        <x:v>-73.6754861182381</x:v>
      </x:c>
      <x:c r="F121" s="55" t="n">
        <x:f>_xlfn.COUNTIFS('Connections'!$B$6:$B$590,A121)+_xlfn.COUNTIFS('Connections'!$C$6:$C$590,A121)</x:f>
        <x:v>2</x:v>
      </x:c>
      <x:c r="G121" s="55" t="n">
        <x:f>_xlfn.COUNTIFS('Connections'!$B$6:$B$590,A121,'Connections'!$D$6:$D$590,"TRUE")+_xlfn.COUNTIFS('Connections'!$C$6:$C$590,A121,'Connections'!$D$6:$D$590,"TRUE")</x:f>
        <x:v>2</x:v>
      </x:c>
      <x:c r="H121" s="48" t="s">
        <x:v>66</x:v>
      </x:c>
      <x:c r="I121" s="48" t="s">
        <x:v>67</x:v>
      </x:c>
      <x:c r="J121" s="49"/>
      <x:c r="K121" s="50"/>
      <x:c r="L121" s="56"/>
      <x:c r="M121" s="53" t="s">
        <x:v>210</x:v>
      </x:c>
      <x:c r="N121" s="57">
        <x:v>46</x:v>
      </x:c>
      <x:c r="O121" s="44"/>
    </x:row>
    <x:row r="122" ht="23" customHeight="1">
      <x:c r="A122" s="21" t="s">
        <x:v>254</x:v>
      </x:c>
      <x:c r="B122" s="45" t="s">
        <x:v>254</x:v>
      </x:c>
      <x:c r="C122" s="45" t="s">
        <x:v>209</x:v>
      </x:c>
      <x:c r="D122" s="46">
        <x:v>42.7284143286197</x:v>
      </x:c>
      <x:c r="E122" s="46">
        <x:v>-73.6755370506137</x:v>
      </x:c>
      <x:c r="F122" s="47" t="n">
        <x:f>_xlfn.COUNTIFS('Connections'!$B$6:$B$590,A122)+_xlfn.COUNTIFS('Connections'!$C$6:$C$590,A122)</x:f>
        <x:v>3</x:v>
      </x:c>
      <x:c r="G122" s="47" t="n">
        <x:f>_xlfn.COUNTIFS('Connections'!$B$6:$B$590,A122,'Connections'!$D$6:$D$590,"TRUE")+_xlfn.COUNTIFS('Connections'!$C$6:$C$590,A122,'Connections'!$D$6:$D$590,"TRUE")</x:f>
        <x:v>3</x:v>
      </x:c>
      <x:c r="H122" s="48" t="s">
        <x:v>66</x:v>
      </x:c>
      <x:c r="I122" s="48" t="s">
        <x:v>67</x:v>
      </x:c>
      <x:c r="J122" s="49"/>
      <x:c r="K122" s="50"/>
      <x:c r="L122" s="51"/>
      <x:c r="M122" s="45" t="s">
        <x:v>210</x:v>
      </x:c>
      <x:c r="N122" s="52">
        <x:v>47</x:v>
      </x:c>
      <x:c r="O122" s="44"/>
    </x:row>
    <x:row r="123" ht="23" customHeight="1">
      <x:c r="A123" s="24" t="s">
        <x:v>255</x:v>
      </x:c>
      <x:c r="B123" s="53" t="s">
        <x:v>255</x:v>
      </x:c>
      <x:c r="C123" s="53" t="s">
        <x:v>209</x:v>
      </x:c>
      <x:c r="D123" s="54">
        <x:v>42.7279165894364</x:v>
      </x:c>
      <x:c r="E123" s="54">
        <x:v>-73.6747030329644</x:v>
      </x:c>
      <x:c r="F123" s="55" t="n">
        <x:f>_xlfn.COUNTIFS('Connections'!$B$6:$B$590,A123)+_xlfn.COUNTIFS('Connections'!$C$6:$C$590,A123)</x:f>
        <x:v>4</x:v>
      </x:c>
      <x:c r="G123" s="55" t="n">
        <x:f>_xlfn.COUNTIFS('Connections'!$B$6:$B$590,A123,'Connections'!$D$6:$D$590,"TRUE")+_xlfn.COUNTIFS('Connections'!$C$6:$C$590,A123,'Connections'!$D$6:$D$590,"TRUE")</x:f>
        <x:v>4</x:v>
      </x:c>
      <x:c r="H123" s="48" t="s">
        <x:v>66</x:v>
      </x:c>
      <x:c r="I123" s="48" t="s">
        <x:v>67</x:v>
      </x:c>
      <x:c r="J123" s="49"/>
      <x:c r="K123" s="50"/>
      <x:c r="L123" s="56"/>
      <x:c r="M123" s="53" t="s">
        <x:v>210</x:v>
      </x:c>
      <x:c r="N123" s="57">
        <x:v>48</x:v>
      </x:c>
      <x:c r="O123" s="44"/>
    </x:row>
    <x:row r="124" ht="23" customHeight="1">
      <x:c r="A124" s="21" t="s">
        <x:v>256</x:v>
      </x:c>
      <x:c r="B124" s="45" t="s">
        <x:v>256</x:v>
      </x:c>
      <x:c r="C124" s="45" t="s">
        <x:v>209</x:v>
      </x:c>
      <x:c r="D124" s="46">
        <x:v>42.7278361235176</x:v>
      </x:c>
      <x:c r="E124" s="46">
        <x:v>-73.67399316298049</x:v>
      </x:c>
      <x:c r="F124" s="47" t="n">
        <x:f>_xlfn.COUNTIFS('Connections'!$B$6:$B$590,A124)+_xlfn.COUNTIFS('Connections'!$C$6:$C$590,A124)</x:f>
        <x:v>4</x:v>
      </x:c>
      <x:c r="G124" s="47" t="n">
        <x:f>_xlfn.COUNTIFS('Connections'!$B$6:$B$590,A124,'Connections'!$D$6:$D$590,"TRUE")+_xlfn.COUNTIFS('Connections'!$C$6:$C$590,A124,'Connections'!$D$6:$D$590,"TRUE")</x:f>
        <x:v>4</x:v>
      </x:c>
      <x:c r="H124" s="48" t="s">
        <x:v>66</x:v>
      </x:c>
      <x:c r="I124" s="48" t="s">
        <x:v>67</x:v>
      </x:c>
      <x:c r="J124" s="49"/>
      <x:c r="K124" s="50"/>
      <x:c r="L124" s="51"/>
      <x:c r="M124" s="45" t="s">
        <x:v>210</x:v>
      </x:c>
      <x:c r="N124" s="52">
        <x:v>49</x:v>
      </x:c>
      <x:c r="O124" s="44"/>
    </x:row>
    <x:row r="125" ht="23" customHeight="1">
      <x:c r="A125" s="24" t="s">
        <x:v>257</x:v>
      </x:c>
      <x:c r="B125" s="53" t="s">
        <x:v>257</x:v>
      </x:c>
      <x:c r="C125" s="53" t="s">
        <x:v>209</x:v>
      </x:c>
      <x:c r="D125" s="54">
        <x:v>42.7274257473319</x:v>
      </x:c>
      <x:c r="E125" s="54">
        <x:v>-73.6741968924826</x:v>
      </x:c>
      <x:c r="F125" s="55" t="n">
        <x:f>_xlfn.COUNTIFS('Connections'!$B$6:$B$590,A125)+_xlfn.COUNTIFS('Connections'!$C$6:$C$590,A125)</x:f>
        <x:v>5</x:v>
      </x:c>
      <x:c r="G125" s="55" t="n">
        <x:f>_xlfn.COUNTIFS('Connections'!$B$6:$B$590,A125,'Connections'!$D$6:$D$590,"TRUE")+_xlfn.COUNTIFS('Connections'!$C$6:$C$590,A125,'Connections'!$D$6:$D$590,"TRUE")</x:f>
        <x:v>5</x:v>
      </x:c>
      <x:c r="H125" s="48" t="s">
        <x:v>66</x:v>
      </x:c>
      <x:c r="I125" s="48" t="s">
        <x:v>67</x:v>
      </x:c>
      <x:c r="J125" s="49"/>
      <x:c r="K125" s="50"/>
      <x:c r="L125" s="56"/>
      <x:c r="M125" s="53" t="s">
        <x:v>210</x:v>
      </x:c>
      <x:c r="N125" s="57">
        <x:v>50</x:v>
      </x:c>
      <x:c r="O125" s="44"/>
    </x:row>
    <x:row r="126" ht="23" customHeight="1">
      <x:c r="A126" s="21" t="s">
        <x:v>258</x:v>
      </x:c>
      <x:c r="B126" s="45" t="s">
        <x:v>258</x:v>
      </x:c>
      <x:c r="C126" s="45" t="s">
        <x:v>209</x:v>
      </x:c>
      <x:c r="D126" s="46">
        <x:v>42.7274441395419</x:v>
      </x:c>
      <x:c r="E126" s="46">
        <x:v>-73.6747014413277</x:v>
      </x:c>
      <x:c r="F126" s="47" t="n">
        <x:f>_xlfn.COUNTIFS('Connections'!$B$6:$B$590,A126)+_xlfn.COUNTIFS('Connections'!$C$6:$C$590,A126)</x:f>
        <x:v>5</x:v>
      </x:c>
      <x:c r="G126" s="47" t="n">
        <x:f>_xlfn.COUNTIFS('Connections'!$B$6:$B$590,A126,'Connections'!$D$6:$D$590,"TRUE")+_xlfn.COUNTIFS('Connections'!$C$6:$C$590,A126,'Connections'!$D$6:$D$590,"TRUE")</x:f>
        <x:v>5</x:v>
      </x:c>
      <x:c r="H126" s="48" t="s">
        <x:v>66</x:v>
      </x:c>
      <x:c r="I126" s="48" t="s">
        <x:v>67</x:v>
      </x:c>
      <x:c r="J126" s="49"/>
      <x:c r="K126" s="50"/>
      <x:c r="L126" s="51"/>
      <x:c r="M126" s="45" t="s">
        <x:v>210</x:v>
      </x:c>
      <x:c r="N126" s="52">
        <x:v>51</x:v>
      </x:c>
      <x:c r="O126" s="44"/>
    </x:row>
    <x:row r="127" ht="23" customHeight="1">
      <x:c r="A127" s="24" t="s">
        <x:v>259</x:v>
      </x:c>
      <x:c r="B127" s="53" t="s">
        <x:v>259</x:v>
      </x:c>
      <x:c r="C127" s="53" t="s">
        <x:v>209</x:v>
      </x:c>
      <x:c r="D127" s="54">
        <x:v>42.7271889476281</x:v>
      </x:c>
      <x:c r="E127" s="54">
        <x:v>-73.67474123224601</x:v>
      </x:c>
      <x:c r="F127" s="55" t="n">
        <x:f>_xlfn.COUNTIFS('Connections'!$B$6:$B$590,A127)+_xlfn.COUNTIFS('Connections'!$C$6:$C$590,A127)</x:f>
        <x:v>5</x:v>
      </x:c>
      <x:c r="G127" s="55" t="n">
        <x:f>_xlfn.COUNTIFS('Connections'!$B$6:$B$590,A127,'Connections'!$D$6:$D$590,"TRUE")+_xlfn.COUNTIFS('Connections'!$C$6:$C$590,A127,'Connections'!$D$6:$D$590,"TRUE")</x:f>
        <x:v>5</x:v>
      </x:c>
      <x:c r="H127" s="48" t="s">
        <x:v>66</x:v>
      </x:c>
      <x:c r="I127" s="48" t="s">
        <x:v>67</x:v>
      </x:c>
      <x:c r="J127" s="49"/>
      <x:c r="K127" s="50"/>
      <x:c r="L127" s="56"/>
      <x:c r="M127" s="53" t="s">
        <x:v>210</x:v>
      </x:c>
      <x:c r="N127" s="57">
        <x:v>52</x:v>
      </x:c>
      <x:c r="O127" s="44"/>
    </x:row>
    <x:row r="128" ht="23" customHeight="1">
      <x:c r="A128" s="21" t="s">
        <x:v>260</x:v>
      </x:c>
      <x:c r="B128" s="45" t="s">
        <x:v>260</x:v>
      </x:c>
      <x:c r="C128" s="45" t="s">
        <x:v>209</x:v>
      </x:c>
      <x:c r="D128" s="46">
        <x:v>42.7271429671031</x:v>
      </x:c>
      <x:c r="E128" s="46">
        <x:v>-73.6742860241398</x:v>
      </x:c>
      <x:c r="F128" s="47" t="n">
        <x:f>_xlfn.COUNTIFS('Connections'!$B$6:$B$590,A128)+_xlfn.COUNTIFS('Connections'!$C$6:$C$590,A128)</x:f>
        <x:v>5</x:v>
      </x:c>
      <x:c r="G128" s="47" t="n">
        <x:f>_xlfn.COUNTIFS('Connections'!$B$6:$B$590,A128,'Connections'!$D$6:$D$590,"TRUE")+_xlfn.COUNTIFS('Connections'!$C$6:$C$590,A128,'Connections'!$D$6:$D$590,"TRUE")</x:f>
        <x:v>5</x:v>
      </x:c>
      <x:c r="H128" s="48" t="s">
        <x:v>66</x:v>
      </x:c>
      <x:c r="I128" s="48" t="s">
        <x:v>67</x:v>
      </x:c>
      <x:c r="J128" s="49"/>
      <x:c r="K128" s="50"/>
      <x:c r="L128" s="51"/>
      <x:c r="M128" s="45" t="s">
        <x:v>210</x:v>
      </x:c>
      <x:c r="N128" s="52">
        <x:v>53</x:v>
      </x:c>
      <x:c r="O128" s="44"/>
    </x:row>
    <x:row r="129" ht="23" customHeight="1">
      <x:c r="A129" s="24" t="s">
        <x:v>261</x:v>
      </x:c>
      <x:c r="B129" s="53" t="s">
        <x:v>261</x:v>
      </x:c>
      <x:c r="C129" s="53" t="s">
        <x:v>209</x:v>
      </x:c>
      <x:c r="D129" s="54">
        <x:v>42.7280441853933</x:v>
      </x:c>
      <x:c r="E129" s="54">
        <x:v>-73.6739294975111</x:v>
      </x:c>
      <x:c r="F129" s="55" t="n">
        <x:f>_xlfn.COUNTIFS('Connections'!$B$6:$B$590,A129)+_xlfn.COUNTIFS('Connections'!$C$6:$C$590,A129)</x:f>
        <x:v>2</x:v>
      </x:c>
      <x:c r="G129" s="55" t="n">
        <x:f>_xlfn.COUNTIFS('Connections'!$B$6:$B$590,A129,'Connections'!$D$6:$D$590,"TRUE")+_xlfn.COUNTIFS('Connections'!$C$6:$C$590,A129,'Connections'!$D$6:$D$590,"TRUE")</x:f>
        <x:v>2</x:v>
      </x:c>
      <x:c r="H129" s="48" t="s">
        <x:v>66</x:v>
      </x:c>
      <x:c r="I129" s="48" t="s">
        <x:v>67</x:v>
      </x:c>
      <x:c r="J129" s="49"/>
      <x:c r="K129" s="50"/>
      <x:c r="L129" s="56"/>
      <x:c r="M129" s="53" t="s">
        <x:v>210</x:v>
      </x:c>
      <x:c r="N129" s="57">
        <x:v>54</x:v>
      </x:c>
      <x:c r="O129" s="44"/>
    </x:row>
    <x:row r="130" ht="23" customHeight="1">
      <x:c r="A130" s="21" t="s">
        <x:v>262</x:v>
      </x:c>
      <x:c r="B130" s="45" t="s">
        <x:v>262</x:v>
      </x:c>
      <x:c r="C130" s="45" t="s">
        <x:v>209</x:v>
      </x:c>
      <x:c r="D130" s="46">
        <x:v>42.729793744370</x:v>
      </x:c>
      <x:c r="E130" s="46">
        <x:v>-73.6757662463036</x:v>
      </x:c>
      <x:c r="F130" s="47" t="n">
        <x:f>_xlfn.COUNTIFS('Connections'!$B$6:$B$590,A130)+_xlfn.COUNTIFS('Connections'!$C$6:$C$590,A130)</x:f>
        <x:v>3</x:v>
      </x:c>
      <x:c r="G130" s="47" t="n">
        <x:f>_xlfn.COUNTIFS('Connections'!$B$6:$B$590,A130,'Connections'!$D$6:$D$590,"TRUE")+_xlfn.COUNTIFS('Connections'!$C$6:$C$590,A130,'Connections'!$D$6:$D$590,"TRUE")</x:f>
        <x:v>3</x:v>
      </x:c>
      <x:c r="H130" s="48" t="s">
        <x:v>66</x:v>
      </x:c>
      <x:c r="I130" s="48" t="s">
        <x:v>67</x:v>
      </x:c>
      <x:c r="J130" s="49"/>
      <x:c r="K130" s="50"/>
      <x:c r="L130" s="51"/>
      <x:c r="M130" s="45" t="s">
        <x:v>210</x:v>
      </x:c>
      <x:c r="N130" s="52">
        <x:v>55</x:v>
      </x:c>
      <x:c r="O130" s="44"/>
    </x:row>
    <x:row r="131" ht="23" customHeight="1">
      <x:c r="A131" s="24" t="s">
        <x:v>263</x:v>
      </x:c>
      <x:c r="B131" s="53" t="s">
        <x:v>263</x:v>
      </x:c>
      <x:c r="C131" s="53" t="s">
        <x:v>209</x:v>
      </x:c>
      <x:c r="D131" s="54">
        <x:v>42.7300581323889</x:v>
      </x:c>
      <x:c r="E131" s="54">
        <x:v>-73.6774263234184</x:v>
      </x:c>
      <x:c r="F131" s="55" t="n">
        <x:f>_xlfn.COUNTIFS('Connections'!$B$6:$B$590,A131)+_xlfn.COUNTIFS('Connections'!$C$6:$C$590,A131)</x:f>
        <x:v>4</x:v>
      </x:c>
      <x:c r="G131" s="55" t="n">
        <x:f>_xlfn.COUNTIFS('Connections'!$B$6:$B$590,A131,'Connections'!$D$6:$D$590,"TRUE")+_xlfn.COUNTIFS('Connections'!$C$6:$C$590,A131,'Connections'!$D$6:$D$590,"TRUE")</x:f>
        <x:v>4</x:v>
      </x:c>
      <x:c r="H131" s="48" t="s">
        <x:v>66</x:v>
      </x:c>
      <x:c r="I131" s="48" t="s">
        <x:v>67</x:v>
      </x:c>
      <x:c r="J131" s="49"/>
      <x:c r="K131" s="50"/>
      <x:c r="L131" s="56"/>
      <x:c r="M131" s="53" t="s">
        <x:v>210</x:v>
      </x:c>
      <x:c r="N131" s="57">
        <x:v>56</x:v>
      </x:c>
      <x:c r="O131" s="44"/>
    </x:row>
    <x:row r="132" ht="23" customHeight="1">
      <x:c r="A132" s="21" t="s">
        <x:v>264</x:v>
      </x:c>
      <x:c r="B132" s="45" t="s">
        <x:v>264</x:v>
      </x:c>
      <x:c r="C132" s="45" t="s">
        <x:v>209</x:v>
      </x:c>
      <x:c r="D132" s="46">
        <x:v>42.7295109641412</x:v>
      </x:c>
      <x:c r="E132" s="46">
        <x:v>-73.6764983992018</x:v>
      </x:c>
      <x:c r="F132" s="47" t="n">
        <x:f>_xlfn.COUNTIFS('Connections'!$B$6:$B$590,A132)+_xlfn.COUNTIFS('Connections'!$C$6:$C$590,A132)</x:f>
        <x:v>3</x:v>
      </x:c>
      <x:c r="G132" s="47" t="n">
        <x:f>_xlfn.COUNTIFS('Connections'!$B$6:$B$590,A132,'Connections'!$D$6:$D$590,"TRUE")+_xlfn.COUNTIFS('Connections'!$C$6:$C$590,A132,'Connections'!$D$6:$D$590,"TRUE")</x:f>
        <x:v>3</x:v>
      </x:c>
      <x:c r="H132" s="48" t="s">
        <x:v>66</x:v>
      </x:c>
      <x:c r="I132" s="48" t="s">
        <x:v>67</x:v>
      </x:c>
      <x:c r="J132" s="49"/>
      <x:c r="K132" s="50"/>
      <x:c r="L132" s="51"/>
      <x:c r="M132" s="45" t="s">
        <x:v>210</x:v>
      </x:c>
      <x:c r="N132" s="52">
        <x:v>57</x:v>
      </x:c>
      <x:c r="O132" s="44"/>
    </x:row>
    <x:row r="133" ht="23" customHeight="1">
      <x:c r="A133" s="24" t="s">
        <x:v>265</x:v>
      </x:c>
      <x:c r="B133" s="53" t="s">
        <x:v>265</x:v>
      </x:c>
      <x:c r="C133" s="53" t="s">
        <x:v>209</x:v>
      </x:c>
      <x:c r="D133" s="54">
        <x:v>42.7302822874483</x:v>
      </x:c>
      <x:c r="E133" s="54">
        <x:v>-73.6780884443003</x:v>
      </x:c>
      <x:c r="F133" s="55" t="n">
        <x:f>_xlfn.COUNTIFS('Connections'!$B$6:$B$590,A133)+_xlfn.COUNTIFS('Connections'!$C$6:$C$590,A133)</x:f>
        <x:v>5</x:v>
      </x:c>
      <x:c r="G133" s="55" t="n">
        <x:f>_xlfn.COUNTIFS('Connections'!$B$6:$B$590,A133,'Connections'!$D$6:$D$590,"TRUE")+_xlfn.COUNTIFS('Connections'!$C$6:$C$590,A133,'Connections'!$D$6:$D$590,"TRUE")</x:f>
        <x:v>4</x:v>
      </x:c>
      <x:c r="H133" s="48" t="s">
        <x:v>66</x:v>
      </x:c>
      <x:c r="I133" s="48" t="s">
        <x:v>67</x:v>
      </x:c>
      <x:c r="J133" s="49"/>
      <x:c r="K133" s="50"/>
      <x:c r="L133" s="56"/>
      <x:c r="M133" s="53" t="s">
        <x:v>210</x:v>
      </x:c>
      <x:c r="N133" s="57">
        <x:v>58</x:v>
      </x:c>
      <x:c r="O133" s="44"/>
    </x:row>
    <x:row r="134" ht="23" customHeight="1">
      <x:c r="A134" s="21" t="s">
        <x:v>266</x:v>
      </x:c>
      <x:c r="B134" s="45" t="s">
        <x:v>266</x:v>
      </x:c>
      <x:c r="C134" s="45" t="s">
        <x:v>209</x:v>
      </x:c>
      <x:c r="D134" s="46">
        <x:v>42.730517937639</x:v>
      </x:c>
      <x:c r="E134" s="46">
        <x:v>-73.678035920288</x:v>
      </x:c>
      <x:c r="F134" s="47" t="n">
        <x:f>_xlfn.COUNTIFS('Connections'!$B$6:$B$590,A134)+_xlfn.COUNTIFS('Connections'!$C$6:$C$590,A134)</x:f>
        <x:v>2</x:v>
      </x:c>
      <x:c r="G134" s="47" t="n">
        <x:f>_xlfn.COUNTIFS('Connections'!$B$6:$B$590,A134,'Connections'!$D$6:$D$590,"TRUE")+_xlfn.COUNTIFS('Connections'!$C$6:$C$590,A134,'Connections'!$D$6:$D$590,"TRUE")</x:f>
        <x:v>2</x:v>
      </x:c>
      <x:c r="H134" s="48" t="s">
        <x:v>66</x:v>
      </x:c>
      <x:c r="I134" s="48" t="s">
        <x:v>67</x:v>
      </x:c>
      <x:c r="J134" s="49"/>
      <x:c r="K134" s="50"/>
      <x:c r="L134" s="51"/>
      <x:c r="M134" s="45" t="s">
        <x:v>210</x:v>
      </x:c>
      <x:c r="N134" s="52">
        <x:v>59</x:v>
      </x:c>
      <x:c r="O134" s="44"/>
    </x:row>
    <x:row r="135" ht="23" customHeight="1">
      <x:c r="A135" s="24" t="s">
        <x:v>267</x:v>
      </x:c>
      <x:c r="B135" s="53" t="s">
        <x:v>267</x:v>
      </x:c>
      <x:c r="C135" s="53" t="s">
        <x:v>209</x:v>
      </x:c>
      <x:c r="D135" s="54">
        <x:v>42.7300121518638</x:v>
      </x:c>
      <x:c r="E135" s="54">
        <x:v>-73.6785134113086</x:v>
      </x:c>
      <x:c r="F135" s="55" t="n">
        <x:f>_xlfn.COUNTIFS('Connections'!$B$6:$B$590,A135)+_xlfn.COUNTIFS('Connections'!$C$6:$C$590,A135)</x:f>
        <x:v>2</x:v>
      </x:c>
      <x:c r="G135" s="55" t="n">
        <x:f>_xlfn.COUNTIFS('Connections'!$B$6:$B$590,A135,'Connections'!$D$6:$D$590,"TRUE")+_xlfn.COUNTIFS('Connections'!$C$6:$C$590,A135,'Connections'!$D$6:$D$590,"TRUE")</x:f>
        <x:v>1</x:v>
      </x:c>
      <x:c r="H135" s="48" t="s">
        <x:v>66</x:v>
      </x:c>
      <x:c r="I135" s="48" t="s">
        <x:v>67</x:v>
      </x:c>
      <x:c r="J135" s="49"/>
      <x:c r="K135" s="50"/>
      <x:c r="L135" s="56"/>
      <x:c r="M135" s="53" t="s">
        <x:v>210</x:v>
      </x:c>
      <x:c r="N135" s="57">
        <x:v>60</x:v>
      </x:c>
      <x:c r="O135" s="44"/>
    </x:row>
    <x:row r="136" ht="23" customHeight="1">
      <x:c r="A136" s="21" t="s">
        <x:v>268</x:v>
      </x:c>
      <x:c r="B136" s="45" t="s">
        <x:v>268</x:v>
      </x:c>
      <x:c r="C136" s="45" t="s">
        <x:v>209</x:v>
      </x:c>
      <x:c r="D136" s="46">
        <x:v>42.7295753368762</x:v>
      </x:c>
      <x:c r="E136" s="46">
        <x:v>-73.6785929931454</x:v>
      </x:c>
      <x:c r="F136" s="47" t="n">
        <x:f>_xlfn.COUNTIFS('Connections'!$B$6:$B$590,A136)+_xlfn.COUNTIFS('Connections'!$C$6:$C$590,A136)</x:f>
        <x:v>5</x:v>
      </x:c>
      <x:c r="G136" s="47" t="n">
        <x:f>_xlfn.COUNTIFS('Connections'!$B$6:$B$590,A136,'Connections'!$D$6:$D$590,"TRUE")+_xlfn.COUNTIFS('Connections'!$C$6:$C$590,A136,'Connections'!$D$6:$D$590,"TRUE")</x:f>
        <x:v>4</x:v>
      </x:c>
      <x:c r="H136" s="48" t="s">
        <x:v>66</x:v>
      </x:c>
      <x:c r="I136" s="48" t="s">
        <x:v>67</x:v>
      </x:c>
      <x:c r="J136" s="49"/>
      <x:c r="K136" s="50"/>
      <x:c r="L136" s="51"/>
      <x:c r="M136" s="45" t="s">
        <x:v>210</x:v>
      </x:c>
      <x:c r="N136" s="52">
        <x:v>61</x:v>
      </x:c>
      <x:c r="O136" s="44"/>
    </x:row>
    <x:row r="137" ht="23" customHeight="1">
      <x:c r="A137" s="24" t="s">
        <x:v>269</x:v>
      </x:c>
      <x:c r="B137" s="53" t="s">
        <x:v>269</x:v>
      </x:c>
      <x:c r="C137" s="53" t="s">
        <x:v>209</x:v>
      </x:c>
      <x:c r="D137" s="54">
        <x:v>42.7293799196449</x:v>
      </x:c>
      <x:c r="E137" s="54">
        <x:v>-73.6779722548186</x:v>
      </x:c>
      <x:c r="F137" s="55" t="n">
        <x:f>_xlfn.COUNTIFS('Connections'!$B$6:$B$590,A137)+_xlfn.COUNTIFS('Connections'!$C$6:$C$590,A137)</x:f>
        <x:v>3</x:v>
      </x:c>
      <x:c r="G137" s="55" t="n">
        <x:f>_xlfn.COUNTIFS('Connections'!$B$6:$B$590,A137,'Connections'!$D$6:$D$590,"TRUE")+_xlfn.COUNTIFS('Connections'!$C$6:$C$590,A137,'Connections'!$D$6:$D$590,"TRUE")</x:f>
        <x:v>2</x:v>
      </x:c>
      <x:c r="H137" s="48" t="s">
        <x:v>66</x:v>
      </x:c>
      <x:c r="I137" s="48" t="s">
        <x:v>67</x:v>
      </x:c>
      <x:c r="J137" s="49"/>
      <x:c r="K137" s="50"/>
      <x:c r="L137" s="56"/>
      <x:c r="M137" s="53" t="s">
        <x:v>210</x:v>
      </x:c>
      <x:c r="N137" s="57">
        <x:v>62</x:v>
      </x:c>
      <x:c r="O137" s="44"/>
    </x:row>
    <x:row r="138" ht="23" customHeight="1">
      <x:c r="A138" s="21" t="s">
        <x:v>270</x:v>
      </x:c>
      <x:c r="B138" s="45" t="s">
        <x:v>270</x:v>
      </x:c>
      <x:c r="C138" s="45" t="s">
        <x:v>209</x:v>
      </x:c>
      <x:c r="D138" s="46">
        <x:v>42.7292948556737</x:v>
      </x:c>
      <x:c r="E138" s="46">
        <x:v>-73.67737857431641</x:v>
      </x:c>
      <x:c r="F138" s="47" t="n">
        <x:f>_xlfn.COUNTIFS('Connections'!$B$6:$B$590,A138)+_xlfn.COUNTIFS('Connections'!$C$6:$C$590,A138)</x:f>
        <x:v>4</x:v>
      </x:c>
      <x:c r="G138" s="47" t="n">
        <x:f>_xlfn.COUNTIFS('Connections'!$B$6:$B$590,A138,'Connections'!$D$6:$D$590,"TRUE")+_xlfn.COUNTIFS('Connections'!$C$6:$C$590,A138,'Connections'!$D$6:$D$590,"TRUE")</x:f>
        <x:v>4</x:v>
      </x:c>
      <x:c r="H138" s="48" t="s">
        <x:v>66</x:v>
      </x:c>
      <x:c r="I138" s="48" t="s">
        <x:v>67</x:v>
      </x:c>
      <x:c r="J138" s="49"/>
      <x:c r="K138" s="50"/>
      <x:c r="L138" s="51"/>
      <x:c r="M138" s="45" t="s">
        <x:v>210</x:v>
      </x:c>
      <x:c r="N138" s="52">
        <x:v>63</x:v>
      </x:c>
      <x:c r="O138" s="44"/>
    </x:row>
    <x:row r="139" ht="23" customHeight="1">
      <x:c r="A139" s="24" t="s">
        <x:v>271</x:v>
      </x:c>
      <x:c r="B139" s="53" t="s">
        <x:v>271</x:v>
      </x:c>
      <x:c r="C139" s="53" t="s">
        <x:v>209</x:v>
      </x:c>
      <x:c r="D139" s="54">
        <x:v>42.7298052395013</x:v>
      </x:c>
      <x:c r="E139" s="54">
        <x:v>-73.6779515635411</x:v>
      </x:c>
      <x:c r="F139" s="55" t="n">
        <x:f>_xlfn.COUNTIFS('Connections'!$B$6:$B$590,A139)+_xlfn.COUNTIFS('Connections'!$C$6:$C$590,A139)</x:f>
        <x:v>2</x:v>
      </x:c>
      <x:c r="G139" s="55" t="n">
        <x:f>_xlfn.COUNTIFS('Connections'!$B$6:$B$590,A139,'Connections'!$D$6:$D$590,"TRUE")+_xlfn.COUNTIFS('Connections'!$C$6:$C$590,A139,'Connections'!$D$6:$D$590,"TRUE")</x:f>
        <x:v>1</x:v>
      </x:c>
      <x:c r="H139" s="48" t="s">
        <x:v>66</x:v>
      </x:c>
      <x:c r="I139" s="48" t="s">
        <x:v>67</x:v>
      </x:c>
      <x:c r="J139" s="49"/>
      <x:c r="K139" s="50"/>
      <x:c r="L139" s="56"/>
      <x:c r="M139" s="53" t="s">
        <x:v>210</x:v>
      </x:c>
      <x:c r="N139" s="57">
        <x:v>64</x:v>
      </x:c>
      <x:c r="O139" s="44"/>
    </x:row>
    <x:row r="140" ht="23" customHeight="1">
      <x:c r="A140" s="21" t="s">
        <x:v>272</x:v>
      </x:c>
      <x:c r="B140" s="45" t="s">
        <x:v>272</x:v>
      </x:c>
      <x:c r="C140" s="45" t="s">
        <x:v>209</x:v>
      </x:c>
      <x:c r="D140" s="46">
        <x:v>42.729609822270</x:v>
      </x:c>
      <x:c r="E140" s="46">
        <x:v>-73.67924556420679</x:v>
      </x:c>
      <x:c r="F140" s="47" t="n">
        <x:f>_xlfn.COUNTIFS('Connections'!$B$6:$B$590,A140)+_xlfn.COUNTIFS('Connections'!$C$6:$C$590,A140)</x:f>
        <x:v>3</x:v>
      </x:c>
      <x:c r="G140" s="47" t="n">
        <x:f>_xlfn.COUNTIFS('Connections'!$B$6:$B$590,A140,'Connections'!$D$6:$D$590,"TRUE")+_xlfn.COUNTIFS('Connections'!$C$6:$C$590,A140,'Connections'!$D$6:$D$590,"TRUE")</x:f>
        <x:v>3</x:v>
      </x:c>
      <x:c r="H140" s="48" t="s">
        <x:v>66</x:v>
      </x:c>
      <x:c r="I140" s="48" t="s">
        <x:v>67</x:v>
      </x:c>
      <x:c r="J140" s="49"/>
      <x:c r="K140" s="50"/>
      <x:c r="L140" s="51"/>
      <x:c r="M140" s="45" t="s">
        <x:v>210</x:v>
      </x:c>
      <x:c r="N140" s="52">
        <x:v>65</x:v>
      </x:c>
      <x:c r="O140" s="44"/>
    </x:row>
    <x:row r="141" ht="23" customHeight="1">
      <x:c r="A141" s="24" t="s">
        <x:v>273</x:v>
      </x:c>
      <x:c r="B141" s="53" t="s">
        <x:v>273</x:v>
      </x:c>
      <x:c r="C141" s="53" t="s">
        <x:v>209</x:v>
      </x:c>
      <x:c r="D141" s="54">
        <x:v>42.7310582088079</x:v>
      </x:c>
      <x:c r="E141" s="54">
        <x:v>-73.6792773969415</x:v>
      </x:c>
      <x:c r="F141" s="55" t="n">
        <x:f>_xlfn.COUNTIFS('Connections'!$B$6:$B$590,A141)+_xlfn.COUNTIFS('Connections'!$C$6:$C$590,A141)</x:f>
        <x:v>4</x:v>
      </x:c>
      <x:c r="G141" s="55" t="n">
        <x:f>_xlfn.COUNTIFS('Connections'!$B$6:$B$590,A141,'Connections'!$D$6:$D$590,"TRUE")+_xlfn.COUNTIFS('Connections'!$C$6:$C$590,A141,'Connections'!$D$6:$D$590,"TRUE")</x:f>
        <x:v>3</x:v>
      </x:c>
      <x:c r="H141" s="48" t="s">
        <x:v>66</x:v>
      </x:c>
      <x:c r="I141" s="48" t="s">
        <x:v>67</x:v>
      </x:c>
      <x:c r="J141" s="49"/>
      <x:c r="K141" s="50"/>
      <x:c r="L141" s="56"/>
      <x:c r="M141" s="53" t="s">
        <x:v>210</x:v>
      </x:c>
      <x:c r="N141" s="57">
        <x:v>66</x:v>
      </x:c>
      <x:c r="O141" s="44"/>
    </x:row>
    <x:row r="142" ht="23" customHeight="1">
      <x:c r="A142" s="21" t="s">
        <x:v>274</x:v>
      </x:c>
      <x:c r="B142" s="45" t="s">
        <x:v>274</x:v>
      </x:c>
      <x:c r="C142" s="45" t="s">
        <x:v>209</x:v>
      </x:c>
      <x:c r="D142" s="46">
        <x:v>42.7306673743453</x:v>
      </x:c>
      <x:c r="E142" s="46">
        <x:v>-73.67938085332931</x:v>
      </x:c>
      <x:c r="F142" s="47" t="n">
        <x:f>_xlfn.COUNTIFS('Connections'!$B$6:$B$590,A142)+_xlfn.COUNTIFS('Connections'!$C$6:$C$590,A142)</x:f>
        <x:v>4</x:v>
      </x:c>
      <x:c r="G142" s="47" t="n">
        <x:f>_xlfn.COUNTIFS('Connections'!$B$6:$B$590,A142,'Connections'!$D$6:$D$590,"TRUE")+_xlfn.COUNTIFS('Connections'!$C$6:$C$590,A142,'Connections'!$D$6:$D$590,"TRUE")</x:f>
        <x:v>4</x:v>
      </x:c>
      <x:c r="H142" s="48" t="s">
        <x:v>66</x:v>
      </x:c>
      <x:c r="I142" s="48" t="s">
        <x:v>67</x:v>
      </x:c>
      <x:c r="J142" s="49"/>
      <x:c r="K142" s="50"/>
      <x:c r="L142" s="51"/>
      <x:c r="M142" s="45" t="s">
        <x:v>210</x:v>
      </x:c>
      <x:c r="N142" s="52">
        <x:v>67</x:v>
      </x:c>
      <x:c r="O142" s="44"/>
    </x:row>
    <x:row r="143" ht="23" customHeight="1">
      <x:c r="A143" s="24" t="s">
        <x:v>275</x:v>
      </x:c>
      <x:c r="B143" s="53" t="s">
        <x:v>275</x:v>
      </x:c>
      <x:c r="C143" s="53" t="s">
        <x:v>209</x:v>
      </x:c>
      <x:c r="D143" s="54">
        <x:v>42.7302569981595</x:v>
      </x:c>
      <x:c r="E143" s="54">
        <x:v>-73.679016368517</x:v>
      </x:c>
      <x:c r="F143" s="55" t="n">
        <x:f>_xlfn.COUNTIFS('Connections'!$B$6:$B$590,A143)+_xlfn.COUNTIFS('Connections'!$C$6:$C$590,A143)</x:f>
        <x:v>2</x:v>
      </x:c>
      <x:c r="G143" s="55" t="n">
        <x:f>_xlfn.COUNTIFS('Connections'!$B$6:$B$590,A143,'Connections'!$D$6:$D$590,"TRUE")+_xlfn.COUNTIFS('Connections'!$C$6:$C$590,A143,'Connections'!$D$6:$D$590,"TRUE")</x:f>
        <x:v>2</x:v>
      </x:c>
      <x:c r="H143" s="48" t="s">
        <x:v>66</x:v>
      </x:c>
      <x:c r="I143" s="48" t="s">
        <x:v>67</x:v>
      </x:c>
      <x:c r="J143" s="49"/>
      <x:c r="K143" s="50"/>
      <x:c r="L143" s="56"/>
      <x:c r="M143" s="53" t="s">
        <x:v>210</x:v>
      </x:c>
      <x:c r="N143" s="57">
        <x:v>68</x:v>
      </x:c>
      <x:c r="O143" s="44"/>
    </x:row>
    <x:row r="144" ht="23" customHeight="1">
      <x:c r="A144" s="21" t="s">
        <x:v>276</x:v>
      </x:c>
      <x:c r="B144" s="45" t="s">
        <x:v>276</x:v>
      </x:c>
      <x:c r="C144" s="45" t="s">
        <x:v>209</x:v>
      </x:c>
      <x:c r="D144" s="46">
        <x:v>42.7298972005513</x:v>
      </x:c>
      <x:c r="E144" s="46">
        <x:v>-73.6793490205946</x:v>
      </x:c>
      <x:c r="F144" s="47" t="n">
        <x:f>_xlfn.COUNTIFS('Connections'!$B$6:$B$590,A144)+_xlfn.COUNTIFS('Connections'!$C$6:$C$590,A144)</x:f>
        <x:v>2</x:v>
      </x:c>
      <x:c r="G144" s="47" t="n">
        <x:f>_xlfn.COUNTIFS('Connections'!$B$6:$B$590,A144,'Connections'!$D$6:$D$590,"TRUE")+_xlfn.COUNTIFS('Connections'!$C$6:$C$590,A144,'Connections'!$D$6:$D$590,"TRUE")</x:f>
        <x:v>2</x:v>
      </x:c>
      <x:c r="H144" s="48" t="s">
        <x:v>66</x:v>
      </x:c>
      <x:c r="I144" s="48" t="s">
        <x:v>67</x:v>
      </x:c>
      <x:c r="J144" s="49"/>
      <x:c r="K144" s="50"/>
      <x:c r="L144" s="51"/>
      <x:c r="M144" s="45" t="s">
        <x:v>210</x:v>
      </x:c>
      <x:c r="N144" s="52">
        <x:v>69</x:v>
      </x:c>
      <x:c r="O144" s="44"/>
    </x:row>
    <x:row r="145" ht="23" customHeight="1">
      <x:c r="A145" s="24" t="s">
        <x:v>277</x:v>
      </x:c>
      <x:c r="B145" s="53" t="s">
        <x:v>277</x:v>
      </x:c>
      <x:c r="C145" s="53" t="s">
        <x:v>209</x:v>
      </x:c>
      <x:c r="D145" s="54">
        <x:v>42.7299891616013</x:v>
      </x:c>
      <x:c r="E145" s="54">
        <x:v>-73.6806080052522</x:v>
      </x:c>
      <x:c r="F145" s="55" t="n">
        <x:f>_xlfn.COUNTIFS('Connections'!$B$6:$B$590,A145)+_xlfn.COUNTIFS('Connections'!$C$6:$C$590,A145)</x:f>
        <x:v>3</x:v>
      </x:c>
      <x:c r="G145" s="55" t="n">
        <x:f>_xlfn.COUNTIFS('Connections'!$B$6:$B$590,A145,'Connections'!$D$6:$D$590,"TRUE")+_xlfn.COUNTIFS('Connections'!$C$6:$C$590,A145,'Connections'!$D$6:$D$590,"TRUE")</x:f>
        <x:v>2</x:v>
      </x:c>
      <x:c r="H145" s="48" t="s">
        <x:v>66</x:v>
      </x:c>
      <x:c r="I145" s="48" t="s">
        <x:v>67</x:v>
      </x:c>
      <x:c r="J145" s="49"/>
      <x:c r="K145" s="50"/>
      <x:c r="L145" s="56"/>
      <x:c r="M145" s="53" t="s">
        <x:v>210</x:v>
      </x:c>
      <x:c r="N145" s="57">
        <x:v>70</x:v>
      </x:c>
      <x:c r="O145" s="44"/>
    </x:row>
    <x:row r="146" ht="23" customHeight="1">
      <x:c r="A146" s="21" t="s">
        <x:v>278</x:v>
      </x:c>
      <x:c r="B146" s="45" t="s">
        <x:v>278</x:v>
      </x:c>
      <x:c r="C146" s="45" t="s">
        <x:v>209</x:v>
      </x:c>
      <x:c r="D146" s="46">
        <x:v>42.7303650523933</x:v>
      </x:c>
      <x:c r="E146" s="46">
        <x:v>-73.6808690336768</x:v>
      </x:c>
      <x:c r="F146" s="47" t="n">
        <x:f>_xlfn.COUNTIFS('Connections'!$B$6:$B$590,A146)+_xlfn.COUNTIFS('Connections'!$C$6:$C$590,A146)</x:f>
        <x:v>3</x:v>
      </x:c>
      <x:c r="G146" s="47" t="n">
        <x:f>_xlfn.COUNTIFS('Connections'!$B$6:$B$590,A146,'Connections'!$D$6:$D$590,"TRUE")+_xlfn.COUNTIFS('Connections'!$C$6:$C$590,A146,'Connections'!$D$6:$D$590,"TRUE")</x:f>
        <x:v>2</x:v>
      </x:c>
      <x:c r="H146" s="48" t="s">
        <x:v>66</x:v>
      </x:c>
      <x:c r="I146" s="48" t="s">
        <x:v>67</x:v>
      </x:c>
      <x:c r="J146" s="49"/>
      <x:c r="K146" s="50"/>
      <x:c r="L146" s="51"/>
      <x:c r="M146" s="45" t="s">
        <x:v>210</x:v>
      </x:c>
      <x:c r="N146" s="52">
        <x:v>71</x:v>
      </x:c>
      <x:c r="O146" s="44"/>
    </x:row>
    <x:row r="147" ht="23" customHeight="1">
      <x:c r="A147" s="24" t="s">
        <x:v>279</x:v>
      </x:c>
      <x:c r="B147" s="53" t="s">
        <x:v>279</x:v>
      </x:c>
      <x:c r="C147" s="53" t="s">
        <x:v>209</x:v>
      </x:c>
      <x:c r="D147" s="54">
        <x:v>42.7307524383165</x:v>
      </x:c>
      <x:c r="E147" s="54">
        <x:v>-73.6803278771868</x:v>
      </x:c>
      <x:c r="F147" s="55" t="n">
        <x:f>_xlfn.COUNTIFS('Connections'!$B$6:$B$590,A147)+_xlfn.COUNTIFS('Connections'!$C$6:$C$590,A147)</x:f>
        <x:v>3</x:v>
      </x:c>
      <x:c r="G147" s="55" t="n">
        <x:f>_xlfn.COUNTIFS('Connections'!$B$6:$B$590,A147,'Connections'!$D$6:$D$590,"TRUE")+_xlfn.COUNTIFS('Connections'!$C$6:$C$590,A147,'Connections'!$D$6:$D$590,"TRUE")</x:f>
        <x:v>3</x:v>
      </x:c>
      <x:c r="H147" s="48" t="s">
        <x:v>66</x:v>
      </x:c>
      <x:c r="I147" s="48" t="s">
        <x:v>67</x:v>
      </x:c>
      <x:c r="J147" s="49"/>
      <x:c r="K147" s="50"/>
      <x:c r="L147" s="56"/>
      <x:c r="M147" s="53" t="s">
        <x:v>210</x:v>
      </x:c>
      <x:c r="N147" s="57">
        <x:v>72</x:v>
      </x:c>
      <x:c r="O147" s="44"/>
    </x:row>
    <x:row r="148" ht="23" customHeight="1">
      <x:c r="A148" s="21" t="s">
        <x:v>280</x:v>
      </x:c>
      <x:c r="B148" s="45" t="s">
        <x:v>280</x:v>
      </x:c>
      <x:c r="C148" s="45" t="s">
        <x:v>209</x:v>
      </x:c>
      <x:c r="D148" s="46">
        <x:v>42.7308168110516</x:v>
      </x:c>
      <x:c r="E148" s="46">
        <x:v>-73.68091678277889</x:v>
      </x:c>
      <x:c r="F148" s="47" t="n">
        <x:f>_xlfn.COUNTIFS('Connections'!$B$6:$B$590,A148)+_xlfn.COUNTIFS('Connections'!$C$6:$C$590,A148)</x:f>
        <x:v>4</x:v>
      </x:c>
      <x:c r="G148" s="47" t="n">
        <x:f>_xlfn.COUNTIFS('Connections'!$B$6:$B$590,A148,'Connections'!$D$6:$D$590,"TRUE")+_xlfn.COUNTIFS('Connections'!$C$6:$C$590,A148,'Connections'!$D$6:$D$590,"TRUE")</x:f>
        <x:v>4</x:v>
      </x:c>
      <x:c r="H148" s="48" t="s">
        <x:v>66</x:v>
      </x:c>
      <x:c r="I148" s="48" t="s">
        <x:v>67</x:v>
      </x:c>
      <x:c r="J148" s="49"/>
      <x:c r="K148" s="50"/>
      <x:c r="L148" s="51"/>
      <x:c r="M148" s="45" t="s">
        <x:v>210</x:v>
      </x:c>
      <x:c r="N148" s="52">
        <x:v>73</x:v>
      </x:c>
      <x:c r="O148" s="44"/>
    </x:row>
    <x:row r="149" ht="23" customHeight="1">
      <x:c r="A149" s="24" t="s">
        <x:v>281</x:v>
      </x:c>
      <x:c r="B149" s="53" t="s">
        <x:v>281</x:v>
      </x:c>
      <x:c r="C149" s="53" t="s">
        <x:v>209</x:v>
      </x:c>
      <x:c r="D149" s="54">
        <x:v>42.7306880655815</x:v>
      </x:c>
      <x:c r="E149" s="54">
        <x:v>-73.6798249199785</x:v>
      </x:c>
      <x:c r="F149" s="55" t="n">
        <x:f>_xlfn.COUNTIFS('Connections'!$B$6:$B$590,A149)+_xlfn.COUNTIFS('Connections'!$C$6:$C$590,A149)</x:f>
        <x:v>4</x:v>
      </x:c>
      <x:c r="G149" s="55" t="n">
        <x:f>_xlfn.COUNTIFS('Connections'!$B$6:$B$590,A149,'Connections'!$D$6:$D$590,"TRUE")+_xlfn.COUNTIFS('Connections'!$C$6:$C$590,A149,'Connections'!$D$6:$D$590,"TRUE")</x:f>
        <x:v>4</x:v>
      </x:c>
      <x:c r="H149" s="48" t="s">
        <x:v>66</x:v>
      </x:c>
      <x:c r="I149" s="48" t="s">
        <x:v>67</x:v>
      </x:c>
      <x:c r="J149" s="49"/>
      <x:c r="K149" s="50"/>
      <x:c r="L149" s="56"/>
      <x:c r="M149" s="53" t="s">
        <x:v>210</x:v>
      </x:c>
      <x:c r="N149" s="57">
        <x:v>74</x:v>
      </x:c>
      <x:c r="O149" s="44"/>
    </x:row>
    <x:row r="150" ht="23" customHeight="1">
      <x:c r="A150" s="21" t="s">
        <x:v>282</x:v>
      </x:c>
      <x:c r="B150" s="45" t="s">
        <x:v>282</x:v>
      </x:c>
      <x:c r="C150" s="45" t="s">
        <x:v>209</x:v>
      </x:c>
      <x:c r="D150" s="46">
        <x:v>42.7296443076638</x:v>
      </x:c>
      <x:c r="E150" s="46">
        <x:v>-73.679659389758</x:v>
      </x:c>
      <x:c r="F150" s="47" t="n">
        <x:f>_xlfn.COUNTIFS('Connections'!$B$6:$B$590,A150)+_xlfn.COUNTIFS('Connections'!$C$6:$C$590,A150)</x:f>
        <x:v>3</x:v>
      </x:c>
      <x:c r="G150" s="47" t="n">
        <x:f>_xlfn.COUNTIFS('Connections'!$B$6:$B$590,A150,'Connections'!$D$6:$D$590,"TRUE")+_xlfn.COUNTIFS('Connections'!$C$6:$C$590,A150,'Connections'!$D$6:$D$590,"TRUE")</x:f>
        <x:v>2</x:v>
      </x:c>
      <x:c r="H150" s="48" t="s">
        <x:v>66</x:v>
      </x:c>
      <x:c r="I150" s="48" t="s">
        <x:v>67</x:v>
      </x:c>
      <x:c r="J150" s="49"/>
      <x:c r="K150" s="50"/>
      <x:c r="L150" s="51"/>
      <x:c r="M150" s="45" t="s">
        <x:v>210</x:v>
      </x:c>
      <x:c r="N150" s="52">
        <x:v>75</x:v>
      </x:c>
      <x:c r="O150" s="44"/>
    </x:row>
    <x:row r="151" ht="23" customHeight="1">
      <x:c r="A151" s="24" t="s">
        <x:v>283</x:v>
      </x:c>
      <x:c r="B151" s="53" t="s">
        <x:v>283</x:v>
      </x:c>
      <x:c r="C151" s="53" t="s">
        <x:v>209</x:v>
      </x:c>
      <x:c r="D151" s="54">
        <x:v>42.7299167422744</x:v>
      </x:c>
      <x:c r="E151" s="54">
        <x:v>-73.6796959974029</x:v>
      </x:c>
      <x:c r="F151" s="55" t="n">
        <x:f>_xlfn.COUNTIFS('Connections'!$B$6:$B$590,A151)+_xlfn.COUNTIFS('Connections'!$C$6:$C$590,A151)</x:f>
        <x:v>3</x:v>
      </x:c>
      <x:c r="G151" s="55" t="n">
        <x:f>_xlfn.COUNTIFS('Connections'!$B$6:$B$590,A151,'Connections'!$D$6:$D$590,"TRUE")+_xlfn.COUNTIFS('Connections'!$C$6:$C$590,A151,'Connections'!$D$6:$D$590,"TRUE")</x:f>
        <x:v>3</x:v>
      </x:c>
      <x:c r="H151" s="48" t="s">
        <x:v>66</x:v>
      </x:c>
      <x:c r="I151" s="48" t="s">
        <x:v>67</x:v>
      </x:c>
      <x:c r="J151" s="49"/>
      <x:c r="K151" s="50"/>
      <x:c r="L151" s="56"/>
      <x:c r="M151" s="53" t="s">
        <x:v>210</x:v>
      </x:c>
      <x:c r="N151" s="57">
        <x:v>76</x:v>
      </x:c>
      <x:c r="O151" s="44"/>
    </x:row>
    <x:row r="152" ht="23" customHeight="1">
      <x:c r="A152" s="21" t="s">
        <x:v>284</x:v>
      </x:c>
      <x:c r="B152" s="45" t="s">
        <x:v>284</x:v>
      </x:c>
      <x:c r="C152" s="45" t="s">
        <x:v>209</x:v>
      </x:c>
      <x:c r="D152" s="46">
        <x:v>42.7296845406231</x:v>
      </x:c>
      <x:c r="E152" s="46">
        <x:v>-73.6801575720561</x:v>
      </x:c>
      <x:c r="F152" s="47" t="n">
        <x:f>_xlfn.COUNTIFS('Connections'!$B$6:$B$590,A152)+_xlfn.COUNTIFS('Connections'!$C$6:$C$590,A152)</x:f>
        <x:v>3</x:v>
      </x:c>
      <x:c r="G152" s="47" t="n">
        <x:f>_xlfn.COUNTIFS('Connections'!$B$6:$B$590,A152,'Connections'!$D$6:$D$590,"TRUE")+_xlfn.COUNTIFS('Connections'!$C$6:$C$590,A152,'Connections'!$D$6:$D$590,"TRUE")</x:f>
        <x:v>3</x:v>
      </x:c>
      <x:c r="H152" s="48" t="s">
        <x:v>66</x:v>
      </x:c>
      <x:c r="I152" s="48" t="s">
        <x:v>67</x:v>
      </x:c>
      <x:c r="J152" s="49"/>
      <x:c r="K152" s="50"/>
      <x:c r="L152" s="51"/>
      <x:c r="M152" s="45" t="s">
        <x:v>210</x:v>
      </x:c>
      <x:c r="N152" s="52">
        <x:v>77</x:v>
      </x:c>
      <x:c r="O152" s="44"/>
    </x:row>
    <x:row r="153" ht="23" customHeight="1">
      <x:c r="A153" s="24" t="s">
        <x:v>285</x:v>
      </x:c>
      <x:c r="B153" s="53" t="s">
        <x:v>285</x:v>
      </x:c>
      <x:c r="C153" s="53" t="s">
        <x:v>209</x:v>
      </x:c>
      <x:c r="D153" s="54">
        <x:v>42.7297902958307</x:v>
      </x:c>
      <x:c r="E153" s="54">
        <x:v>-73.68095975697069</x:v>
      </x:c>
      <x:c r="F153" s="55" t="n">
        <x:f>_xlfn.COUNTIFS('Connections'!$B$6:$B$590,A153)+_xlfn.COUNTIFS('Connections'!$C$6:$C$590,A153)</x:f>
        <x:v>4</x:v>
      </x:c>
      <x:c r="G153" s="55" t="n">
        <x:f>_xlfn.COUNTIFS('Connections'!$B$6:$B$590,A153,'Connections'!$D$6:$D$590,"TRUE")+_xlfn.COUNTIFS('Connections'!$C$6:$C$590,A153,'Connections'!$D$6:$D$590,"TRUE")</x:f>
        <x:v>4</x:v>
      </x:c>
      <x:c r="H153" s="48" t="s">
        <x:v>66</x:v>
      </x:c>
      <x:c r="I153" s="48" t="s">
        <x:v>67</x:v>
      </x:c>
      <x:c r="J153" s="49"/>
      <x:c r="K153" s="50"/>
      <x:c r="L153" s="56"/>
      <x:c r="M153" s="53" t="s">
        <x:v>210</x:v>
      </x:c>
      <x:c r="N153" s="57">
        <x:v>78</x:v>
      </x:c>
      <x:c r="O153" s="44"/>
    </x:row>
    <x:row r="154" ht="23" customHeight="1">
      <x:c r="A154" s="21" t="s">
        <x:v>286</x:v>
      </x:c>
      <x:c r="B154" s="45" t="s">
        <x:v>286</x:v>
      </x:c>
      <x:c r="C154" s="45" t="s">
        <x:v>209</x:v>
      </x:c>
      <x:c r="D154" s="46">
        <x:v>42.7304604619827</x:v>
      </x:c>
      <x:c r="E154" s="46">
        <x:v>-73.6789542946843</x:v>
      </x:c>
      <x:c r="F154" s="47" t="n">
        <x:f>_xlfn.COUNTIFS('Connections'!$B$6:$B$590,A154)+_xlfn.COUNTIFS('Connections'!$C$6:$C$590,A154)</x:f>
        <x:v>3</x:v>
      </x:c>
      <x:c r="G154" s="47" t="n">
        <x:f>_xlfn.COUNTIFS('Connections'!$B$6:$B$590,A154,'Connections'!$D$6:$D$590,"TRUE")+_xlfn.COUNTIFS('Connections'!$C$6:$C$590,A154,'Connections'!$D$6:$D$590,"TRUE")</x:f>
        <x:v>2</x:v>
      </x:c>
      <x:c r="H154" s="48" t="s">
        <x:v>66</x:v>
      </x:c>
      <x:c r="I154" s="48" t="s">
        <x:v>67</x:v>
      </x:c>
      <x:c r="J154" s="49"/>
      <x:c r="K154" s="50"/>
      <x:c r="L154" s="51"/>
      <x:c r="M154" s="45" t="s">
        <x:v>210</x:v>
      </x:c>
      <x:c r="N154" s="52">
        <x:v>79</x:v>
      </x:c>
      <x:c r="O154" s="44"/>
    </x:row>
    <x:row r="155" ht="23" customHeight="1">
      <x:c r="A155" s="24" t="s">
        <x:v>287</x:v>
      </x:c>
      <x:c r="B155" s="53" t="s">
        <x:v>287</x:v>
      </x:c>
      <x:c r="C155" s="53" t="s">
        <x:v>209</x:v>
      </x:c>
      <x:c r="D155" s="54">
        <x:v>42.7304294251283</x:v>
      </x:c>
      <x:c r="E155" s="54">
        <x:v>-73.6785516105903</x:v>
      </x:c>
      <x:c r="F155" s="55" t="n">
        <x:f>_xlfn.COUNTIFS('Connections'!$B$6:$B$590,A155)+_xlfn.COUNTIFS('Connections'!$C$6:$C$590,A155)</x:f>
        <x:v>3</x:v>
      </x:c>
      <x:c r="G155" s="55" t="n">
        <x:f>_xlfn.COUNTIFS('Connections'!$B$6:$B$590,A155,'Connections'!$D$6:$D$590,"TRUE")+_xlfn.COUNTIFS('Connections'!$C$6:$C$590,A155,'Connections'!$D$6:$D$590,"TRUE")</x:f>
        <x:v>1</x:v>
      </x:c>
      <x:c r="H155" s="48" t="s">
        <x:v>66</x:v>
      </x:c>
      <x:c r="I155" s="48" t="s">
        <x:v>67</x:v>
      </x:c>
      <x:c r="J155" s="49"/>
      <x:c r="K155" s="50"/>
      <x:c r="L155" s="56"/>
      <x:c r="M155" s="53" t="s">
        <x:v>210</x:v>
      </x:c>
      <x:c r="N155" s="57">
        <x:v>80</x:v>
      </x:c>
      <x:c r="O155" s="44"/>
    </x:row>
    <x:row r="156" ht="23" customHeight="1">
      <x:c r="A156" s="21" t="s">
        <x:v>288</x:v>
      </x:c>
      <x:c r="B156" s="45" t="s">
        <x:v>288</x:v>
      </x:c>
      <x:c r="C156" s="45" t="s">
        <x:v>209</x:v>
      </x:c>
      <x:c r="D156" s="46">
        <x:v>42.7309283138247</x:v>
      </x:c>
      <x:c r="E156" s="46">
        <x:v>-73.678414729831</x:v>
      </x:c>
      <x:c r="F156" s="47" t="n">
        <x:f>_xlfn.COUNTIFS('Connections'!$B$6:$B$590,A156)+_xlfn.COUNTIFS('Connections'!$C$6:$C$590,A156)</x:f>
        <x:v>3</x:v>
      </x:c>
      <x:c r="G156" s="47" t="n">
        <x:f>_xlfn.COUNTIFS('Connections'!$B$6:$B$590,A156,'Connections'!$D$6:$D$590,"TRUE")+_xlfn.COUNTIFS('Connections'!$C$6:$C$590,A156,'Connections'!$D$6:$D$590,"TRUE")</x:f>
        <x:v>2</x:v>
      </x:c>
      <x:c r="H156" s="48" t="s">
        <x:v>66</x:v>
      </x:c>
      <x:c r="I156" s="48" t="s">
        <x:v>67</x:v>
      </x:c>
      <x:c r="J156" s="49"/>
      <x:c r="K156" s="50"/>
      <x:c r="L156" s="51"/>
      <x:c r="M156" s="45" t="s">
        <x:v>210</x:v>
      </x:c>
      <x:c r="N156" s="52">
        <x:v>81</x:v>
      </x:c>
      <x:c r="O156" s="44"/>
    </x:row>
    <x:row r="157" ht="23" customHeight="1">
      <x:c r="A157" s="24" t="s">
        <x:v>289</x:v>
      </x:c>
      <x:c r="B157" s="53" t="s">
        <x:v>289</x:v>
      </x:c>
      <x:c r="C157" s="53" t="s">
        <x:v>209</x:v>
      </x:c>
      <x:c r="D157" s="54">
        <x:v>42.730609898689</x:v>
      </x:c>
      <x:c r="E157" s="54">
        <x:v>-73.6811666697463</x:v>
      </x:c>
      <x:c r="F157" s="55" t="n">
        <x:f>_xlfn.COUNTIFS('Connections'!$B$6:$B$590,A157)+_xlfn.COUNTIFS('Connections'!$C$6:$C$590,A157)</x:f>
        <x:v>5</x:v>
      </x:c>
      <x:c r="G157" s="55" t="n">
        <x:f>_xlfn.COUNTIFS('Connections'!$B$6:$B$590,A157,'Connections'!$D$6:$D$590,"TRUE")+_xlfn.COUNTIFS('Connections'!$C$6:$C$590,A157,'Connections'!$D$6:$D$590,"TRUE")</x:f>
        <x:v>5</x:v>
      </x:c>
      <x:c r="H157" s="48" t="s">
        <x:v>66</x:v>
      </x:c>
      <x:c r="I157" s="48" t="s">
        <x:v>67</x:v>
      </x:c>
      <x:c r="J157" s="49"/>
      <x:c r="K157" s="50"/>
      <x:c r="L157" s="56"/>
      <x:c r="M157" s="53" t="s">
        <x:v>210</x:v>
      </x:c>
      <x:c r="N157" s="57">
        <x:v>82</x:v>
      </x:c>
      <x:c r="O157" s="44"/>
    </x:row>
    <x:row r="158" ht="23" customHeight="1">
      <x:c r="A158" s="21" t="s">
        <x:v>290</x:v>
      </x:c>
      <x:c r="B158" s="45" t="s">
        <x:v>290</x:v>
      </x:c>
      <x:c r="C158" s="45" t="s">
        <x:v>209</x:v>
      </x:c>
      <x:c r="D158" s="46">
        <x:v>42.7300064042982</x:v>
      </x:c>
      <x:c r="E158" s="46">
        <x:v>-73.68090086641151</x:v>
      </x:c>
      <x:c r="F158" s="47" t="n">
        <x:f>_xlfn.COUNTIFS('Connections'!$B$6:$B$590,A158)+_xlfn.COUNTIFS('Connections'!$C$6:$C$590,A158)</x:f>
        <x:v>3</x:v>
      </x:c>
      <x:c r="G158" s="47" t="n">
        <x:f>_xlfn.COUNTIFS('Connections'!$B$6:$B$590,A158,'Connections'!$D$6:$D$590,"TRUE")+_xlfn.COUNTIFS('Connections'!$C$6:$C$590,A158,'Connections'!$D$6:$D$590,"TRUE")</x:f>
        <x:v>2</x:v>
      </x:c>
      <x:c r="H158" s="48" t="s">
        <x:v>66</x:v>
      </x:c>
      <x:c r="I158" s="48" t="s">
        <x:v>67</x:v>
      </x:c>
      <x:c r="J158" s="49"/>
      <x:c r="K158" s="50"/>
      <x:c r="L158" s="51"/>
      <x:c r="M158" s="45" t="s">
        <x:v>210</x:v>
      </x:c>
      <x:c r="N158" s="52">
        <x:v>83</x:v>
      </x:c>
      <x:c r="O158" s="44"/>
    </x:row>
    <x:row r="159" ht="23" customHeight="1">
      <x:c r="A159" s="24" t="s">
        <x:v>291</x:v>
      </x:c>
      <x:c r="B159" s="53" t="s">
        <x:v>291</x:v>
      </x:c>
      <x:c r="C159" s="53" t="s">
        <x:v>209</x:v>
      </x:c>
      <x:c r="D159" s="54">
        <x:v>42.729839724895</x:v>
      </x:c>
      <x:c r="E159" s="54">
        <x:v>-73.6816330193097</x:v>
      </x:c>
      <x:c r="F159" s="55" t="n">
        <x:f>_xlfn.COUNTIFS('Connections'!$B$6:$B$590,A159)+_xlfn.COUNTIFS('Connections'!$C$6:$C$590,A159)</x:f>
        <x:v>3</x:v>
      </x:c>
      <x:c r="G159" s="55" t="n">
        <x:f>_xlfn.COUNTIFS('Connections'!$B$6:$B$590,A159,'Connections'!$D$6:$D$590,"TRUE")+_xlfn.COUNTIFS('Connections'!$C$6:$C$590,A159,'Connections'!$D$6:$D$590,"TRUE")</x:f>
        <x:v>3</x:v>
      </x:c>
      <x:c r="H159" s="48" t="s">
        <x:v>66</x:v>
      </x:c>
      <x:c r="I159" s="48" t="s">
        <x:v>67</x:v>
      </x:c>
      <x:c r="J159" s="49"/>
      <x:c r="K159" s="50"/>
      <x:c r="L159" s="56"/>
      <x:c r="M159" s="53" t="s">
        <x:v>210</x:v>
      </x:c>
      <x:c r="N159" s="57">
        <x:v>84</x:v>
      </x:c>
      <x:c r="O159" s="44"/>
    </x:row>
    <x:row r="160" ht="23" customHeight="1">
      <x:c r="A160" s="21" t="s">
        <x:v>292</x:v>
      </x:c>
      <x:c r="B160" s="45" t="s">
        <x:v>292</x:v>
      </x:c>
      <x:c r="C160" s="45" t="s">
        <x:v>209</x:v>
      </x:c>
      <x:c r="D160" s="46">
        <x:v>42.7297247735825</x:v>
      </x:c>
      <x:c r="E160" s="46">
        <x:v>-73.68160118657499</x:v>
      </x:c>
      <x:c r="F160" s="47" t="n">
        <x:f>_xlfn.COUNTIFS('Connections'!$B$6:$B$590,A160)+_xlfn.COUNTIFS('Connections'!$C$6:$C$590,A160)</x:f>
        <x:v>3</x:v>
      </x:c>
      <x:c r="G160" s="47" t="n">
        <x:f>_xlfn.COUNTIFS('Connections'!$B$6:$B$590,A160,'Connections'!$D$6:$D$590,"TRUE")+_xlfn.COUNTIFS('Connections'!$C$6:$C$590,A160,'Connections'!$D$6:$D$590,"TRUE")</x:f>
        <x:v>3</x:v>
      </x:c>
      <x:c r="H160" s="48" t="s">
        <x:v>66</x:v>
      </x:c>
      <x:c r="I160" s="48" t="s">
        <x:v>67</x:v>
      </x:c>
      <x:c r="J160" s="49"/>
      <x:c r="K160" s="50"/>
      <x:c r="L160" s="51"/>
      <x:c r="M160" s="45" t="s">
        <x:v>210</x:v>
      </x:c>
      <x:c r="N160" s="52">
        <x:v>85</x:v>
      </x:c>
      <x:c r="O160" s="44"/>
    </x:row>
    <x:row r="161" ht="23" customHeight="1">
      <x:c r="A161" s="24" t="s">
        <x:v>293</x:v>
      </x:c>
      <x:c r="B161" s="53" t="s">
        <x:v>293</x:v>
      </x:c>
      <x:c r="C161" s="53" t="s">
        <x:v>209</x:v>
      </x:c>
      <x:c r="D161" s="54">
        <x:v>42.7297247735825</x:v>
      </x:c>
      <x:c r="E161" s="54">
        <x:v>-73.6817921829833</x:v>
      </x:c>
      <x:c r="F161" s="55" t="n">
        <x:f>_xlfn.COUNTIFS('Connections'!$B$6:$B$590,A161)+_xlfn.COUNTIFS('Connections'!$C$6:$C$590,A161)</x:f>
        <x:v>3</x:v>
      </x:c>
      <x:c r="G161" s="55" t="n">
        <x:f>_xlfn.COUNTIFS('Connections'!$B$6:$B$590,A161,'Connections'!$D$6:$D$590,"TRUE")+_xlfn.COUNTIFS('Connections'!$C$6:$C$590,A161,'Connections'!$D$6:$D$590,"TRUE")</x:f>
        <x:v>3</x:v>
      </x:c>
      <x:c r="H161" s="48" t="s">
        <x:v>66</x:v>
      </x:c>
      <x:c r="I161" s="48" t="s">
        <x:v>67</x:v>
      </x:c>
      <x:c r="J161" s="49"/>
      <x:c r="K161" s="50"/>
      <x:c r="L161" s="56"/>
      <x:c r="M161" s="53" t="s">
        <x:v>210</x:v>
      </x:c>
      <x:c r="N161" s="57">
        <x:v>86</x:v>
      </x:c>
      <x:c r="O161" s="44"/>
    </x:row>
    <x:row r="162" ht="23" customHeight="1">
      <x:c r="A162" s="21" t="s">
        <x:v>294</x:v>
      </x:c>
      <x:c r="B162" s="45" t="s">
        <x:v>294</x:v>
      </x:c>
      <x:c r="C162" s="45" t="s">
        <x:v>209</x:v>
      </x:c>
      <x:c r="D162" s="46">
        <x:v>42.729839724895</x:v>
      </x:c>
      <x:c r="E162" s="46">
        <x:v>-73.6817921829833</x:v>
      </x:c>
      <x:c r="F162" s="47" t="n">
        <x:f>_xlfn.COUNTIFS('Connections'!$B$6:$B$590,A162)+_xlfn.COUNTIFS('Connections'!$C$6:$C$590,A162)</x:f>
        <x:v>3</x:v>
      </x:c>
      <x:c r="G162" s="47" t="n">
        <x:f>_xlfn.COUNTIFS('Connections'!$B$6:$B$590,A162,'Connections'!$D$6:$D$590,"TRUE")+_xlfn.COUNTIFS('Connections'!$C$6:$C$590,A162,'Connections'!$D$6:$D$590,"TRUE")</x:f>
        <x:v>3</x:v>
      </x:c>
      <x:c r="H162" s="48" t="s">
        <x:v>66</x:v>
      </x:c>
      <x:c r="I162" s="48" t="s">
        <x:v>67</x:v>
      </x:c>
      <x:c r="J162" s="49"/>
      <x:c r="K162" s="50"/>
      <x:c r="L162" s="51"/>
      <x:c r="M162" s="45" t="s">
        <x:v>210</x:v>
      </x:c>
      <x:c r="N162" s="52">
        <x:v>87</x:v>
      </x:c>
      <x:c r="O162" s="44"/>
    </x:row>
    <x:row r="163" ht="23" customHeight="1">
      <x:c r="A163" s="24" t="s">
        <x:v>295</x:v>
      </x:c>
      <x:c r="B163" s="53" t="s">
        <x:v>295</x:v>
      </x:c>
      <x:c r="C163" s="53" t="s">
        <x:v>209</x:v>
      </x:c>
      <x:c r="D163" s="54">
        <x:v>42.7300121518638</x:v>
      </x:c>
      <x:c r="E163" s="54">
        <x:v>-73.6816966847791</x:v>
      </x:c>
      <x:c r="F163" s="55" t="n">
        <x:f>_xlfn.COUNTIFS('Connections'!$B$6:$B$590,A163)+_xlfn.COUNTIFS('Connections'!$C$6:$C$590,A163)</x:f>
        <x:v>3</x:v>
      </x:c>
      <x:c r="G163" s="55" t="n">
        <x:f>_xlfn.COUNTIFS('Connections'!$B$6:$B$590,A163,'Connections'!$D$6:$D$590,"TRUE")+_xlfn.COUNTIFS('Connections'!$C$6:$C$590,A163,'Connections'!$D$6:$D$590,"TRUE")</x:f>
        <x:v>3</x:v>
      </x:c>
      <x:c r="H163" s="48" t="s">
        <x:v>66</x:v>
      </x:c>
      <x:c r="I163" s="48" t="s">
        <x:v>67</x:v>
      </x:c>
      <x:c r="J163" s="49"/>
      <x:c r="K163" s="50"/>
      <x:c r="L163" s="56"/>
      <x:c r="M163" s="53" t="s">
        <x:v>210</x:v>
      </x:c>
      <x:c r="N163" s="57">
        <x:v>88</x:v>
      </x:c>
      <x:c r="O163" s="44"/>
    </x:row>
    <x:row r="164" ht="23" customHeight="1">
      <x:c r="A164" s="21" t="s">
        <x:v>296</x:v>
      </x:c>
      <x:c r="B164" s="45" t="s">
        <x:v>296</x:v>
      </x:c>
      <x:c r="C164" s="45" t="s">
        <x:v>209</x:v>
      </x:c>
      <x:c r="D164" s="46">
        <x:v>42.7301776817539</x:v>
      </x:c>
      <x:c r="E164" s="46">
        <x:v>-73.6817126011465</x:v>
      </x:c>
      <x:c r="F164" s="47" t="n">
        <x:f>_xlfn.COUNTIFS('Connections'!$B$6:$B$590,A164)+_xlfn.COUNTIFS('Connections'!$C$6:$C$590,A164)</x:f>
        <x:v>5</x:v>
      </x:c>
      <x:c r="G164" s="47" t="n">
        <x:f>_xlfn.COUNTIFS('Connections'!$B$6:$B$590,A164,'Connections'!$D$6:$D$590,"TRUE")+_xlfn.COUNTIFS('Connections'!$C$6:$C$590,A164,'Connections'!$D$6:$D$590,"TRUE")</x:f>
        <x:v>5</x:v>
      </x:c>
      <x:c r="H164" s="48" t="s">
        <x:v>66</x:v>
      </x:c>
      <x:c r="I164" s="48" t="s">
        <x:v>67</x:v>
      </x:c>
      <x:c r="J164" s="49"/>
      <x:c r="K164" s="50"/>
      <x:c r="L164" s="51"/>
      <x:c r="M164" s="45" t="s">
        <x:v>210</x:v>
      </x:c>
      <x:c r="N164" s="52">
        <x:v>89</x:v>
      </x:c>
      <x:c r="O164" s="44"/>
    </x:row>
    <x:row r="165" ht="23" customHeight="1">
      <x:c r="A165" s="24" t="s">
        <x:v>297</x:v>
      </x:c>
      <x:c r="B165" s="53" t="s">
        <x:v>297</x:v>
      </x:c>
      <x:c r="C165" s="53" t="s">
        <x:v>209</x:v>
      </x:c>
      <x:c r="D165" s="54">
        <x:v>42.7298822568807</x:v>
      </x:c>
      <x:c r="E165" s="54">
        <x:v>-73.6816998680526</x:v>
      </x:c>
      <x:c r="F165" s="55" t="n">
        <x:f>_xlfn.COUNTIFS('Connections'!$B$6:$B$590,A165)+_xlfn.COUNTIFS('Connections'!$C$6:$C$590,A165)</x:f>
        <x:v>3</x:v>
      </x:c>
      <x:c r="G165" s="55" t="n">
        <x:f>_xlfn.COUNTIFS('Connections'!$B$6:$B$590,A165,'Connections'!$D$6:$D$590,"TRUE")+_xlfn.COUNTIFS('Connections'!$C$6:$C$590,A165,'Connections'!$D$6:$D$590,"TRUE")</x:f>
        <x:v>3</x:v>
      </x:c>
      <x:c r="H165" s="48" t="s">
        <x:v>66</x:v>
      </x:c>
      <x:c r="I165" s="48" t="s">
        <x:v>67</x:v>
      </x:c>
      <x:c r="J165" s="49"/>
      <x:c r="K165" s="50"/>
      <x:c r="L165" s="56"/>
      <x:c r="M165" s="53" t="s">
        <x:v>210</x:v>
      </x:c>
      <x:c r="N165" s="57">
        <x:v>90</x:v>
      </x:c>
      <x:c r="O165" s="44"/>
    </x:row>
    <x:row r="166" ht="23" customHeight="1">
      <x:c r="A166" s="21" t="s">
        <x:v>298</x:v>
      </x:c>
      <x:c r="B166" s="45" t="s">
        <x:v>298</x:v>
      </x:c>
      <x:c r="C166" s="45" t="s">
        <x:v>209</x:v>
      </x:c>
      <x:c r="D166" s="46">
        <x:v>42.7303719494721</x:v>
      </x:c>
      <x:c r="E166" s="46">
        <x:v>-73.68174443388121</x:v>
      </x:c>
      <x:c r="F166" s="47" t="n">
        <x:f>_xlfn.COUNTIFS('Connections'!$B$6:$B$590,A166)+_xlfn.COUNTIFS('Connections'!$C$6:$C$590,A166)</x:f>
        <x:v>2</x:v>
      </x:c>
      <x:c r="G166" s="47" t="n">
        <x:f>_xlfn.COUNTIFS('Connections'!$B$6:$B$590,A166,'Connections'!$D$6:$D$590,"TRUE")+_xlfn.COUNTIFS('Connections'!$C$6:$C$590,A166,'Connections'!$D$6:$D$590,"TRUE")</x:f>
        <x:v>2</x:v>
      </x:c>
      <x:c r="H166" s="48" t="s">
        <x:v>66</x:v>
      </x:c>
      <x:c r="I166" s="48" t="s">
        <x:v>67</x:v>
      </x:c>
      <x:c r="J166" s="49"/>
      <x:c r="K166" s="50"/>
      <x:c r="L166" s="51"/>
      <x:c r="M166" s="45" t="s">
        <x:v>210</x:v>
      </x:c>
      <x:c r="N166" s="52">
        <x:v>91</x:v>
      </x:c>
      <x:c r="O166" s="44"/>
    </x:row>
    <x:row r="167" ht="23" customHeight="1">
      <x:c r="A167" s="24" t="s">
        <x:v>299</x:v>
      </x:c>
      <x:c r="B167" s="53" t="s">
        <x:v>299</x:v>
      </x:c>
      <x:c r="C167" s="53" t="s">
        <x:v>209</x:v>
      </x:c>
      <x:c r="D167" s="54">
        <x:v>42.730425976589</x:v>
      </x:c>
      <x:c r="E167" s="54">
        <x:v>-73.68157253711379</x:v>
      </x:c>
      <x:c r="F167" s="55" t="n">
        <x:f>_xlfn.COUNTIFS('Connections'!$B$6:$B$590,A167)+_xlfn.COUNTIFS('Connections'!$C$6:$C$590,A167)</x:f>
        <x:v>3</x:v>
      </x:c>
      <x:c r="G167" s="55" t="n">
        <x:f>_xlfn.COUNTIFS('Connections'!$B$6:$B$590,A167,'Connections'!$D$6:$D$590,"TRUE")+_xlfn.COUNTIFS('Connections'!$C$6:$C$590,A167,'Connections'!$D$6:$D$590,"TRUE")</x:f>
        <x:v>3</x:v>
      </x:c>
      <x:c r="H167" s="48" t="s">
        <x:v>66</x:v>
      </x:c>
      <x:c r="I167" s="48" t="s">
        <x:v>67</x:v>
      </x:c>
      <x:c r="J167" s="49"/>
      <x:c r="K167" s="50"/>
      <x:c r="L167" s="56"/>
      <x:c r="M167" s="53" t="s">
        <x:v>210</x:v>
      </x:c>
      <x:c r="N167" s="57">
        <x:v>92</x:v>
      </x:c>
      <x:c r="O167" s="44"/>
    </x:row>
    <x:row r="168" ht="23" customHeight="1">
      <x:c r="A168" s="21" t="s">
        <x:v>300</x:v>
      </x:c>
      <x:c r="B168" s="45" t="s">
        <x:v>300</x:v>
      </x:c>
      <x:c r="C168" s="45" t="s">
        <x:v>209</x:v>
      </x:c>
      <x:c r="D168" s="46">
        <x:v>42.7303236699208</x:v>
      </x:c>
      <x:c r="E168" s="46">
        <x:v>-73.6814738556362</x:v>
      </x:c>
      <x:c r="F168" s="47" t="n">
        <x:f>_xlfn.COUNTIFS('Connections'!$B$6:$B$590,A168)+_xlfn.COUNTIFS('Connections'!$C$6:$C$590,A168)</x:f>
        <x:v>4</x:v>
      </x:c>
      <x:c r="G168" s="47" t="n">
        <x:f>_xlfn.COUNTIFS('Connections'!$B$6:$B$590,A168,'Connections'!$D$6:$D$590,"TRUE")+_xlfn.COUNTIFS('Connections'!$C$6:$C$590,A168,'Connections'!$D$6:$D$590,"TRUE")</x:f>
        <x:v>4</x:v>
      </x:c>
      <x:c r="H168" s="48" t="s">
        <x:v>66</x:v>
      </x:c>
      <x:c r="I168" s="48" t="s">
        <x:v>67</x:v>
      </x:c>
      <x:c r="J168" s="49"/>
      <x:c r="K168" s="50"/>
      <x:c r="L168" s="51"/>
      <x:c r="M168" s="45" t="s">
        <x:v>210</x:v>
      </x:c>
      <x:c r="N168" s="52">
        <x:v>93</x:v>
      </x:c>
      <x:c r="O168" s="44"/>
    </x:row>
    <x:row r="169" ht="23" customHeight="1">
      <x:c r="A169" s="24" t="s">
        <x:v>301</x:v>
      </x:c>
      <x:c r="B169" s="53" t="s">
        <x:v>301</x:v>
      </x:c>
      <x:c r="C169" s="53" t="s">
        <x:v>209</x:v>
      </x:c>
      <x:c r="D169" s="54">
        <x:v>42.7301466448995</x:v>
      </x:c>
      <x:c r="E169" s="54">
        <x:v>-73.6812303352157</x:v>
      </x:c>
      <x:c r="F169" s="55" t="n">
        <x:f>_xlfn.COUNTIFS('Connections'!$B$6:$B$590,A169)+_xlfn.COUNTIFS('Connections'!$C$6:$C$590,A169)</x:f>
        <x:v>4</x:v>
      </x:c>
      <x:c r="G169" s="55" t="n">
        <x:f>_xlfn.COUNTIFS('Connections'!$B$6:$B$590,A169,'Connections'!$D$6:$D$590,"TRUE")+_xlfn.COUNTIFS('Connections'!$C$6:$C$590,A169,'Connections'!$D$6:$D$590,"TRUE")</x:f>
        <x:v>4</x:v>
      </x:c>
      <x:c r="H169" s="48" t="s">
        <x:v>66</x:v>
      </x:c>
      <x:c r="I169" s="48" t="s">
        <x:v>67</x:v>
      </x:c>
      <x:c r="J169" s="49"/>
      <x:c r="K169" s="50"/>
      <x:c r="L169" s="56"/>
      <x:c r="M169" s="53" t="s">
        <x:v>210</x:v>
      </x:c>
      <x:c r="N169" s="57">
        <x:v>94</x:v>
      </x:c>
      <x:c r="O169" s="44"/>
    </x:row>
    <x:row r="170" ht="23" customHeight="1">
      <x:c r="A170" s="21" t="s">
        <x:v>302</x:v>
      </x:c>
      <x:c r="B170" s="45" t="s">
        <x:v>302</x:v>
      </x:c>
      <x:c r="C170" s="45" t="s">
        <x:v>209</x:v>
      </x:c>
      <x:c r="D170" s="46">
        <x:v>42.7303730989852</x:v>
      </x:c>
      <x:c r="E170" s="46">
        <x:v>-73.68118258611359</x:v>
      </x:c>
      <x:c r="F170" s="47" t="n">
        <x:f>_xlfn.COUNTIFS('Connections'!$B$6:$B$590,A170)+_xlfn.COUNTIFS('Connections'!$C$6:$C$590,A170)</x:f>
        <x:v>3</x:v>
      </x:c>
      <x:c r="G170" s="47" t="n">
        <x:f>_xlfn.COUNTIFS('Connections'!$B$6:$B$590,A170,'Connections'!$D$6:$D$590,"TRUE")+_xlfn.COUNTIFS('Connections'!$C$6:$C$590,A170,'Connections'!$D$6:$D$590,"TRUE")</x:f>
        <x:v>2</x:v>
      </x:c>
      <x:c r="H170" s="48" t="s">
        <x:v>66</x:v>
      </x:c>
      <x:c r="I170" s="48" t="s">
        <x:v>67</x:v>
      </x:c>
      <x:c r="J170" s="49"/>
      <x:c r="K170" s="50"/>
      <x:c r="L170" s="51"/>
      <x:c r="M170" s="45" t="s">
        <x:v>210</x:v>
      </x:c>
      <x:c r="N170" s="52">
        <x:v>95</x:v>
      </x:c>
      <x:c r="O170" s="44"/>
    </x:row>
    <x:row r="171" ht="23" customHeight="1">
      <x:c r="A171" s="24" t="s">
        <x:v>303</x:v>
      </x:c>
      <x:c r="B171" s="53" t="s">
        <x:v>303</x:v>
      </x:c>
      <x:c r="C171" s="53" t="s">
        <x:v>209</x:v>
      </x:c>
      <x:c r="D171" s="54">
        <x:v>42.7306432345696</x:v>
      </x:c>
      <x:c r="E171" s="54">
        <x:v>-73.6817683084322</x:v>
      </x:c>
      <x:c r="F171" s="55" t="n">
        <x:f>_xlfn.COUNTIFS('Connections'!$B$6:$B$590,A171)+_xlfn.COUNTIFS('Connections'!$C$6:$C$590,A171)</x:f>
        <x:v>6</x:v>
      </x:c>
      <x:c r="G171" s="55" t="n">
        <x:f>_xlfn.COUNTIFS('Connections'!$B$6:$B$590,A171,'Connections'!$D$6:$D$590,"TRUE")+_xlfn.COUNTIFS('Connections'!$C$6:$C$590,A171,'Connections'!$D$6:$D$590,"TRUE")</x:f>
        <x:v>6</x:v>
      </x:c>
      <x:c r="H171" s="48" t="s">
        <x:v>66</x:v>
      </x:c>
      <x:c r="I171" s="48" t="s">
        <x:v>67</x:v>
      </x:c>
      <x:c r="J171" s="49"/>
      <x:c r="K171" s="50"/>
      <x:c r="L171" s="56"/>
      <x:c r="M171" s="53" t="s">
        <x:v>210</x:v>
      </x:c>
      <x:c r="N171" s="57">
        <x:v>96</x:v>
      </x:c>
      <x:c r="O171" s="44"/>
    </x:row>
    <x:row r="172" ht="23" customHeight="1">
      <x:c r="A172" s="21" t="s">
        <x:v>304</x:v>
      </x:c>
      <x:c r="B172" s="45" t="s">
        <x:v>304</x:v>
      </x:c>
      <x:c r="C172" s="45" t="s">
        <x:v>209</x:v>
      </x:c>
      <x:c r="D172" s="46">
        <x:v>42.7304144814577</x:v>
      </x:c>
      <x:c r="E172" s="46">
        <x:v>-73.6821105103303</x:v>
      </x:c>
      <x:c r="F172" s="47" t="n">
        <x:f>_xlfn.COUNTIFS('Connections'!$B$6:$B$590,A172)+_xlfn.COUNTIFS('Connections'!$C$6:$C$590,A172)</x:f>
        <x:v>4</x:v>
      </x:c>
      <x:c r="G172" s="47" t="n">
        <x:f>_xlfn.COUNTIFS('Connections'!$B$6:$B$590,A172,'Connections'!$D$6:$D$590,"TRUE")+_xlfn.COUNTIFS('Connections'!$C$6:$C$590,A172,'Connections'!$D$6:$D$590,"TRUE")</x:f>
        <x:v>4</x:v>
      </x:c>
      <x:c r="H172" s="48" t="s">
        <x:v>66</x:v>
      </x:c>
      <x:c r="I172" s="48" t="s">
        <x:v>67</x:v>
      </x:c>
      <x:c r="J172" s="49"/>
      <x:c r="K172" s="50"/>
      <x:c r="L172" s="51"/>
      <x:c r="M172" s="45" t="s">
        <x:v>210</x:v>
      </x:c>
      <x:c r="N172" s="52">
        <x:v>97</x:v>
      </x:c>
      <x:c r="O172" s="44"/>
    </x:row>
    <x:row r="173" ht="23" customHeight="1">
      <x:c r="A173" s="24" t="s">
        <x:v>305</x:v>
      </x:c>
      <x:c r="B173" s="53" t="s">
        <x:v>305</x:v>
      </x:c>
      <x:c r="C173" s="53" t="s">
        <x:v>209</x:v>
      </x:c>
      <x:c r="D173" s="54">
        <x:v>42.730545525954</x:v>
      </x:c>
      <x:c r="E173" s="54">
        <x:v>-73.6821741757997</x:v>
      </x:c>
      <x:c r="F173" s="55" t="n">
        <x:f>_xlfn.COUNTIFS('Connections'!$B$6:$B$590,A173)+_xlfn.COUNTIFS('Connections'!$C$6:$C$590,A173)</x:f>
        <x:v>3</x:v>
      </x:c>
      <x:c r="G173" s="55" t="n">
        <x:f>_xlfn.COUNTIFS('Connections'!$B$6:$B$590,A173,'Connections'!$D$6:$D$590,"TRUE")+_xlfn.COUNTIFS('Connections'!$C$6:$C$590,A173,'Connections'!$D$6:$D$590,"TRUE")</x:f>
        <x:v>3</x:v>
      </x:c>
      <x:c r="H173" s="48" t="s">
        <x:v>66</x:v>
      </x:c>
      <x:c r="I173" s="48" t="s">
        <x:v>67</x:v>
      </x:c>
      <x:c r="J173" s="49"/>
      <x:c r="K173" s="50"/>
      <x:c r="L173" s="56"/>
      <x:c r="M173" s="53" t="s">
        <x:v>210</x:v>
      </x:c>
      <x:c r="N173" s="57">
        <x:v>98</x:v>
      </x:c>
      <x:c r="O173" s="44"/>
    </x:row>
    <x:row r="174" ht="23" customHeight="1">
      <x:c r="A174" s="21" t="s">
        <x:v>306</x:v>
      </x:c>
      <x:c r="B174" s="45" t="s">
        <x:v>306</x:v>
      </x:c>
      <x:c r="C174" s="45" t="s">
        <x:v>209</x:v>
      </x:c>
      <x:c r="D174" s="46">
        <x:v>42.7304489668515</x:v>
      </x:c>
      <x:c r="E174" s="46">
        <x:v>-73.6826723580979</x:v>
      </x:c>
      <x:c r="F174" s="47" t="n">
        <x:f>_xlfn.COUNTIFS('Connections'!$B$6:$B$590,A174)+_xlfn.COUNTIFS('Connections'!$C$6:$C$590,A174)</x:f>
        <x:v>4</x:v>
      </x:c>
      <x:c r="G174" s="47" t="n">
        <x:f>_xlfn.COUNTIFS('Connections'!$B$6:$B$590,A174,'Connections'!$D$6:$D$590,"TRUE")+_xlfn.COUNTIFS('Connections'!$C$6:$C$590,A174,'Connections'!$D$6:$D$590,"TRUE")</x:f>
        <x:v>4</x:v>
      </x:c>
      <x:c r="H174" s="48" t="s">
        <x:v>66</x:v>
      </x:c>
      <x:c r="I174" s="48" t="s">
        <x:v>67</x:v>
      </x:c>
      <x:c r="J174" s="49"/>
      <x:c r="K174" s="50"/>
      <x:c r="L174" s="51"/>
      <x:c r="M174" s="45" t="s">
        <x:v>210</x:v>
      </x:c>
      <x:c r="N174" s="52">
        <x:v>99</x:v>
      </x:c>
      <x:c r="O174" s="44"/>
    </x:row>
    <x:row r="175" ht="23" customHeight="1">
      <x:c r="A175" s="24" t="s">
        <x:v>307</x:v>
      </x:c>
      <x:c r="B175" s="53" t="s">
        <x:v>307</x:v>
      </x:c>
      <x:c r="C175" s="53" t="s">
        <x:v>209</x:v>
      </x:c>
      <x:c r="D175" s="54">
        <x:v>42.7302374564364</x:v>
      </x:c>
      <x:c r="E175" s="54">
        <x:v>-73.68229195691811</x:v>
      </x:c>
      <x:c r="F175" s="55" t="n">
        <x:f>_xlfn.COUNTIFS('Connections'!$B$6:$B$590,A175)+_xlfn.COUNTIFS('Connections'!$C$6:$C$590,A175)</x:f>
        <x:v>3</x:v>
      </x:c>
      <x:c r="G175" s="55" t="n">
        <x:f>_xlfn.COUNTIFS('Connections'!$B$6:$B$590,A175,'Connections'!$D$6:$D$590,"TRUE")+_xlfn.COUNTIFS('Connections'!$C$6:$C$590,A175,'Connections'!$D$6:$D$590,"TRUE")</x:f>
        <x:v>3</x:v>
      </x:c>
      <x:c r="H175" s="48" t="s">
        <x:v>66</x:v>
      </x:c>
      <x:c r="I175" s="48" t="s">
        <x:v>67</x:v>
      </x:c>
      <x:c r="J175" s="49"/>
      <x:c r="K175" s="50"/>
      <x:c r="L175" s="56"/>
      <x:c r="M175" s="53" t="s">
        <x:v>210</x:v>
      </x:c>
      <x:c r="N175" s="57">
        <x:v>100</x:v>
      </x:c>
      <x:c r="O175" s="44"/>
    </x:row>
    <x:row r="176" ht="23" customHeight="1">
      <x:c r="A176" s="21" t="s">
        <x:v>308</x:v>
      </x:c>
      <x:c r="B176" s="45" t="s">
        <x:v>308</x:v>
      </x:c>
      <x:c r="C176" s="45" t="s">
        <x:v>209</x:v>
      </x:c>
      <x:c r="D176" s="46">
        <x:v>42.730628290899</x:v>
      </x:c>
      <x:c r="E176" s="46">
        <x:v>-73.68072101146041</x:v>
      </x:c>
      <x:c r="F176" s="47" t="n">
        <x:f>_xlfn.COUNTIFS('Connections'!$B$6:$B$590,A176)+_xlfn.COUNTIFS('Connections'!$C$6:$C$590,A176)</x:f>
        <x:v>3</x:v>
      </x:c>
      <x:c r="G176" s="47" t="n">
        <x:f>_xlfn.COUNTIFS('Connections'!$B$6:$B$590,A176,'Connections'!$D$6:$D$590,"TRUE")+_xlfn.COUNTIFS('Connections'!$C$6:$C$590,A176,'Connections'!$D$6:$D$590,"TRUE")</x:f>
        <x:v>3</x:v>
      </x:c>
      <x:c r="H176" s="48" t="s">
        <x:v>66</x:v>
      </x:c>
      <x:c r="I176" s="48" t="s">
        <x:v>67</x:v>
      </x:c>
      <x:c r="J176" s="49"/>
      <x:c r="K176" s="50"/>
      <x:c r="L176" s="51"/>
      <x:c r="M176" s="45" t="s">
        <x:v>210</x:v>
      </x:c>
      <x:c r="N176" s="52">
        <x:v>101</x:v>
      </x:c>
      <x:c r="O176" s="44"/>
    </x:row>
    <x:row r="177" ht="23" customHeight="1">
      <x:c r="A177" s="24" t="s">
        <x:v>309</x:v>
      </x:c>
      <x:c r="B177" s="53" t="s">
        <x:v>309</x:v>
      </x:c>
      <x:c r="C177" s="53" t="s">
        <x:v>209</x:v>
      </x:c>
      <x:c r="D177" s="54">
        <x:v>42.7293799196449</x:v>
      </x:c>
      <x:c r="E177" s="54">
        <x:v>-73.6813942737994</x:v>
      </x:c>
      <x:c r="F177" s="55" t="n">
        <x:f>_xlfn.COUNTIFS('Connections'!$B$6:$B$590,A177)+_xlfn.COUNTIFS('Connections'!$C$6:$C$590,A177)</x:f>
        <x:v>4</x:v>
      </x:c>
      <x:c r="G177" s="55" t="n">
        <x:f>_xlfn.COUNTIFS('Connections'!$B$6:$B$590,A177,'Connections'!$D$6:$D$590,"TRUE")+_xlfn.COUNTIFS('Connections'!$C$6:$C$590,A177,'Connections'!$D$6:$D$590,"TRUE")</x:f>
        <x:v>4</x:v>
      </x:c>
      <x:c r="H177" s="48" t="s">
        <x:v>66</x:v>
      </x:c>
      <x:c r="I177" s="48" t="s">
        <x:v>67</x:v>
      </x:c>
      <x:c r="J177" s="49"/>
      <x:c r="K177" s="50"/>
      <x:c r="L177" s="56"/>
      <x:c r="M177" s="53" t="s">
        <x:v>210</x:v>
      </x:c>
      <x:c r="N177" s="57">
        <x:v>102</x:v>
      </x:c>
      <x:c r="O177" s="44"/>
    </x:row>
    <x:row r="178" ht="23" customHeight="1">
      <x:c r="A178" s="21" t="s">
        <x:v>310</x:v>
      </x:c>
      <x:c r="B178" s="45" t="s">
        <x:v>310</x:v>
      </x:c>
      <x:c r="C178" s="45" t="s">
        <x:v>209</x:v>
      </x:c>
      <x:c r="D178" s="46">
        <x:v>42.7295063660887</x:v>
      </x:c>
      <x:c r="E178" s="46">
        <x:v>-73.681036155534</x:v>
      </x:c>
      <x:c r="F178" s="47" t="n">
        <x:f>_xlfn.COUNTIFS('Connections'!$B$6:$B$590,A178)+_xlfn.COUNTIFS('Connections'!$C$6:$C$590,A178)</x:f>
        <x:v>4</x:v>
      </x:c>
      <x:c r="G178" s="47" t="n">
        <x:f>_xlfn.COUNTIFS('Connections'!$B$6:$B$590,A178,'Connections'!$D$6:$D$590,"TRUE")+_xlfn.COUNTIFS('Connections'!$C$6:$C$590,A178,'Connections'!$D$6:$D$590,"TRUE")</x:f>
        <x:v>4</x:v>
      </x:c>
      <x:c r="H178" s="48" t="s">
        <x:v>66</x:v>
      </x:c>
      <x:c r="I178" s="48" t="s">
        <x:v>67</x:v>
      </x:c>
      <x:c r="J178" s="49"/>
      <x:c r="K178" s="50"/>
      <x:c r="L178" s="51"/>
      <x:c r="M178" s="45" t="s">
        <x:v>210</x:v>
      </x:c>
      <x:c r="N178" s="52">
        <x:v>103</x:v>
      </x:c>
      <x:c r="O178" s="44"/>
    </x:row>
    <x:row r="179" ht="23" customHeight="1">
      <x:c r="A179" s="24" t="s">
        <x:v>311</x:v>
      </x:c>
      <x:c r="B179" s="53" t="s">
        <x:v>311</x:v>
      </x:c>
      <x:c r="C179" s="53" t="s">
        <x:v>209</x:v>
      </x:c>
      <x:c r="D179" s="54">
        <x:v>42.7293799196449</x:v>
      </x:c>
      <x:c r="E179" s="54">
        <x:v>-73.6819513466568</x:v>
      </x:c>
      <x:c r="F179" s="55" t="n">
        <x:f>_xlfn.COUNTIFS('Connections'!$B$6:$B$590,A179)+_xlfn.COUNTIFS('Connections'!$C$6:$C$590,A179)</x:f>
        <x:v>3</x:v>
      </x:c>
      <x:c r="G179" s="55" t="n">
        <x:f>_xlfn.COUNTIFS('Connections'!$B$6:$B$590,A179,'Connections'!$D$6:$D$590,"TRUE")+_xlfn.COUNTIFS('Connections'!$C$6:$C$590,A179,'Connections'!$D$6:$D$590,"TRUE")</x:f>
        <x:v>3</x:v>
      </x:c>
      <x:c r="H179" s="48" t="s">
        <x:v>66</x:v>
      </x:c>
      <x:c r="I179" s="48" t="s">
        <x:v>67</x:v>
      </x:c>
      <x:c r="J179" s="49"/>
      <x:c r="K179" s="50"/>
      <x:c r="L179" s="56"/>
      <x:c r="M179" s="53" t="s">
        <x:v>210</x:v>
      </x:c>
      <x:c r="N179" s="57">
        <x:v>104</x:v>
      </x:c>
      <x:c r="O179" s="44"/>
    </x:row>
    <x:row r="180" ht="23" customHeight="1">
      <x:c r="A180" s="21" t="s">
        <x:v>312</x:v>
      </x:c>
      <x:c r="B180" s="45" t="s">
        <x:v>312</x:v>
      </x:c>
      <x:c r="C180" s="45" t="s">
        <x:v>209</x:v>
      </x:c>
      <x:c r="D180" s="46">
        <x:v>42.728325816109</x:v>
      </x:c>
      <x:c r="E180" s="46">
        <x:v>-73.6807528441951</x:v>
      </x:c>
      <x:c r="F180" s="47" t="n">
        <x:f>_xlfn.COUNTIFS('Connections'!$B$6:$B$590,A180)+_xlfn.COUNTIFS('Connections'!$C$6:$C$590,A180)</x:f>
        <x:v>3</x:v>
      </x:c>
      <x:c r="G180" s="47" t="n">
        <x:f>_xlfn.COUNTIFS('Connections'!$B$6:$B$590,A180,'Connections'!$D$6:$D$590,"TRUE")+_xlfn.COUNTIFS('Connections'!$C$6:$C$590,A180,'Connections'!$D$6:$D$590,"TRUE")</x:f>
        <x:v>3</x:v>
      </x:c>
      <x:c r="H180" s="48" t="s">
        <x:v>66</x:v>
      </x:c>
      <x:c r="I180" s="48" t="s">
        <x:v>67</x:v>
      </x:c>
      <x:c r="J180" s="49"/>
      <x:c r="K180" s="50"/>
      <x:c r="L180" s="51"/>
      <x:c r="M180" s="45" t="s">
        <x:v>210</x:v>
      </x:c>
      <x:c r="N180" s="52">
        <x:v>105</x:v>
      </x:c>
      <x:c r="O180" s="44"/>
    </x:row>
    <x:row r="181" ht="23" customHeight="1">
      <x:c r="A181" s="24" t="s">
        <x:v>313</x:v>
      </x:c>
      <x:c r="B181" s="53" t="s">
        <x:v>313</x:v>
      </x:c>
      <x:c r="C181" s="53" t="s">
        <x:v>209</x:v>
      </x:c>
      <x:c r="D181" s="54">
        <x:v>42.7295201602462</x:v>
      </x:c>
      <x:c r="E181" s="54">
        <x:v>-73.6784465625657</x:v>
      </x:c>
      <x:c r="F181" s="55" t="n">
        <x:f>_xlfn.COUNTIFS('Connections'!$B$6:$B$590,A181)+_xlfn.COUNTIFS('Connections'!$C$6:$C$590,A181)</x:f>
        <x:v>3</x:v>
      </x:c>
      <x:c r="G181" s="55" t="n">
        <x:f>_xlfn.COUNTIFS('Connections'!$B$6:$B$590,A181,'Connections'!$D$6:$D$590,"TRUE")+_xlfn.COUNTIFS('Connections'!$C$6:$C$590,A181,'Connections'!$D$6:$D$590,"TRUE")</x:f>
        <x:v>3</x:v>
      </x:c>
      <x:c r="H181" s="48" t="s">
        <x:v>66</x:v>
      </x:c>
      <x:c r="I181" s="48" t="s">
        <x:v>67</x:v>
      </x:c>
      <x:c r="J181" s="49"/>
      <x:c r="K181" s="50"/>
      <x:c r="L181" s="56"/>
      <x:c r="M181" s="53" t="s">
        <x:v>210</x:v>
      </x:c>
      <x:c r="N181" s="57">
        <x:v>106</x:v>
      </x:c>
      <x:c r="O181" s="44"/>
    </x:row>
    <x:row r="182" ht="23" customHeight="1">
      <x:c r="A182" s="21" t="s">
        <x:v>314</x:v>
      </x:c>
      <x:c r="B182" s="45" t="s">
        <x:v>314</x:v>
      </x:c>
      <x:c r="C182" s="45" t="s">
        <x:v>209</x:v>
      </x:c>
      <x:c r="D182" s="46">
        <x:v>42.7290005803136</x:v>
      </x:c>
      <x:c r="E182" s="46">
        <x:v>-73.6785181862188</x:v>
      </x:c>
      <x:c r="F182" s="47" t="n">
        <x:f>_xlfn.COUNTIFS('Connections'!$B$6:$B$590,A182)+_xlfn.COUNTIFS('Connections'!$C$6:$C$590,A182)</x:f>
        <x:v>3</x:v>
      </x:c>
      <x:c r="G182" s="47" t="n">
        <x:f>_xlfn.COUNTIFS('Connections'!$B$6:$B$590,A182,'Connections'!$D$6:$D$590,"TRUE")+_xlfn.COUNTIFS('Connections'!$C$6:$C$590,A182,'Connections'!$D$6:$D$590,"TRUE")</x:f>
        <x:v>3</x:v>
      </x:c>
      <x:c r="H182" s="48" t="s">
        <x:v>66</x:v>
      </x:c>
      <x:c r="I182" s="48" t="s">
        <x:v>67</x:v>
      </x:c>
      <x:c r="J182" s="49"/>
      <x:c r="K182" s="50"/>
      <x:c r="L182" s="51"/>
      <x:c r="M182" s="45" t="s">
        <x:v>210</x:v>
      </x:c>
      <x:c r="N182" s="52">
        <x:v>107</x:v>
      </x:c>
      <x:c r="O182" s="44"/>
    </x:row>
    <x:row r="183" ht="23" customHeight="1">
      <x:c r="A183" s="24" t="s">
        <x:v>315</x:v>
      </x:c>
      <x:c r="B183" s="53" t="s">
        <x:v>315</x:v>
      </x:c>
      <x:c r="C183" s="53" t="s">
        <x:v>209</x:v>
      </x:c>
      <x:c r="D183" s="54">
        <x:v>42.7294419933537</x:v>
      </x:c>
      <x:c r="E183" s="54">
        <x:v>-73.67823487487991</x:v>
      </x:c>
      <x:c r="F183" s="55" t="n">
        <x:f>_xlfn.COUNTIFS('Connections'!$B$6:$B$590,A183)+_xlfn.COUNTIFS('Connections'!$C$6:$C$590,A183)</x:f>
        <x:v>3</x:v>
      </x:c>
      <x:c r="G183" s="55" t="n">
        <x:f>_xlfn.COUNTIFS('Connections'!$B$6:$B$590,A183,'Connections'!$D$6:$D$590,"TRUE")+_xlfn.COUNTIFS('Connections'!$C$6:$C$590,A183,'Connections'!$D$6:$D$590,"TRUE")</x:f>
        <x:v>3</x:v>
      </x:c>
      <x:c r="H183" s="48" t="s">
        <x:v>66</x:v>
      </x:c>
      <x:c r="I183" s="48" t="s">
        <x:v>67</x:v>
      </x:c>
      <x:c r="J183" s="49"/>
      <x:c r="K183" s="50"/>
      <x:c r="L183" s="56"/>
      <x:c r="M183" s="53" t="s">
        <x:v>210</x:v>
      </x:c>
      <x:c r="N183" s="57">
        <x:v>108</x:v>
      </x:c>
      <x:c r="O183" s="44"/>
    </x:row>
    <x:row r="184" ht="23" customHeight="1">
      <x:c r="A184" s="21" t="s">
        <x:v>316</x:v>
      </x:c>
      <x:c r="B184" s="45" t="s">
        <x:v>316</x:v>
      </x:c>
      <x:c r="C184" s="45" t="s">
        <x:v>209</x:v>
      </x:c>
      <x:c r="D184" s="46">
        <x:v>42.7285177848009</x:v>
      </x:c>
      <x:c r="E184" s="46">
        <x:v>-73.6786502920678</x:v>
      </x:c>
      <x:c r="F184" s="47" t="n">
        <x:f>_xlfn.COUNTIFS('Connections'!$B$6:$B$590,A184)+_xlfn.COUNTIFS('Connections'!$C$6:$C$590,A184)</x:f>
        <x:v>2</x:v>
      </x:c>
      <x:c r="G184" s="47" t="n">
        <x:f>_xlfn.COUNTIFS('Connections'!$B$6:$B$590,A184,'Connections'!$D$6:$D$590,"TRUE")+_xlfn.COUNTIFS('Connections'!$C$6:$C$590,A184,'Connections'!$D$6:$D$590,"TRUE")</x:f>
        <x:v>2</x:v>
      </x:c>
      <x:c r="H184" s="48" t="s">
        <x:v>66</x:v>
      </x:c>
      <x:c r="I184" s="48" t="s">
        <x:v>67</x:v>
      </x:c>
      <x:c r="J184" s="49"/>
      <x:c r="K184" s="50"/>
      <x:c r="L184" s="51"/>
      <x:c r="M184" s="45" t="s">
        <x:v>210</x:v>
      </x:c>
      <x:c r="N184" s="52">
        <x:v>109</x:v>
      </x:c>
      <x:c r="O184" s="44"/>
    </x:row>
    <x:row r="185" ht="23" customHeight="1">
      <x:c r="A185" s="24" t="s">
        <x:v>317</x:v>
      </x:c>
      <x:c r="B185" s="53" t="s">
        <x:v>317</x:v>
      </x:c>
      <x:c r="C185" s="53" t="s">
        <x:v>209</x:v>
      </x:c>
      <x:c r="D185" s="54">
        <x:v>42.7286672215072</x:v>
      </x:c>
      <x:c r="E185" s="54">
        <x:v>-73.6798822189009</x:v>
      </x:c>
      <x:c r="F185" s="55" t="n">
        <x:f>_xlfn.COUNTIFS('Connections'!$B$6:$B$590,A185)+_xlfn.COUNTIFS('Connections'!$C$6:$C$590,A185)</x:f>
        <x:v>3</x:v>
      </x:c>
      <x:c r="G185" s="55" t="n">
        <x:f>_xlfn.COUNTIFS('Connections'!$B$6:$B$590,A185,'Connections'!$D$6:$D$590,"TRUE")+_xlfn.COUNTIFS('Connections'!$C$6:$C$590,A185,'Connections'!$D$6:$D$590,"TRUE")</x:f>
        <x:v>3</x:v>
      </x:c>
      <x:c r="H185" s="48" t="s">
        <x:v>66</x:v>
      </x:c>
      <x:c r="I185" s="48" t="s">
        <x:v>67</x:v>
      </x:c>
      <x:c r="J185" s="49"/>
      <x:c r="K185" s="50"/>
      <x:c r="L185" s="56"/>
      <x:c r="M185" s="53" t="s">
        <x:v>210</x:v>
      </x:c>
      <x:c r="N185" s="57">
        <x:v>110</x:v>
      </x:c>
      <x:c r="O185" s="44"/>
    </x:row>
    <x:row r="186" ht="23" customHeight="1">
      <x:c r="A186" s="21" t="s">
        <x:v>318</x:v>
      </x:c>
      <x:c r="B186" s="45" t="s">
        <x:v>318</x:v>
      </x:c>
      <x:c r="C186" s="45" t="s">
        <x:v>209</x:v>
      </x:c>
      <x:c r="D186" s="46">
        <x:v>42.7290810462323</x:v>
      </x:c>
      <x:c r="E186" s="46">
        <x:v>-73.6812128272116</x:v>
      </x:c>
      <x:c r="F186" s="47" t="n">
        <x:f>_xlfn.COUNTIFS('Connections'!$B$6:$B$590,A186)+_xlfn.COUNTIFS('Connections'!$C$6:$C$590,A186)</x:f>
        <x:v>5</x:v>
      </x:c>
      <x:c r="G186" s="47" t="n">
        <x:f>_xlfn.COUNTIFS('Connections'!$B$6:$B$590,A186,'Connections'!$D$6:$D$590,"TRUE")+_xlfn.COUNTIFS('Connections'!$C$6:$C$590,A186,'Connections'!$D$6:$D$590,"TRUE")</x:f>
        <x:v>5</x:v>
      </x:c>
      <x:c r="H186" s="48" t="s">
        <x:v>66</x:v>
      </x:c>
      <x:c r="I186" s="48" t="s">
        <x:v>67</x:v>
      </x:c>
      <x:c r="J186" s="49"/>
      <x:c r="K186" s="50"/>
      <x:c r="L186" s="51"/>
      <x:c r="M186" s="45" t="s">
        <x:v>210</x:v>
      </x:c>
      <x:c r="N186" s="52">
        <x:v>111</x:v>
      </x:c>
      <x:c r="O186" s="44"/>
    </x:row>
    <x:row r="187" ht="23" customHeight="1">
      <x:c r="A187" s="24" t="s">
        <x:v>319</x:v>
      </x:c>
      <x:c r="B187" s="53" t="s">
        <x:v>319</x:v>
      </x:c>
      <x:c r="C187" s="53" t="s">
        <x:v>209</x:v>
      </x:c>
      <x:c r="D187" s="54">
        <x:v>42.7289764405379</x:v>
      </x:c>
      <x:c r="E187" s="54">
        <x:v>-73.6816966847791</x:v>
      </x:c>
      <x:c r="F187" s="55" t="n">
        <x:f>_xlfn.COUNTIFS('Connections'!$B$6:$B$590,A187)+_xlfn.COUNTIFS('Connections'!$C$6:$C$590,A187)</x:f>
        <x:v>4</x:v>
      </x:c>
      <x:c r="G187" s="55" t="n">
        <x:f>_xlfn.COUNTIFS('Connections'!$B$6:$B$590,A187,'Connections'!$D$6:$D$590,"TRUE")+_xlfn.COUNTIFS('Connections'!$C$6:$C$590,A187,'Connections'!$D$6:$D$590,"TRUE")</x:f>
        <x:v>4</x:v>
      </x:c>
      <x:c r="H187" s="48" t="s">
        <x:v>66</x:v>
      </x:c>
      <x:c r="I187" s="48" t="s">
        <x:v>67</x:v>
      </x:c>
      <x:c r="J187" s="49"/>
      <x:c r="K187" s="50"/>
      <x:c r="L187" s="56"/>
      <x:c r="M187" s="53" t="s">
        <x:v>210</x:v>
      </x:c>
      <x:c r="N187" s="57">
        <x:v>112</x:v>
      </x:c>
      <x:c r="O187" s="44"/>
    </x:row>
    <x:row r="188" ht="23" customHeight="1">
      <x:c r="A188" s="21" t="s">
        <x:v>320</x:v>
      </x:c>
      <x:c r="B188" s="45" t="s">
        <x:v>320</x:v>
      </x:c>
      <x:c r="C188" s="45" t="s">
        <x:v>209</x:v>
      </x:c>
      <x:c r="D188" s="46">
        <x:v>42.7290925413636</x:v>
      </x:c>
      <x:c r="E188" s="46">
        <x:v>-73.6804026841134</x:v>
      </x:c>
      <x:c r="F188" s="47" t="n">
        <x:f>_xlfn.COUNTIFS('Connections'!$B$6:$B$590,A188)+_xlfn.COUNTIFS('Connections'!$C$6:$C$590,A188)</x:f>
        <x:v>3</x:v>
      </x:c>
      <x:c r="G188" s="47" t="n">
        <x:f>_xlfn.COUNTIFS('Connections'!$B$6:$B$590,A188,'Connections'!$D$6:$D$590,"TRUE")+_xlfn.COUNTIFS('Connections'!$C$6:$C$590,A188,'Connections'!$D$6:$D$590,"TRUE")</x:f>
        <x:v>3</x:v>
      </x:c>
      <x:c r="H188" s="48" t="s">
        <x:v>66</x:v>
      </x:c>
      <x:c r="I188" s="48" t="s">
        <x:v>67</x:v>
      </x:c>
      <x:c r="J188" s="49"/>
      <x:c r="K188" s="50"/>
      <x:c r="L188" s="51"/>
      <x:c r="M188" s="45" t="s">
        <x:v>210</x:v>
      </x:c>
      <x:c r="N188" s="52">
        <x:v>113</x:v>
      </x:c>
      <x:c r="O188" s="44"/>
    </x:row>
    <x:row r="189" ht="23" customHeight="1">
      <x:c r="A189" s="24" t="s">
        <x:v>321</x:v>
      </x:c>
      <x:c r="B189" s="53" t="s">
        <x:v>321</x:v>
      </x:c>
      <x:c r="C189" s="53" t="s">
        <x:v>209</x:v>
      </x:c>
      <x:c r="D189" s="54">
        <x:v>42.7291845024136</x:v>
      </x:c>
      <x:c r="E189" s="54">
        <x:v>-73.6798599359866</x:v>
      </x:c>
      <x:c r="F189" s="55" t="n">
        <x:f>_xlfn.COUNTIFS('Connections'!$B$6:$B$590,A189)+_xlfn.COUNTIFS('Connections'!$C$6:$C$590,A189)</x:f>
        <x:v>3</x:v>
      </x:c>
      <x:c r="G189" s="55" t="n">
        <x:f>_xlfn.COUNTIFS('Connections'!$B$6:$B$590,A189,'Connections'!$D$6:$D$590,"TRUE")+_xlfn.COUNTIFS('Connections'!$C$6:$C$590,A189,'Connections'!$D$6:$D$590,"TRUE")</x:f>
        <x:v>3</x:v>
      </x:c>
      <x:c r="H189" s="48" t="s">
        <x:v>66</x:v>
      </x:c>
      <x:c r="I189" s="48" t="s">
        <x:v>67</x:v>
      </x:c>
      <x:c r="J189" s="49"/>
      <x:c r="K189" s="50"/>
      <x:c r="L189" s="56"/>
      <x:c r="M189" s="53" t="s">
        <x:v>210</x:v>
      </x:c>
      <x:c r="N189" s="57">
        <x:v>114</x:v>
      </x:c>
      <x:c r="O189" s="44"/>
    </x:row>
    <x:row r="190" ht="23" customHeight="1">
      <x:c r="A190" s="21" t="s">
        <x:v>322</x:v>
      </x:c>
      <x:c r="B190" s="45" t="s">
        <x:v>322</x:v>
      </x:c>
      <x:c r="C190" s="45" t="s">
        <x:v>209</x:v>
      </x:c>
      <x:c r="D190" s="46">
        <x:v>42.7292051936499</x:v>
      </x:c>
      <x:c r="E190" s="46">
        <x:v>-73.6810472969912</x:v>
      </x:c>
      <x:c r="F190" s="47" t="n">
        <x:f>_xlfn.COUNTIFS('Connections'!$B$6:$B$590,A190)+_xlfn.COUNTIFS('Connections'!$C$6:$C$590,A190)</x:f>
        <x:v>3</x:v>
      </x:c>
      <x:c r="G190" s="47" t="n">
        <x:f>_xlfn.COUNTIFS('Connections'!$B$6:$B$590,A190,'Connections'!$D$6:$D$590,"TRUE")+_xlfn.COUNTIFS('Connections'!$C$6:$C$590,A190,'Connections'!$D$6:$D$590,"TRUE")</x:f>
        <x:v>3</x:v>
      </x:c>
      <x:c r="H190" s="48" t="s">
        <x:v>66</x:v>
      </x:c>
      <x:c r="I190" s="48" t="s">
        <x:v>67</x:v>
      </x:c>
      <x:c r="J190" s="49"/>
      <x:c r="K190" s="50"/>
      <x:c r="L190" s="51"/>
      <x:c r="M190" s="45" t="s">
        <x:v>210</x:v>
      </x:c>
      <x:c r="N190" s="52">
        <x:v>115</x:v>
      </x:c>
      <x:c r="O190" s="44"/>
    </x:row>
    <x:row r="191" ht="23" customHeight="1">
      <x:c r="A191" s="24" t="s">
        <x:v>323</x:v>
      </x:c>
      <x:c r="B191" s="53" t="s">
        <x:v>323</x:v>
      </x:c>
      <x:c r="C191" s="53" t="s">
        <x:v>209</x:v>
      </x:c>
      <x:c r="D191" s="54">
        <x:v>42.728784471846</x:v>
      </x:c>
      <x:c r="E191" s="54">
        <x:v>-73.681330608330</x:v>
      </x:c>
      <x:c r="F191" s="55" t="n">
        <x:f>_xlfn.COUNTIFS('Connections'!$B$6:$B$590,A191)+_xlfn.COUNTIFS('Connections'!$C$6:$C$590,A191)</x:f>
        <x:v>4</x:v>
      </x:c>
      <x:c r="G191" s="55" t="n">
        <x:f>_xlfn.COUNTIFS('Connections'!$B$6:$B$590,A191,'Connections'!$D$6:$D$590,"TRUE")+_xlfn.COUNTIFS('Connections'!$C$6:$C$590,A191,'Connections'!$D$6:$D$590,"TRUE")</x:f>
        <x:v>4</x:v>
      </x:c>
      <x:c r="H191" s="48" t="s">
        <x:v>66</x:v>
      </x:c>
      <x:c r="I191" s="48" t="s">
        <x:v>67</x:v>
      </x:c>
      <x:c r="J191" s="49"/>
      <x:c r="K191" s="50"/>
      <x:c r="L191" s="56"/>
      <x:c r="M191" s="53" t="s">
        <x:v>210</x:v>
      </x:c>
      <x:c r="N191" s="57">
        <x:v>116</x:v>
      </x:c>
      <x:c r="O191" s="44"/>
    </x:row>
    <x:row r="192" ht="23" customHeight="1">
      <x:c r="A192" s="21" t="s">
        <x:v>324</x:v>
      </x:c>
      <x:c r="B192" s="45" t="s">
        <x:v>324</x:v>
      </x:c>
      <x:c r="C192" s="45" t="s">
        <x:v>209</x:v>
      </x:c>
      <x:c r="D192" s="46">
        <x:v>42.7286327361135</x:v>
      </x:c>
      <x:c r="E192" s="46">
        <x:v>-73.6812064606647</x:v>
      </x:c>
      <x:c r="F192" s="47" t="n">
        <x:f>_xlfn.COUNTIFS('Connections'!$B$6:$B$590,A192)+_xlfn.COUNTIFS('Connections'!$C$6:$C$590,A192)</x:f>
        <x:v>2</x:v>
      </x:c>
      <x:c r="G192" s="47" t="n">
        <x:f>_xlfn.COUNTIFS('Connections'!$B$6:$B$590,A192,'Connections'!$D$6:$D$590,"TRUE")+_xlfn.COUNTIFS('Connections'!$C$6:$C$590,A192,'Connections'!$D$6:$D$590,"TRUE")</x:f>
        <x:v>2</x:v>
      </x:c>
      <x:c r="H192" s="48" t="s">
        <x:v>66</x:v>
      </x:c>
      <x:c r="I192" s="48" t="s">
        <x:v>67</x:v>
      </x:c>
      <x:c r="J192" s="49"/>
      <x:c r="K192" s="50"/>
      <x:c r="L192" s="51"/>
      <x:c r="M192" s="45" t="s">
        <x:v>210</x:v>
      </x:c>
      <x:c r="N192" s="52">
        <x:v>117</x:v>
      </x:c>
      <x:c r="O192" s="44"/>
    </x:row>
    <x:row r="193" ht="23" customHeight="1">
      <x:c r="A193" s="24" t="s">
        <x:v>325</x:v>
      </x:c>
      <x:c r="B193" s="53" t="s">
        <x:v>325</x:v>
      </x:c>
      <x:c r="C193" s="53" t="s">
        <x:v>209</x:v>
      </x:c>
      <x:c r="D193" s="54">
        <x:v>42.7283936373834</x:v>
      </x:c>
      <x:c r="E193" s="54">
        <x:v>-73.68121760212181</x:v>
      </x:c>
      <x:c r="F193" s="55" t="n">
        <x:f>_xlfn.COUNTIFS('Connections'!$B$6:$B$590,A193)+_xlfn.COUNTIFS('Connections'!$C$6:$C$590,A193)</x:f>
        <x:v>3</x:v>
      </x:c>
      <x:c r="G193" s="55" t="n">
        <x:f>_xlfn.COUNTIFS('Connections'!$B$6:$B$590,A193,'Connections'!$D$6:$D$590,"TRUE")+_xlfn.COUNTIFS('Connections'!$C$6:$C$590,A193,'Connections'!$D$6:$D$590,"TRUE")</x:f>
        <x:v>3</x:v>
      </x:c>
      <x:c r="H193" s="48" t="s">
        <x:v>66</x:v>
      </x:c>
      <x:c r="I193" s="48" t="s">
        <x:v>67</x:v>
      </x:c>
      <x:c r="J193" s="49"/>
      <x:c r="K193" s="50"/>
      <x:c r="L193" s="56"/>
      <x:c r="M193" s="53" t="s">
        <x:v>210</x:v>
      </x:c>
      <x:c r="N193" s="57">
        <x:v>118</x:v>
      </x:c>
      <x:c r="O193" s="44"/>
    </x:row>
    <x:row r="194" ht="23" customHeight="1">
      <x:c r="A194" s="21" t="s">
        <x:v>326</x:v>
      </x:c>
      <x:c r="B194" s="45" t="s">
        <x:v>326</x:v>
      </x:c>
      <x:c r="C194" s="45" t="s">
        <x:v>209</x:v>
      </x:c>
      <x:c r="D194" s="46">
        <x:v>42.7286419322185</x:v>
      </x:c>
      <x:c r="E194" s="46">
        <x:v>-73.6815741287505</x:v>
      </x:c>
      <x:c r="F194" s="47" t="n">
        <x:f>_xlfn.COUNTIFS('Connections'!$B$6:$B$590,A194)+_xlfn.COUNTIFS('Connections'!$C$6:$C$590,A194)</x:f>
        <x:v>2</x:v>
      </x:c>
      <x:c r="G194" s="47" t="n">
        <x:f>_xlfn.COUNTIFS('Connections'!$B$6:$B$590,A194,'Connections'!$D$6:$D$590,"TRUE")+_xlfn.COUNTIFS('Connections'!$C$6:$C$590,A194,'Connections'!$D$6:$D$590,"TRUE")</x:f>
        <x:v>2</x:v>
      </x:c>
      <x:c r="H194" s="48" t="s">
        <x:v>66</x:v>
      </x:c>
      <x:c r="I194" s="48" t="s">
        <x:v>67</x:v>
      </x:c>
      <x:c r="J194" s="49"/>
      <x:c r="K194" s="50"/>
      <x:c r="L194" s="51"/>
      <x:c r="M194" s="45" t="s">
        <x:v>210</x:v>
      </x:c>
      <x:c r="N194" s="52">
        <x:v>119</x:v>
      </x:c>
      <x:c r="O194" s="44"/>
    </x:row>
    <x:row r="195" ht="23" customHeight="1">
      <x:c r="A195" s="24" t="s">
        <x:v>327</x:v>
      </x:c>
      <x:c r="B195" s="53" t="s">
        <x:v>327</x:v>
      </x:c>
      <x:c r="C195" s="53" t="s">
        <x:v>209</x:v>
      </x:c>
      <x:c r="D195" s="54">
        <x:v>42.7286292875741</x:v>
      </x:c>
      <x:c r="E195" s="54">
        <x:v>-73.6819195139221</x:v>
      </x:c>
      <x:c r="F195" s="55" t="n">
        <x:f>_xlfn.COUNTIFS('Connections'!$B$6:$B$590,A195)+_xlfn.COUNTIFS('Connections'!$C$6:$C$590,A195)</x:f>
        <x:v>4</x:v>
      </x:c>
      <x:c r="G195" s="55" t="n">
        <x:f>_xlfn.COUNTIFS('Connections'!$B$6:$B$590,A195,'Connections'!$D$6:$D$590,"TRUE")+_xlfn.COUNTIFS('Connections'!$C$6:$C$590,A195,'Connections'!$D$6:$D$590,"TRUE")</x:f>
        <x:v>4</x:v>
      </x:c>
      <x:c r="H195" s="48" t="s">
        <x:v>66</x:v>
      </x:c>
      <x:c r="I195" s="48" t="s">
        <x:v>67</x:v>
      </x:c>
      <x:c r="J195" s="49"/>
      <x:c r="K195" s="50"/>
      <x:c r="L195" s="56"/>
      <x:c r="M195" s="53" t="s">
        <x:v>210</x:v>
      </x:c>
      <x:c r="N195" s="57">
        <x:v>120</x:v>
      </x:c>
      <x:c r="O195" s="44"/>
    </x:row>
    <x:row r="196" ht="23" customHeight="1">
      <x:c r="A196" s="21" t="s">
        <x:v>328</x:v>
      </x:c>
      <x:c r="B196" s="45" t="s">
        <x:v>328</x:v>
      </x:c>
      <x:c r="C196" s="45" t="s">
        <x:v>209</x:v>
      </x:c>
      <x:c r="D196" s="46">
        <x:v>42.7285120372353</x:v>
      </x:c>
      <x:c r="E196" s="46">
        <x:v>-73.6819163306486</x:v>
      </x:c>
      <x:c r="F196" s="47" t="n">
        <x:f>_xlfn.COUNTIFS('Connections'!$B$6:$B$590,A196)+_xlfn.COUNTIFS('Connections'!$C$6:$C$590,A196)</x:f>
        <x:v>3</x:v>
      </x:c>
      <x:c r="G196" s="47" t="n">
        <x:f>_xlfn.COUNTIFS('Connections'!$B$6:$B$590,A196,'Connections'!$D$6:$D$590,"TRUE")+_xlfn.COUNTIFS('Connections'!$C$6:$C$590,A196,'Connections'!$D$6:$D$590,"TRUE")</x:f>
        <x:v>3</x:v>
      </x:c>
      <x:c r="H196" s="48" t="s">
        <x:v>66</x:v>
      </x:c>
      <x:c r="I196" s="48" t="s">
        <x:v>67</x:v>
      </x:c>
      <x:c r="J196" s="49"/>
      <x:c r="K196" s="50"/>
      <x:c r="L196" s="51"/>
      <x:c r="M196" s="45" t="s">
        <x:v>210</x:v>
      </x:c>
      <x:c r="N196" s="52">
        <x:v>121</x:v>
      </x:c>
      <x:c r="O196" s="44"/>
    </x:row>
    <x:row r="197" ht="23" customHeight="1">
      <x:c r="A197" s="24" t="s">
        <x:v>329</x:v>
      </x:c>
      <x:c r="B197" s="53" t="s">
        <x:v>329</x:v>
      </x:c>
      <x:c r="C197" s="53" t="s">
        <x:v>209</x:v>
      </x:c>
      <x:c r="D197" s="54">
        <x:v>42.7287499864523</x:v>
      </x:c>
      <x:c r="E197" s="54">
        <x:v>-73.68214870961199</x:v>
      </x:c>
      <x:c r="F197" s="55" t="n">
        <x:f>_xlfn.COUNTIFS('Connections'!$B$6:$B$590,A197)+_xlfn.COUNTIFS('Connections'!$C$6:$C$590,A197)</x:f>
        <x:v>2</x:v>
      </x:c>
      <x:c r="G197" s="55" t="n">
        <x:f>_xlfn.COUNTIFS('Connections'!$B$6:$B$590,A197,'Connections'!$D$6:$D$590,"TRUE")+_xlfn.COUNTIFS('Connections'!$C$6:$C$590,A197,'Connections'!$D$6:$D$590,"TRUE")</x:f>
        <x:v>2</x:v>
      </x:c>
      <x:c r="H197" s="48" t="s">
        <x:v>66</x:v>
      </x:c>
      <x:c r="I197" s="48" t="s">
        <x:v>67</x:v>
      </x:c>
      <x:c r="J197" s="49"/>
      <x:c r="K197" s="50"/>
      <x:c r="L197" s="56"/>
      <x:c r="M197" s="53" t="s">
        <x:v>210</x:v>
      </x:c>
      <x:c r="N197" s="57">
        <x:v>122</x:v>
      </x:c>
      <x:c r="O197" s="44"/>
    </x:row>
    <x:row r="198" ht="23" customHeight="1">
      <x:c r="A198" s="21" t="s">
        <x:v>330</x:v>
      </x:c>
      <x:c r="B198" s="45" t="s">
        <x:v>330</x:v>
      </x:c>
      <x:c r="C198" s="45" t="s">
        <x:v>209</x:v>
      </x:c>
      <x:c r="D198" s="46">
        <x:v>42.7289568988148</x:v>
      </x:c>
      <x:c r="E198" s="46">
        <x:v>-73.68226330745691</x:v>
      </x:c>
      <x:c r="F198" s="47" t="n">
        <x:f>_xlfn.COUNTIFS('Connections'!$B$6:$B$590,A198)+_xlfn.COUNTIFS('Connections'!$C$6:$C$590,A198)</x:f>
        <x:v>4</x:v>
      </x:c>
      <x:c r="G198" s="47" t="n">
        <x:f>_xlfn.COUNTIFS('Connections'!$B$6:$B$590,A198,'Connections'!$D$6:$D$590,"TRUE")+_xlfn.COUNTIFS('Connections'!$C$6:$C$590,A198,'Connections'!$D$6:$D$590,"TRUE")</x:f>
        <x:v>4</x:v>
      </x:c>
      <x:c r="H198" s="48" t="s">
        <x:v>66</x:v>
      </x:c>
      <x:c r="I198" s="48" t="s">
        <x:v>67</x:v>
      </x:c>
      <x:c r="J198" s="49"/>
      <x:c r="K198" s="50"/>
      <x:c r="L198" s="51"/>
      <x:c r="M198" s="45" t="s">
        <x:v>210</x:v>
      </x:c>
      <x:c r="N198" s="52">
        <x:v>123</x:v>
      </x:c>
      <x:c r="O198" s="44"/>
    </x:row>
    <x:row r="199" ht="23" customHeight="1">
      <x:c r="A199" s="24" t="s">
        <x:v>331</x:v>
      </x:c>
      <x:c r="B199" s="53" t="s">
        <x:v>331</x:v>
      </x:c>
      <x:c r="C199" s="53" t="s">
        <x:v>209</x:v>
      </x:c>
      <x:c r="D199" s="54">
        <x:v>42.7287361922948</x:v>
      </x:c>
      <x:c r="E199" s="54">
        <x:v>-73.68269464101211</x:v>
      </x:c>
      <x:c r="F199" s="55" t="n">
        <x:f>_xlfn.COUNTIFS('Connections'!$B$6:$B$590,A199)+_xlfn.COUNTIFS('Connections'!$C$6:$C$590,A199)</x:f>
        <x:v>3</x:v>
      </x:c>
      <x:c r="G199" s="55" t="n">
        <x:f>_xlfn.COUNTIFS('Connections'!$B$6:$B$590,A199,'Connections'!$D$6:$D$590,"TRUE")+_xlfn.COUNTIFS('Connections'!$C$6:$C$590,A199,'Connections'!$D$6:$D$590,"TRUE")</x:f>
        <x:v>3</x:v>
      </x:c>
      <x:c r="H199" s="48" t="s">
        <x:v>66</x:v>
      </x:c>
      <x:c r="I199" s="48" t="s">
        <x:v>67</x:v>
      </x:c>
      <x:c r="J199" s="49"/>
      <x:c r="K199" s="50"/>
      <x:c r="L199" s="56"/>
      <x:c r="M199" s="53" t="s">
        <x:v>210</x:v>
      </x:c>
      <x:c r="N199" s="57">
        <x:v>124</x:v>
      </x:c>
      <x:c r="O199" s="44"/>
    </x:row>
    <x:row r="200" ht="23" customHeight="1">
      <x:c r="A200" s="21" t="s">
        <x:v>332</x:v>
      </x:c>
      <x:c r="B200" s="45" t="s">
        <x:v>332</x:v>
      </x:c>
      <x:c r="C200" s="45" t="s">
        <x:v>209</x:v>
      </x:c>
      <x:c r="D200" s="46">
        <x:v>42.728876432896</x:v>
      </x:c>
      <x:c r="E200" s="46">
        <x:v>-73.682497278057</x:v>
      </x:c>
      <x:c r="F200" s="47" t="n">
        <x:f>_xlfn.COUNTIFS('Connections'!$B$6:$B$590,A200)+_xlfn.COUNTIFS('Connections'!$C$6:$C$590,A200)</x:f>
        <x:v>2</x:v>
      </x:c>
      <x:c r="G200" s="47" t="n">
        <x:f>_xlfn.COUNTIFS('Connections'!$B$6:$B$590,A200,'Connections'!$D$6:$D$590,"TRUE")+_xlfn.COUNTIFS('Connections'!$C$6:$C$590,A200,'Connections'!$D$6:$D$590,"TRUE")</x:f>
        <x:v>2</x:v>
      </x:c>
      <x:c r="H200" s="48" t="s">
        <x:v>66</x:v>
      </x:c>
      <x:c r="I200" s="48" t="s">
        <x:v>67</x:v>
      </x:c>
      <x:c r="J200" s="49"/>
      <x:c r="K200" s="50"/>
      <x:c r="L200" s="51"/>
      <x:c r="M200" s="45" t="s">
        <x:v>210</x:v>
      </x:c>
      <x:c r="N200" s="52">
        <x:v>125</x:v>
      </x:c>
      <x:c r="O200" s="44"/>
    </x:row>
    <x:row r="201" ht="23" customHeight="1">
      <x:c r="A201" s="24" t="s">
        <x:v>333</x:v>
      </x:c>
      <x:c r="B201" s="53" t="s">
        <x:v>333</x:v>
      </x:c>
      <x:c r="C201" s="53" t="s">
        <x:v>209</x:v>
      </x:c>
      <x:c r="D201" s="54">
        <x:v>42.7311386747266</x:v>
      </x:c>
      <x:c r="E201" s="54">
        <x:v>-73.6798663025336</x:v>
      </x:c>
      <x:c r="F201" s="55" t="n">
        <x:f>_xlfn.COUNTIFS('Connections'!$B$6:$B$590,A201)+_xlfn.COUNTIFS('Connections'!$C$6:$C$590,A201)</x:f>
        <x:v>3</x:v>
      </x:c>
      <x:c r="G201" s="55" t="n">
        <x:f>_xlfn.COUNTIFS('Connections'!$B$6:$B$590,A201,'Connections'!$D$6:$D$590,"TRUE")+_xlfn.COUNTIFS('Connections'!$C$6:$C$590,A201,'Connections'!$D$6:$D$590,"TRUE")</x:f>
        <x:v>3</x:v>
      </x:c>
      <x:c r="H201" s="48" t="s">
        <x:v>66</x:v>
      </x:c>
      <x:c r="I201" s="48" t="s">
        <x:v>67</x:v>
      </x:c>
      <x:c r="J201" s="49"/>
      <x:c r="K201" s="50"/>
      <x:c r="L201" s="56"/>
      <x:c r="M201" s="53" t="s">
        <x:v>210</x:v>
      </x:c>
      <x:c r="N201" s="57">
        <x:v>126</x:v>
      </x:c>
      <x:c r="O201" s="44"/>
    </x:row>
    <x:row r="202" ht="23" customHeight="1">
      <x:c r="A202" s="21" t="s">
        <x:v>334</x:v>
      </x:c>
      <x:c r="B202" s="45" t="s">
        <x:v>334</x:v>
      </x:c>
      <x:c r="C202" s="45" t="s">
        <x:v>209</x:v>
      </x:c>
      <x:c r="D202" s="46">
        <x:v>42.7289201143948</x:v>
      </x:c>
      <x:c r="E202" s="46">
        <x:v>-73.6781950839616</x:v>
      </x:c>
      <x:c r="F202" s="47" t="n">
        <x:f>_xlfn.COUNTIFS('Connections'!$B$6:$B$590,A202)+_xlfn.COUNTIFS('Connections'!$C$6:$C$590,A202)</x:f>
        <x:v>4</x:v>
      </x:c>
      <x:c r="G202" s="47" t="n">
        <x:f>_xlfn.COUNTIFS('Connections'!$B$6:$B$590,A202,'Connections'!$D$6:$D$590,"TRUE")+_xlfn.COUNTIFS('Connections'!$C$6:$C$590,A202,'Connections'!$D$6:$D$590,"TRUE")</x:f>
        <x:v>4</x:v>
      </x:c>
      <x:c r="H202" s="48" t="s">
        <x:v>66</x:v>
      </x:c>
      <x:c r="I202" s="48" t="s">
        <x:v>67</x:v>
      </x:c>
      <x:c r="J202" s="49"/>
      <x:c r="K202" s="50"/>
      <x:c r="L202" s="51"/>
      <x:c r="M202" s="45" t="s">
        <x:v>210</x:v>
      </x:c>
      <x:c r="N202" s="52">
        <x:v>127</x:v>
      </x:c>
      <x:c r="O202" s="44"/>
    </x:row>
    <x:row r="203" ht="23" customHeight="1">
      <x:c r="A203" s="24" t="s">
        <x:v>335</x:v>
      </x:c>
      <x:c r="B203" s="53" t="s">
        <x:v>335</x:v>
      </x:c>
      <x:c r="C203" s="53" t="s">
        <x:v>209</x:v>
      </x:c>
      <x:c r="D203" s="54">
        <x:v>42.7289729919986</x:v>
      </x:c>
      <x:c r="E203" s="54">
        <x:v>-73.6776793936593</x:v>
      </x:c>
      <x:c r="F203" s="55" t="n">
        <x:f>_xlfn.COUNTIFS('Connections'!$B$6:$B$590,A203)+_xlfn.COUNTIFS('Connections'!$C$6:$C$590,A203)</x:f>
        <x:v>4</x:v>
      </x:c>
      <x:c r="G203" s="55" t="n">
        <x:f>_xlfn.COUNTIFS('Connections'!$B$6:$B$590,A203,'Connections'!$D$6:$D$590,"TRUE")+_xlfn.COUNTIFS('Connections'!$C$6:$C$590,A203,'Connections'!$D$6:$D$590,"TRUE")</x:f>
        <x:v>4</x:v>
      </x:c>
      <x:c r="H203" s="48" t="s">
        <x:v>66</x:v>
      </x:c>
      <x:c r="I203" s="48" t="s">
        <x:v>67</x:v>
      </x:c>
      <x:c r="J203" s="49"/>
      <x:c r="K203" s="50"/>
      <x:c r="L203" s="56"/>
      <x:c r="M203" s="53" t="s">
        <x:v>210</x:v>
      </x:c>
      <x:c r="N203" s="57">
        <x:v>128</x:v>
      </x:c>
      <x:c r="O203" s="44"/>
    </x:row>
    <x:row r="204" ht="23" customHeight="1">
      <x:c r="A204" s="21" t="s">
        <x:v>336</x:v>
      </x:c>
      <x:c r="B204" s="45" t="s">
        <x:v>336</x:v>
      </x:c>
      <x:c r="C204" s="45" t="s">
        <x:v>209</x:v>
      </x:c>
      <x:c r="D204" s="46">
        <x:v>42.7289385066048</x:v>
      </x:c>
      <x:c r="E204" s="46">
        <x:v>-73.67727830120209</x:v>
      </x:c>
      <x:c r="F204" s="47" t="n">
        <x:f>_xlfn.COUNTIFS('Connections'!$B$6:$B$590,A204)+_xlfn.COUNTIFS('Connections'!$C$6:$C$590,A204)</x:f>
        <x:v>3</x:v>
      </x:c>
      <x:c r="G204" s="47" t="n">
        <x:f>_xlfn.COUNTIFS('Connections'!$B$6:$B$590,A204,'Connections'!$D$6:$D$590,"TRUE")+_xlfn.COUNTIFS('Connections'!$C$6:$C$590,A204,'Connections'!$D$6:$D$590,"TRUE")</x:f>
        <x:v>3</x:v>
      </x:c>
      <x:c r="H204" s="48" t="s">
        <x:v>66</x:v>
      </x:c>
      <x:c r="I204" s="48" t="s">
        <x:v>67</x:v>
      </x:c>
      <x:c r="J204" s="49"/>
      <x:c r="K204" s="50"/>
      <x:c r="L204" s="51"/>
      <x:c r="M204" s="45" t="s">
        <x:v>210</x:v>
      </x:c>
      <x:c r="N204" s="52">
        <x:v>129</x:v>
      </x:c>
      <x:c r="O204" s="44"/>
    </x:row>
    <x:row r="205" ht="23" customHeight="1">
      <x:c r="A205" s="24" t="s">
        <x:v>337</x:v>
      </x:c>
      <x:c r="B205" s="53" t="s">
        <x:v>337</x:v>
      </x:c>
      <x:c r="C205" s="53" t="s">
        <x:v>209</x:v>
      </x:c>
      <x:c r="D205" s="54">
        <x:v>42.7294718806949</x:v>
      </x:c>
      <x:c r="E205" s="54">
        <x:v>-73.67713982880611</x:v>
      </x:c>
      <x:c r="F205" s="55" t="n">
        <x:f>_xlfn.COUNTIFS('Connections'!$B$6:$B$590,A205)+_xlfn.COUNTIFS('Connections'!$C$6:$C$590,A205)</x:f>
        <x:v>3</x:v>
      </x:c>
      <x:c r="G205" s="55" t="n">
        <x:f>_xlfn.COUNTIFS('Connections'!$B$6:$B$590,A205,'Connections'!$D$6:$D$590,"TRUE")+_xlfn.COUNTIFS('Connections'!$C$6:$C$590,A205,'Connections'!$D$6:$D$590,"TRUE")</x:f>
        <x:v>3</x:v>
      </x:c>
      <x:c r="H205" s="48" t="s">
        <x:v>66</x:v>
      </x:c>
      <x:c r="I205" s="48" t="s">
        <x:v>67</x:v>
      </x:c>
      <x:c r="J205" s="49"/>
      <x:c r="K205" s="50"/>
      <x:c r="L205" s="56"/>
      <x:c r="M205" s="53" t="s">
        <x:v>210</x:v>
      </x:c>
      <x:c r="N205" s="57">
        <x:v>130</x:v>
      </x:c>
      <x:c r="O205" s="44"/>
    </x:row>
    <x:row r="206" ht="23" customHeight="1">
      <x:c r="A206" s="21" t="s">
        <x:v>338</x:v>
      </x:c>
      <x:c r="B206" s="45" t="s">
        <x:v>338</x:v>
      </x:c>
      <x:c r="C206" s="45" t="s">
        <x:v>209</x:v>
      </x:c>
      <x:c r="D206" s="46">
        <x:v>42.7297190260169</x:v>
      </x:c>
      <x:c r="E206" s="46">
        <x:v>-73.67711277098159</x:v>
      </x:c>
      <x:c r="F206" s="47" t="n">
        <x:f>_xlfn.COUNTIFS('Connections'!$B$6:$B$590,A206)+_xlfn.COUNTIFS('Connections'!$C$6:$C$590,A206)</x:f>
        <x:v>2</x:v>
      </x:c>
      <x:c r="G206" s="47" t="n">
        <x:f>_xlfn.COUNTIFS('Connections'!$B$6:$B$590,A206,'Connections'!$D$6:$D$590,"TRUE")+_xlfn.COUNTIFS('Connections'!$C$6:$C$590,A206,'Connections'!$D$6:$D$590,"TRUE")</x:f>
        <x:v>1</x:v>
      </x:c>
      <x:c r="H206" s="48" t="s">
        <x:v>66</x:v>
      </x:c>
      <x:c r="I206" s="48" t="s">
        <x:v>67</x:v>
      </x:c>
      <x:c r="J206" s="49"/>
      <x:c r="K206" s="50"/>
      <x:c r="L206" s="51"/>
      <x:c r="M206" s="45" t="s">
        <x:v>210</x:v>
      </x:c>
      <x:c r="N206" s="52">
        <x:v>131</x:v>
      </x:c>
      <x:c r="O206" s="44"/>
    </x:row>
    <x:row r="207" ht="23" customHeight="1">
      <x:c r="A207" s="24" t="s">
        <x:v>339</x:v>
      </x:c>
      <x:c r="B207" s="53" t="s">
        <x:v>339</x:v>
      </x:c>
      <x:c r="C207" s="53" t="s">
        <x:v>209</x:v>
      </x:c>
      <x:c r="D207" s="54">
        <x:v>42.7299604237732</x:v>
      </x:c>
      <x:c r="E207" s="54">
        <x:v>-73.6771286873489</x:v>
      </x:c>
      <x:c r="F207" s="55" t="n">
        <x:f>_xlfn.COUNTIFS('Connections'!$B$6:$B$590,A207)+_xlfn.COUNTIFS('Connections'!$C$6:$C$590,A207)</x:f>
        <x:v>3</x:v>
      </x:c>
      <x:c r="G207" s="55" t="n">
        <x:f>_xlfn.COUNTIFS('Connections'!$B$6:$B$590,A207,'Connections'!$D$6:$D$590,"TRUE")+_xlfn.COUNTIFS('Connections'!$C$6:$C$590,A207,'Connections'!$D$6:$D$590,"TRUE")</x:f>
        <x:v>2</x:v>
      </x:c>
      <x:c r="H207" s="48" t="s">
        <x:v>66</x:v>
      </x:c>
      <x:c r="I207" s="48" t="s">
        <x:v>67</x:v>
      </x:c>
      <x:c r="J207" s="49"/>
      <x:c r="K207" s="50"/>
      <x:c r="L207" s="56"/>
      <x:c r="M207" s="53" t="s">
        <x:v>210</x:v>
      </x:c>
      <x:c r="N207" s="57">
        <x:v>132</x:v>
      </x:c>
      <x:c r="O207" s="44"/>
    </x:row>
    <x:row r="208" ht="23" customHeight="1">
      <x:c r="A208" s="21" t="s">
        <x:v>340</x:v>
      </x:c>
      <x:c r="B208" s="45" t="s">
        <x:v>340</x:v>
      </x:c>
      <x:c r="C208" s="45" t="s">
        <x:v>209</x:v>
      </x:c>
      <x:c r="D208" s="46">
        <x:v>42.7290856442848</x:v>
      </x:c>
      <x:c r="E208" s="46">
        <x:v>-73.6769854400428</x:v>
      </x:c>
      <x:c r="F208" s="47" t="n">
        <x:f>_xlfn.COUNTIFS('Connections'!$B$6:$B$590,A208)+_xlfn.COUNTIFS('Connections'!$C$6:$C$590,A208)</x:f>
        <x:v>4</x:v>
      </x:c>
      <x:c r="G208" s="47" t="n">
        <x:f>_xlfn.COUNTIFS('Connections'!$B$6:$B$590,A208,'Connections'!$D$6:$D$590,"TRUE")+_xlfn.COUNTIFS('Connections'!$C$6:$C$590,A208,'Connections'!$D$6:$D$590,"TRUE")</x:f>
        <x:v>4</x:v>
      </x:c>
      <x:c r="H208" s="48" t="s">
        <x:v>66</x:v>
      </x:c>
      <x:c r="I208" s="48" t="s">
        <x:v>67</x:v>
      </x:c>
      <x:c r="J208" s="49"/>
      <x:c r="K208" s="50"/>
      <x:c r="L208" s="51"/>
      <x:c r="M208" s="45" t="s">
        <x:v>210</x:v>
      </x:c>
      <x:c r="N208" s="52">
        <x:v>133</x:v>
      </x:c>
      <x:c r="O208" s="44"/>
    </x:row>
    <x:row r="209" ht="23" customHeight="1">
      <x:c r="A209" s="24" t="s">
        <x:v>341</x:v>
      </x:c>
      <x:c r="B209" s="53" t="s">
        <x:v>341</x:v>
      </x:c>
      <x:c r="C209" s="53" t="s">
        <x:v>209</x:v>
      </x:c>
      <x:c r="D209" s="54">
        <x:v>42.7295523466137</x:v>
      </x:c>
      <x:c r="E209" s="54">
        <x:v>-73.6769376909407</x:v>
      </x:c>
      <x:c r="F209" s="55" t="n">
        <x:f>_xlfn.COUNTIFS('Connections'!$B$6:$B$590,A209)+_xlfn.COUNTIFS('Connections'!$C$6:$C$590,A209)</x:f>
        <x:v>3</x:v>
      </x:c>
      <x:c r="G209" s="55" t="n">
        <x:f>_xlfn.COUNTIFS('Connections'!$B$6:$B$590,A209,'Connections'!$D$6:$D$590,"TRUE")+_xlfn.COUNTIFS('Connections'!$C$6:$C$590,A209,'Connections'!$D$6:$D$590,"TRUE")</x:f>
        <x:v>3</x:v>
      </x:c>
      <x:c r="H209" s="48" t="s">
        <x:v>66</x:v>
      </x:c>
      <x:c r="I209" s="48" t="s">
        <x:v>67</x:v>
      </x:c>
      <x:c r="J209" s="49"/>
      <x:c r="K209" s="50"/>
      <x:c r="L209" s="56"/>
      <x:c r="M209" s="53" t="s">
        <x:v>210</x:v>
      </x:c>
      <x:c r="N209" s="57">
        <x:v>134</x:v>
      </x:c>
      <x:c r="O209" s="44"/>
    </x:row>
    <x:row r="210" ht="23" customHeight="1">
      <x:c r="A210" s="21" t="s">
        <x:v>342</x:v>
      </x:c>
      <x:c r="B210" s="45" t="s">
        <x:v>342</x:v>
      </x:c>
      <x:c r="C210" s="45" t="s">
        <x:v>209</x:v>
      </x:c>
      <x:c r="D210" s="46">
        <x:v>42.7289201143948</x:v>
      </x:c>
      <x:c r="E210" s="46">
        <x:v>-73.6760622907363</x:v>
      </x:c>
      <x:c r="F210" s="47" t="n">
        <x:f>_xlfn.COUNTIFS('Connections'!$B$6:$B$590,A210)+_xlfn.COUNTIFS('Connections'!$C$6:$C$590,A210)</x:f>
        <x:v>2</x:v>
      </x:c>
      <x:c r="G210" s="47" t="n">
        <x:f>_xlfn.COUNTIFS('Connections'!$B$6:$B$590,A210,'Connections'!$D$6:$D$590,"TRUE")+_xlfn.COUNTIFS('Connections'!$C$6:$C$590,A210,'Connections'!$D$6:$D$590,"TRUE")</x:f>
        <x:v>2</x:v>
      </x:c>
      <x:c r="H210" s="48" t="s">
        <x:v>66</x:v>
      </x:c>
      <x:c r="I210" s="48" t="s">
        <x:v>67</x:v>
      </x:c>
      <x:c r="J210" s="49"/>
      <x:c r="K210" s="50"/>
      <x:c r="L210" s="51"/>
      <x:c r="M210" s="45" t="s">
        <x:v>210</x:v>
      </x:c>
      <x:c r="N210" s="52">
        <x:v>135</x:v>
      </x:c>
      <x:c r="O210" s="44"/>
    </x:row>
    <x:row r="211" ht="23" customHeight="1">
      <x:c r="A211" s="24" t="s">
        <x:v>343</x:v>
      </x:c>
      <x:c r="B211" s="53" t="s">
        <x:v>343</x:v>
      </x:c>
      <x:c r="C211" s="53" t="s">
        <x:v>209</x:v>
      </x:c>
      <x:c r="D211" s="54">
        <x:v>42.7286902117697</x:v>
      </x:c>
      <x:c r="E211" s="54">
        <x:v>-73.6760622907363</x:v>
      </x:c>
      <x:c r="F211" s="55" t="n">
        <x:f>_xlfn.COUNTIFS('Connections'!$B$6:$B$590,A211)+_xlfn.COUNTIFS('Connections'!$C$6:$C$590,A211)</x:f>
        <x:v>3</x:v>
      </x:c>
      <x:c r="G211" s="55" t="n">
        <x:f>_xlfn.COUNTIFS('Connections'!$B$6:$B$590,A211,'Connections'!$D$6:$D$590,"TRUE")+_xlfn.COUNTIFS('Connections'!$C$6:$C$590,A211,'Connections'!$D$6:$D$590,"TRUE")</x:f>
        <x:v>3</x:v>
      </x:c>
      <x:c r="H211" s="48" t="s">
        <x:v>66</x:v>
      </x:c>
      <x:c r="I211" s="48" t="s">
        <x:v>67</x:v>
      </x:c>
      <x:c r="J211" s="49"/>
      <x:c r="K211" s="50"/>
      <x:c r="L211" s="56"/>
      <x:c r="M211" s="53" t="s">
        <x:v>210</x:v>
      </x:c>
      <x:c r="N211" s="57">
        <x:v>136</x:v>
      </x:c>
      <x:c r="O211" s="44"/>
    </x:row>
    <x:row r="212" ht="23" customHeight="1">
      <x:c r="A212" s="21" t="s">
        <x:v>344</x:v>
      </x:c>
      <x:c r="B212" s="45" t="s">
        <x:v>344</x:v>
      </x:c>
      <x:c r="C212" s="45" t="s">
        <x:v>209</x:v>
      </x:c>
      <x:c r="D212" s="46">
        <x:v>42.7286603244285</x:v>
      </x:c>
      <x:c r="E212" s="46">
        <x:v>-73.67589516887909</x:v>
      </x:c>
      <x:c r="F212" s="47" t="n">
        <x:f>_xlfn.COUNTIFS('Connections'!$B$6:$B$590,A212)+_xlfn.COUNTIFS('Connections'!$C$6:$C$590,A212)</x:f>
        <x:v>3</x:v>
      </x:c>
      <x:c r="G212" s="47" t="n">
        <x:f>_xlfn.COUNTIFS('Connections'!$B$6:$B$590,A212,'Connections'!$D$6:$D$590,"TRUE")+_xlfn.COUNTIFS('Connections'!$C$6:$C$590,A212,'Connections'!$D$6:$D$590,"TRUE")</x:f>
        <x:v>3</x:v>
      </x:c>
      <x:c r="H212" s="48" t="s">
        <x:v>66</x:v>
      </x:c>
      <x:c r="I212" s="48" t="s">
        <x:v>67</x:v>
      </x:c>
      <x:c r="J212" s="49"/>
      <x:c r="K212" s="50"/>
      <x:c r="L212" s="51"/>
      <x:c r="M212" s="45" t="s">
        <x:v>210</x:v>
      </x:c>
      <x:c r="N212" s="52">
        <x:v>137</x:v>
      </x:c>
      <x:c r="O212" s="44"/>
    </x:row>
    <x:row r="213" ht="23" customHeight="1">
      <x:c r="A213" s="24" t="s">
        <x:v>345</x:v>
      </x:c>
      <x:c r="B213" s="53" t="s">
        <x:v>345</x:v>
      </x:c>
      <x:c r="C213" s="53" t="s">
        <x:v>209</x:v>
      </x:c>
      <x:c r="D213" s="54">
        <x:v>42.7284787013547</x:v>
      </x:c>
      <x:c r="E213" s="54">
        <x:v>-73.6757917124913</x:v>
      </x:c>
      <x:c r="F213" s="55" t="n">
        <x:f>_xlfn.COUNTIFS('Connections'!$B$6:$B$590,A213)+_xlfn.COUNTIFS('Connections'!$C$6:$C$590,A213)</x:f>
        <x:v>2</x:v>
      </x:c>
      <x:c r="G213" s="55" t="n">
        <x:f>_xlfn.COUNTIFS('Connections'!$B$6:$B$590,A213,'Connections'!$D$6:$D$590,"TRUE")+_xlfn.COUNTIFS('Connections'!$C$6:$C$590,A213,'Connections'!$D$6:$D$590,"TRUE")</x:f>
        <x:v>2</x:v>
      </x:c>
      <x:c r="H213" s="48" t="s">
        <x:v>66</x:v>
      </x:c>
      <x:c r="I213" s="48" t="s">
        <x:v>67</x:v>
      </x:c>
      <x:c r="J213" s="49"/>
      <x:c r="K213" s="50"/>
      <x:c r="L213" s="56"/>
      <x:c r="M213" s="53" t="s">
        <x:v>210</x:v>
      </x:c>
      <x:c r="N213" s="57">
        <x:v>138</x:v>
      </x:c>
      <x:c r="O213" s="44"/>
    </x:row>
    <x:row r="214" ht="23" customHeight="1">
      <x:c r="A214" s="21" t="s">
        <x:v>346</x:v>
      </x:c>
      <x:c r="B214" s="45" t="s">
        <x:v>346</x:v>
      </x:c>
      <x:c r="C214" s="45" t="s">
        <x:v>209</x:v>
      </x:c>
      <x:c r="D214" s="46">
        <x:v>42.7282189113884</x:v>
      </x:c>
      <x:c r="E214" s="46">
        <x:v>-73.6779245057166</x:v>
      </x:c>
      <x:c r="F214" s="47" t="n">
        <x:f>_xlfn.COUNTIFS('Connections'!$B$6:$B$590,A214)+_xlfn.COUNTIFS('Connections'!$C$6:$C$590,A214)</x:f>
        <x:v>3</x:v>
      </x:c>
      <x:c r="G214" s="47" t="n">
        <x:f>_xlfn.COUNTIFS('Connections'!$B$6:$B$590,A214,'Connections'!$D$6:$D$590,"TRUE")+_xlfn.COUNTIFS('Connections'!$C$6:$C$590,A214,'Connections'!$D$6:$D$590,"TRUE")</x:f>
        <x:v>3</x:v>
      </x:c>
      <x:c r="H214" s="48" t="s">
        <x:v>66</x:v>
      </x:c>
      <x:c r="I214" s="48" t="s">
        <x:v>67</x:v>
      </x:c>
      <x:c r="J214" s="49"/>
      <x:c r="K214" s="50"/>
      <x:c r="L214" s="51"/>
      <x:c r="M214" s="45" t="s">
        <x:v>210</x:v>
      </x:c>
      <x:c r="N214" s="52">
        <x:v>139</x:v>
      </x:c>
      <x:c r="O214" s="44"/>
    </x:row>
    <x:row r="215" ht="23" customHeight="1">
      <x:c r="A215" s="24" t="s">
        <x:v>347</x:v>
      </x:c>
      <x:c r="B215" s="53" t="s">
        <x:v>347</x:v>
      </x:c>
      <x:c r="C215" s="53" t="s">
        <x:v>209</x:v>
      </x:c>
      <x:c r="D215" s="54">
        <x:v>42.7282591443478</x:v>
      </x:c>
      <x:c r="E215" s="54">
        <x:v>-73.67745019796951</x:v>
      </x:c>
      <x:c r="F215" s="55" t="n">
        <x:f>_xlfn.COUNTIFS('Connections'!$B$6:$B$590,A215)+_xlfn.COUNTIFS('Connections'!$C$6:$C$590,A215)</x:f>
        <x:v>2</x:v>
      </x:c>
      <x:c r="G215" s="55" t="n">
        <x:f>_xlfn.COUNTIFS('Connections'!$B$6:$B$590,A215,'Connections'!$D$6:$D$590,"TRUE")+_xlfn.COUNTIFS('Connections'!$C$6:$C$590,A215,'Connections'!$D$6:$D$590,"TRUE")</x:f>
        <x:v>2</x:v>
      </x:c>
      <x:c r="H215" s="48" t="s">
        <x:v>66</x:v>
      </x:c>
      <x:c r="I215" s="48" t="s">
        <x:v>67</x:v>
      </x:c>
      <x:c r="J215" s="49"/>
      <x:c r="K215" s="50"/>
      <x:c r="L215" s="56"/>
      <x:c r="M215" s="53" t="s">
        <x:v>210</x:v>
      </x:c>
      <x:c r="N215" s="57">
        <x:v>140</x:v>
      </x:c>
      <x:c r="O215" s="44"/>
    </x:row>
    <x:row r="216" ht="23" customHeight="1">
      <x:c r="A216" s="21" t="s">
        <x:v>348</x:v>
      </x:c>
      <x:c r="B216" s="45" t="s">
        <x:v>348</x:v>
      </x:c>
      <x:c r="C216" s="45" t="s">
        <x:v>209</x:v>
      </x:c>
      <x:c r="D216" s="46">
        <x:v>42.7274062056088</x:v>
      </x:c>
      <x:c r="E216" s="46">
        <x:v>-73.6780677530227</x:v>
      </x:c>
      <x:c r="F216" s="47" t="n">
        <x:f>_xlfn.COUNTIFS('Connections'!$B$6:$B$590,A216)+_xlfn.COUNTIFS('Connections'!$C$6:$C$590,A216)</x:f>
        <x:v>4</x:v>
      </x:c>
      <x:c r="G216" s="47" t="n">
        <x:f>_xlfn.COUNTIFS('Connections'!$B$6:$B$590,A216,'Connections'!$D$6:$D$590,"TRUE")+_xlfn.COUNTIFS('Connections'!$C$6:$C$590,A216,'Connections'!$D$6:$D$590,"TRUE")</x:f>
        <x:v>4</x:v>
      </x:c>
      <x:c r="H216" s="48" t="s">
        <x:v>66</x:v>
      </x:c>
      <x:c r="I216" s="48" t="s">
        <x:v>67</x:v>
      </x:c>
      <x:c r="J216" s="49"/>
      <x:c r="K216" s="50"/>
      <x:c r="L216" s="51"/>
      <x:c r="M216" s="45" t="s">
        <x:v>210</x:v>
      </x:c>
      <x:c r="N216" s="52">
        <x:v>141</x:v>
      </x:c>
      <x:c r="O216" s="44"/>
    </x:row>
    <x:row r="217" ht="23" customHeight="1">
      <x:c r="A217" s="24" t="s">
        <x:v>349</x:v>
      </x:c>
      <x:c r="B217" s="53" t="s">
        <x:v>349</x:v>
      </x:c>
      <x:c r="C217" s="53" t="s">
        <x:v>209</x:v>
      </x:c>
      <x:c r="D217" s="54">
        <x:v>42.7284373188822</x:v>
      </x:c>
      <x:c r="E217" s="54">
        <x:v>-73.68023237898269</x:v>
      </x:c>
      <x:c r="F217" s="55" t="n">
        <x:f>_xlfn.COUNTIFS('Connections'!$B$6:$B$590,A217)+_xlfn.COUNTIFS('Connections'!$C$6:$C$590,A217)</x:f>
        <x:v>3</x:v>
      </x:c>
      <x:c r="G217" s="55" t="n">
        <x:f>_xlfn.COUNTIFS('Connections'!$B$6:$B$590,A217,'Connections'!$D$6:$D$590,"TRUE")+_xlfn.COUNTIFS('Connections'!$C$6:$C$590,A217,'Connections'!$D$6:$D$590,"TRUE")</x:f>
        <x:v>3</x:v>
      </x:c>
      <x:c r="H217" s="48" t="s">
        <x:v>66</x:v>
      </x:c>
      <x:c r="I217" s="48" t="s">
        <x:v>67</x:v>
      </x:c>
      <x:c r="J217" s="49"/>
      <x:c r="K217" s="50"/>
      <x:c r="L217" s="56"/>
      <x:c r="M217" s="53" t="s">
        <x:v>210</x:v>
      </x:c>
      <x:c r="N217" s="57">
        <x:v>142</x:v>
      </x:c>
      <x:c r="O217" s="44"/>
    </x:row>
    <x:row r="218" ht="23" customHeight="1">
      <x:c r="A218" s="21" t="s">
        <x:v>350</x:v>
      </x:c>
      <x:c r="B218" s="45" t="s">
        <x:v>350</x:v>
      </x:c>
      <x:c r="C218" s="45" t="s">
        <x:v>209</x:v>
      </x:c>
      <x:c r="D218" s="46">
        <x:v>42.7282419016509</x:v>
      </x:c>
      <x:c r="E218" s="46">
        <x:v>-73.6802801280848</x:v>
      </x:c>
      <x:c r="F218" s="47" t="n">
        <x:f>_xlfn.COUNTIFS('Connections'!$B$6:$B$590,A218)+_xlfn.COUNTIFS('Connections'!$C$6:$C$590,A218)</x:f>
        <x:v>4</x:v>
      </x:c>
      <x:c r="G218" s="47" t="n">
        <x:f>_xlfn.COUNTIFS('Connections'!$B$6:$B$590,A218,'Connections'!$D$6:$D$590,"TRUE")+_xlfn.COUNTIFS('Connections'!$C$6:$C$590,A218,'Connections'!$D$6:$D$590,"TRUE")</x:f>
        <x:v>4</x:v>
      </x:c>
      <x:c r="H218" s="48" t="s">
        <x:v>66</x:v>
      </x:c>
      <x:c r="I218" s="48" t="s">
        <x:v>67</x:v>
      </x:c>
      <x:c r="J218" s="49"/>
      <x:c r="K218" s="50"/>
      <x:c r="L218" s="51"/>
      <x:c r="M218" s="45" t="s">
        <x:v>210</x:v>
      </x:c>
      <x:c r="N218" s="52">
        <x:v>143</x:v>
      </x:c>
      <x:c r="O218" s="44"/>
    </x:row>
    <x:row r="219" ht="23" customHeight="1">
      <x:c r="A219" s="24" t="s">
        <x:v>351</x:v>
      </x:c>
      <x:c r="B219" s="53" t="s">
        <x:v>351</x:v>
      </x:c>
      <x:c r="C219" s="53" t="s">
        <x:v>209</x:v>
      </x:c>
      <x:c r="D219" s="54">
        <x:v>42.7306673743453</x:v>
      </x:c>
      <x:c r="E219" s="54">
        <x:v>-73.6823699471182</x:v>
      </x:c>
      <x:c r="F219" s="55" t="n">
        <x:f>_xlfn.COUNTIFS('Connections'!$B$6:$B$590,A219)+_xlfn.COUNTIFS('Connections'!$C$6:$C$590,A219)</x:f>
        <x:v>3</x:v>
      </x:c>
      <x:c r="G219" s="55" t="n">
        <x:f>_xlfn.COUNTIFS('Connections'!$B$6:$B$590,A219,'Connections'!$D$6:$D$590,"TRUE")+_xlfn.COUNTIFS('Connections'!$C$6:$C$590,A219,'Connections'!$D$6:$D$590,"TRUE")</x:f>
        <x:v>3</x:v>
      </x:c>
      <x:c r="H219" s="48" t="s">
        <x:v>66</x:v>
      </x:c>
      <x:c r="I219" s="48" t="s">
        <x:v>67</x:v>
      </x:c>
      <x:c r="J219" s="49"/>
      <x:c r="K219" s="50"/>
      <x:c r="L219" s="56"/>
      <x:c r="M219" s="53" t="s">
        <x:v>210</x:v>
      </x:c>
      <x:c r="N219" s="57">
        <x:v>144</x:v>
      </x:c>
      <x:c r="O219" s="44"/>
    </x:row>
    <x:row r="220" ht="23" customHeight="1">
      <x:c r="A220" s="21" t="s">
        <x:v>352</x:v>
      </x:c>
      <x:c r="B220" s="45" t="s">
        <x:v>352</x:v>
      </x:c>
      <x:c r="C220" s="45" t="s">
        <x:v>209</x:v>
      </x:c>
      <x:c r="D220" s="46">
        <x:v>42.7306030016103</x:v>
      </x:c>
      <x:c r="E220" s="46">
        <x:v>-73.6826277922693</x:v>
      </x:c>
      <x:c r="F220" s="47" t="n">
        <x:f>_xlfn.COUNTIFS('Connections'!$B$6:$B$590,A220)+_xlfn.COUNTIFS('Connections'!$C$6:$C$590,A220)</x:f>
        <x:v>3</x:v>
      </x:c>
      <x:c r="G220" s="47" t="n">
        <x:f>_xlfn.COUNTIFS('Connections'!$B$6:$B$590,A220,'Connections'!$D$6:$D$590,"TRUE")+_xlfn.COUNTIFS('Connections'!$C$6:$C$590,A220,'Connections'!$D$6:$D$590,"TRUE")</x:f>
        <x:v>3</x:v>
      </x:c>
      <x:c r="H220" s="48" t="s">
        <x:v>66</x:v>
      </x:c>
      <x:c r="I220" s="48" t="s">
        <x:v>67</x:v>
      </x:c>
      <x:c r="J220" s="49"/>
      <x:c r="K220" s="50"/>
      <x:c r="L220" s="51"/>
      <x:c r="M220" s="45" t="s">
        <x:v>210</x:v>
      </x:c>
      <x:c r="N220" s="52">
        <x:v>145</x:v>
      </x:c>
      <x:c r="O220" s="44"/>
    </x:row>
    <x:row r="221" ht="23" customHeight="1">
      <x:c r="A221" s="24" t="s">
        <x:v>353</x:v>
      </x:c>
      <x:c r="B221" s="53" t="s">
        <x:v>353</x:v>
      </x:c>
      <x:c r="C221" s="53" t="s">
        <x:v>209</x:v>
      </x:c>
      <x:c r="D221" s="54">
        <x:v>42.7305754132952</x:v>
      </x:c>
      <x:c r="E221" s="54">
        <x:v>-73.6829381614326</x:v>
      </x:c>
      <x:c r="F221" s="55" t="n">
        <x:f>_xlfn.COUNTIFS('Connections'!$B$6:$B$590,A221)+_xlfn.COUNTIFS('Connections'!$C$6:$C$590,A221)</x:f>
        <x:v>4</x:v>
      </x:c>
      <x:c r="G221" s="55" t="n">
        <x:f>_xlfn.COUNTIFS('Connections'!$B$6:$B$590,A221,'Connections'!$D$6:$D$590,"TRUE")+_xlfn.COUNTIFS('Connections'!$C$6:$C$590,A221,'Connections'!$D$6:$D$590,"TRUE")</x:f>
        <x:v>3</x:v>
      </x:c>
      <x:c r="H221" s="48" t="s">
        <x:v>66</x:v>
      </x:c>
      <x:c r="I221" s="48" t="s">
        <x:v>67</x:v>
      </x:c>
      <x:c r="J221" s="49"/>
      <x:c r="K221" s="50"/>
      <x:c r="L221" s="56"/>
      <x:c r="M221" s="53" t="s">
        <x:v>210</x:v>
      </x:c>
      <x:c r="N221" s="57">
        <x:v>146</x:v>
      </x:c>
      <x:c r="O221" s="44"/>
    </x:row>
    <x:row r="222" ht="23" customHeight="1">
      <x:c r="A222" s="21" t="s">
        <x:v>354</x:v>
      </x:c>
      <x:c r="B222" s="45" t="s">
        <x:v>354</x:v>
      </x:c>
      <x:c r="C222" s="45" t="s">
        <x:v>209</x:v>
      </x:c>
      <x:c r="D222" s="46">
        <x:v>42.7304144814577</x:v>
      </x:c>
      <x:c r="E222" s="46">
        <x:v>-73.6830654923715</x:v>
      </x:c>
      <x:c r="F222" s="47" t="n">
        <x:f>_xlfn.COUNTIFS('Connections'!$B$6:$B$590,A222)+_xlfn.COUNTIFS('Connections'!$C$6:$C$590,A222)</x:f>
        <x:v>3</x:v>
      </x:c>
      <x:c r="G222" s="47" t="n">
        <x:f>_xlfn.COUNTIFS('Connections'!$B$6:$B$590,A222,'Connections'!$D$6:$D$590,"TRUE")+_xlfn.COUNTIFS('Connections'!$C$6:$C$590,A222,'Connections'!$D$6:$D$590,"TRUE")</x:f>
        <x:v>3</x:v>
      </x:c>
      <x:c r="H222" s="48" t="s">
        <x:v>66</x:v>
      </x:c>
      <x:c r="I222" s="48" t="s">
        <x:v>67</x:v>
      </x:c>
      <x:c r="J222" s="49"/>
      <x:c r="K222" s="50"/>
      <x:c r="L222" s="51"/>
      <x:c r="M222" s="45" t="s">
        <x:v>210</x:v>
      </x:c>
      <x:c r="N222" s="52">
        <x:v>147</x:v>
      </x:c>
      <x:c r="O222" s="44"/>
    </x:row>
    <x:row r="223" ht="23" customHeight="1">
      <x:c r="A223" s="24" t="s">
        <x:v>355</x:v>
      </x:c>
      <x:c r="B223" s="53" t="s">
        <x:v>355</x:v>
      </x:c>
      <x:c r="C223" s="53" t="s">
        <x:v>209</x:v>
      </x:c>
      <x:c r="D223" s="54">
        <x:v>42.7271809010362</x:v>
      </x:c>
      <x:c r="E223" s="54">
        <x:v>-73.6773196837572</x:v>
      </x:c>
      <x:c r="F223" s="55" t="n">
        <x:f>_xlfn.COUNTIFS('Connections'!$B$6:$B$590,A223)+_xlfn.COUNTIFS('Connections'!$C$6:$C$590,A223)</x:f>
        <x:v>3</x:v>
      </x:c>
      <x:c r="G223" s="55" t="n">
        <x:f>_xlfn.COUNTIFS('Connections'!$B$6:$B$590,A223,'Connections'!$D$6:$D$590,"TRUE")+_xlfn.COUNTIFS('Connections'!$C$6:$C$590,A223,'Connections'!$D$6:$D$590,"TRUE")</x:f>
        <x:v>3</x:v>
      </x:c>
      <x:c r="H223" s="48" t="s">
        <x:v>66</x:v>
      </x:c>
      <x:c r="I223" s="48" t="s">
        <x:v>67</x:v>
      </x:c>
      <x:c r="J223" s="49"/>
      <x:c r="K223" s="50"/>
      <x:c r="L223" s="56"/>
      <x:c r="M223" s="53" t="s">
        <x:v>210</x:v>
      </x:c>
      <x:c r="N223" s="57">
        <x:v>148</x:v>
      </x:c>
      <x:c r="O223" s="44"/>
    </x:row>
    <x:row r="224" ht="23" customHeight="1">
      <x:c r="A224" s="21" t="s">
        <x:v>356</x:v>
      </x:c>
      <x:c r="B224" s="45" t="s">
        <x:v>356</x:v>
      </x:c>
      <x:c r="C224" s="45" t="s">
        <x:v>209</x:v>
      </x:c>
      <x:c r="D224" s="46">
        <x:v>42.7270429594612</x:v>
      </x:c>
      <x:c r="E224" s="46">
        <x:v>-73.6768581091039</x:v>
      </x:c>
      <x:c r="F224" s="47" t="n">
        <x:f>_xlfn.COUNTIFS('Connections'!$B$6:$B$590,A224)+_xlfn.COUNTIFS('Connections'!$C$6:$C$590,A224)</x:f>
        <x:v>2</x:v>
      </x:c>
      <x:c r="G224" s="47" t="n">
        <x:f>_xlfn.COUNTIFS('Connections'!$B$6:$B$590,A224,'Connections'!$D$6:$D$590,"TRUE")+_xlfn.COUNTIFS('Connections'!$C$6:$C$590,A224,'Connections'!$D$6:$D$590,"TRUE")</x:f>
        <x:v>2</x:v>
      </x:c>
      <x:c r="H224" s="48" t="s">
        <x:v>66</x:v>
      </x:c>
      <x:c r="I224" s="48" t="s">
        <x:v>67</x:v>
      </x:c>
      <x:c r="J224" s="49"/>
      <x:c r="K224" s="50"/>
      <x:c r="L224" s="51"/>
      <x:c r="M224" s="45" t="s">
        <x:v>210</x:v>
      </x:c>
      <x:c r="N224" s="52">
        <x:v>149</x:v>
      </x:c>
      <x:c r="O224" s="44"/>
    </x:row>
    <x:row r="225" ht="23" customHeight="1">
      <x:c r="A225" s="24" t="s">
        <x:v>357</x:v>
      </x:c>
      <x:c r="B225" s="53" t="s">
        <x:v>357</x:v>
      </x:c>
      <x:c r="C225" s="53" t="s">
        <x:v>209</x:v>
      </x:c>
      <x:c r="D225" s="54">
        <x:v>42.726747534588</x:v>
      </x:c>
      <x:c r="E225" s="54">
        <x:v>-73.67633286898131</x:v>
      </x:c>
      <x:c r="F225" s="55" t="n">
        <x:f>_xlfn.COUNTIFS('Connections'!$B$6:$B$590,A225)+_xlfn.COUNTIFS('Connections'!$C$6:$C$590,A225)</x:f>
        <x:v>3</x:v>
      </x:c>
      <x:c r="G225" s="55" t="n">
        <x:f>_xlfn.COUNTIFS('Connections'!$B$6:$B$590,A225,'Connections'!$D$6:$D$590,"TRUE")+_xlfn.COUNTIFS('Connections'!$C$6:$C$590,A225,'Connections'!$D$6:$D$590,"TRUE")</x:f>
        <x:v>3</x:v>
      </x:c>
      <x:c r="H225" s="48" t="s">
        <x:v>66</x:v>
      </x:c>
      <x:c r="I225" s="48" t="s">
        <x:v>67</x:v>
      </x:c>
      <x:c r="J225" s="49"/>
      <x:c r="K225" s="50"/>
      <x:c r="L225" s="56"/>
      <x:c r="M225" s="53" t="s">
        <x:v>210</x:v>
      </x:c>
      <x:c r="N225" s="57">
        <x:v>150</x:v>
      </x:c>
      <x:c r="O225" s="44"/>
    </x:row>
    <x:row r="226" ht="23" customHeight="1">
      <x:c r="A226" s="21" t="s">
        <x:v>358</x:v>
      </x:c>
      <x:c r="B226" s="45" t="s">
        <x:v>358</x:v>
      </x:c>
      <x:c r="C226" s="45" t="s">
        <x:v>209</x:v>
      </x:c>
      <x:c r="D226" s="46">
        <x:v>42.7267050026023</x:v>
      </x:c>
      <x:c r="E226" s="46">
        <x:v>-73.67588721069539</x:v>
      </x:c>
      <x:c r="F226" s="47" t="n">
        <x:f>_xlfn.COUNTIFS('Connections'!$B$6:$B$590,A226)+_xlfn.COUNTIFS('Connections'!$C$6:$C$590,A226)</x:f>
        <x:v>2</x:v>
      </x:c>
      <x:c r="G226" s="47" t="n">
        <x:f>_xlfn.COUNTIFS('Connections'!$B$6:$B$590,A226,'Connections'!$D$6:$D$590,"TRUE")+_xlfn.COUNTIFS('Connections'!$C$6:$C$590,A226,'Connections'!$D$6:$D$590,"TRUE")</x:f>
        <x:v>2</x:v>
      </x:c>
      <x:c r="H226" s="48" t="s">
        <x:v>66</x:v>
      </x:c>
      <x:c r="I226" s="48" t="s">
        <x:v>67</x:v>
      </x:c>
      <x:c r="J226" s="49"/>
      <x:c r="K226" s="50"/>
      <x:c r="L226" s="51"/>
      <x:c r="M226" s="45" t="s">
        <x:v>210</x:v>
      </x:c>
      <x:c r="N226" s="52">
        <x:v>151</x:v>
      </x:c>
      <x:c r="O226" s="44"/>
    </x:row>
    <x:row r="227" ht="23" customHeight="1">
      <x:c r="A227" s="24" t="s">
        <x:v>359</x:v>
      </x:c>
      <x:c r="B227" s="53" t="s">
        <x:v>359</x:v>
      </x:c>
      <x:c r="C227" s="53" t="s">
        <x:v>209</x:v>
      </x:c>
      <x:c r="D227" s="54">
        <x:v>42.7268165053755</x:v>
      </x:c>
      <x:c r="E227" s="54">
        <x:v>-73.6754654269606</x:v>
      </x:c>
      <x:c r="F227" s="55" t="n">
        <x:f>_xlfn.COUNTIFS('Connections'!$B$6:$B$590,A227)+_xlfn.COUNTIFS('Connections'!$C$6:$C$590,A227)</x:f>
        <x:v>2</x:v>
      </x:c>
      <x:c r="G227" s="55" t="n">
        <x:f>_xlfn.COUNTIFS('Connections'!$B$6:$B$590,A227,'Connections'!$D$6:$D$590,"TRUE")+_xlfn.COUNTIFS('Connections'!$C$6:$C$590,A227,'Connections'!$D$6:$D$590,"TRUE")</x:f>
        <x:v>2</x:v>
      </x:c>
      <x:c r="H227" s="48" t="s">
        <x:v>66</x:v>
      </x:c>
      <x:c r="I227" s="48" t="s">
        <x:v>67</x:v>
      </x:c>
      <x:c r="J227" s="49"/>
      <x:c r="K227" s="50"/>
      <x:c r="L227" s="56"/>
      <x:c r="M227" s="53" t="s">
        <x:v>210</x:v>
      </x:c>
      <x:c r="N227" s="57">
        <x:v>152</x:v>
      </x:c>
      <x:c r="O227" s="44"/>
    </x:row>
    <x:row r="228" ht="23" customHeight="1">
      <x:c r="A228" s="21" t="s">
        <x:v>360</x:v>
      </x:c>
      <x:c r="B228" s="45" t="s">
        <x:v>360</x:v>
      </x:c>
      <x:c r="C228" s="45" t="s">
        <x:v>209</x:v>
      </x:c>
      <x:c r="D228" s="46">
        <x:v>42.7270199691987</x:v>
      </x:c>
      <x:c r="E228" s="46">
        <x:v>-73.67535401238911</x:v>
      </x:c>
      <x:c r="F228" s="47" t="n">
        <x:f>_xlfn.COUNTIFS('Connections'!$B$6:$B$590,A228)+_xlfn.COUNTIFS('Connections'!$C$6:$C$590,A228)</x:f>
        <x:v>4</x:v>
      </x:c>
      <x:c r="G228" s="47" t="n">
        <x:f>_xlfn.COUNTIFS('Connections'!$B$6:$B$590,A228,'Connections'!$D$6:$D$590,"TRUE")+_xlfn.COUNTIFS('Connections'!$C$6:$C$590,A228,'Connections'!$D$6:$D$590,"TRUE")</x:f>
        <x:v>4</x:v>
      </x:c>
      <x:c r="H228" s="48" t="s">
        <x:v>66</x:v>
      </x:c>
      <x:c r="I228" s="48" t="s">
        <x:v>67</x:v>
      </x:c>
      <x:c r="J228" s="49"/>
      <x:c r="K228" s="50"/>
      <x:c r="L228" s="51"/>
      <x:c r="M228" s="45" t="s">
        <x:v>210</x:v>
      </x:c>
      <x:c r="N228" s="52">
        <x:v>153</x:v>
      </x:c>
      <x:c r="O228" s="44"/>
    </x:row>
    <x:row r="229" ht="23" customHeight="1">
      <x:c r="A229" s="24" t="s">
        <x:v>361</x:v>
      </x:c>
      <x:c r="B229" s="53" t="s">
        <x:v>361</x:v>
      </x:c>
      <x:c r="C229" s="53" t="s">
        <x:v>209</x:v>
      </x:c>
      <x:c r="D229" s="54">
        <x:v>42.7263187661922</x:v>
      </x:c>
      <x:c r="E229" s="54">
        <x:v>-73.6756962142872</x:v>
      </x:c>
      <x:c r="F229" s="55" t="n">
        <x:f>_xlfn.COUNTIFS('Connections'!$B$6:$B$590,A229)+_xlfn.COUNTIFS('Connections'!$C$6:$C$590,A229)</x:f>
        <x:v>2</x:v>
      </x:c>
      <x:c r="G229" s="55" t="n">
        <x:f>_xlfn.COUNTIFS('Connections'!$B$6:$B$590,A229,'Connections'!$D$6:$D$590,"TRUE")+_xlfn.COUNTIFS('Connections'!$C$6:$C$590,A229,'Connections'!$D$6:$D$590,"TRUE")</x:f>
        <x:v>2</x:v>
      </x:c>
      <x:c r="H229" s="48" t="s">
        <x:v>66</x:v>
      </x:c>
      <x:c r="I229" s="48" t="s">
        <x:v>67</x:v>
      </x:c>
      <x:c r="J229" s="49"/>
      <x:c r="K229" s="50"/>
      <x:c r="L229" s="56"/>
      <x:c r="M229" s="53" t="s">
        <x:v>210</x:v>
      </x:c>
      <x:c r="N229" s="57">
        <x:v>154</x:v>
      </x:c>
      <x:c r="O229" s="44"/>
    </x:row>
    <x:row r="230" ht="23" customHeight="1">
      <x:c r="A230" s="21" t="s">
        <x:v>362</x:v>
      </x:c>
      <x:c r="B230" s="45" t="s">
        <x:v>362</x:v>
      </x:c>
      <x:c r="C230" s="45" t="s">
        <x:v>209</x:v>
      </x:c>
      <x:c r="D230" s="46">
        <x:v>42.7258049338252</x:v>
      </x:c>
      <x:c r="E230" s="46">
        <x:v>-73.6753301378381</x:v>
      </x:c>
      <x:c r="F230" s="47" t="n">
        <x:f>_xlfn.COUNTIFS('Connections'!$B$6:$B$590,A230)+_xlfn.COUNTIFS('Connections'!$C$6:$C$590,A230)</x:f>
        <x:v>2</x:v>
      </x:c>
      <x:c r="G230" s="47" t="n">
        <x:f>_xlfn.COUNTIFS('Connections'!$B$6:$B$590,A230,'Connections'!$D$6:$D$590,"TRUE")+_xlfn.COUNTIFS('Connections'!$C$6:$C$590,A230,'Connections'!$D$6:$D$590,"TRUE")</x:f>
        <x:v>2</x:v>
      </x:c>
      <x:c r="H230" s="48" t="s">
        <x:v>66</x:v>
      </x:c>
      <x:c r="I230" s="48" t="s">
        <x:v>67</x:v>
      </x:c>
      <x:c r="J230" s="49"/>
      <x:c r="K230" s="50"/>
      <x:c r="L230" s="51"/>
      <x:c r="M230" s="45" t="s">
        <x:v>210</x:v>
      </x:c>
      <x:c r="N230" s="52">
        <x:v>155</x:v>
      </x:c>
      <x:c r="O230" s="44"/>
    </x:row>
    <x:row r="231" ht="23" customHeight="1">
      <x:c r="A231" s="24" t="s">
        <x:v>363</x:v>
      </x:c>
      <x:c r="B231" s="53" t="s">
        <x:v>363</x:v>
      </x:c>
      <x:c r="C231" s="53" t="s">
        <x:v>209</x:v>
      </x:c>
      <x:c r="D231" s="54">
        <x:v>42.7251922433294</x:v>
      </x:c>
      <x:c r="E231" s="54">
        <x:v>-73.6753301378381</x:v>
      </x:c>
      <x:c r="F231" s="55" t="n">
        <x:f>_xlfn.COUNTIFS('Connections'!$B$6:$B$590,A231)+_xlfn.COUNTIFS('Connections'!$C$6:$C$590,A231)</x:f>
        <x:v>3</x:v>
      </x:c>
      <x:c r="G231" s="55" t="n">
        <x:f>_xlfn.COUNTIFS('Connections'!$B$6:$B$590,A231,'Connections'!$D$6:$D$590,"TRUE")+_xlfn.COUNTIFS('Connections'!$C$6:$C$590,A231,'Connections'!$D$6:$D$590,"TRUE")</x:f>
        <x:v>3</x:v>
      </x:c>
      <x:c r="H231" s="48" t="s">
        <x:v>66</x:v>
      </x:c>
      <x:c r="I231" s="48" t="s">
        <x:v>67</x:v>
      </x:c>
      <x:c r="J231" s="49"/>
      <x:c r="K231" s="50"/>
      <x:c r="L231" s="56"/>
      <x:c r="M231" s="53" t="s">
        <x:v>210</x:v>
      </x:c>
      <x:c r="N231" s="57">
        <x:v>156</x:v>
      </x:c>
      <x:c r="O231" s="44"/>
    </x:row>
    <x:row r="232" ht="23" customHeight="1">
      <x:c r="A232" s="21" t="s">
        <x:v>364</x:v>
      </x:c>
      <x:c r="B232" s="45" t="s">
        <x:v>364</x:v>
      </x:c>
      <x:c r="C232" s="45" t="s">
        <x:v>209</x:v>
      </x:c>
      <x:c r="D232" s="46">
        <x:v>42.7301845788326</x:v>
      </x:c>
      <x:c r="E232" s="46">
        <x:v>-73.683224656045</x:v>
      </x:c>
      <x:c r="F232" s="47" t="n">
        <x:f>_xlfn.COUNTIFS('Connections'!$B$6:$B$590,A232)+_xlfn.COUNTIFS('Connections'!$C$6:$C$590,A232)</x:f>
        <x:v>2</x:v>
      </x:c>
      <x:c r="G232" s="47" t="n">
        <x:f>_xlfn.COUNTIFS('Connections'!$B$6:$B$590,A232,'Connections'!$D$6:$D$590,"TRUE")+_xlfn.COUNTIFS('Connections'!$C$6:$C$590,A232,'Connections'!$D$6:$D$590,"TRUE")</x:f>
        <x:v>2</x:v>
      </x:c>
      <x:c r="H232" s="48" t="s">
        <x:v>66</x:v>
      </x:c>
      <x:c r="I232" s="48" t="s">
        <x:v>67</x:v>
      </x:c>
      <x:c r="J232" s="49"/>
      <x:c r="K232" s="50"/>
      <x:c r="L232" s="51"/>
      <x:c r="M232" s="45" t="s">
        <x:v>210</x:v>
      </x:c>
      <x:c r="N232" s="52">
        <x:v>157</x:v>
      </x:c>
      <x:c r="O232" s="44"/>
    </x:row>
    <x:row r="233" ht="23" customHeight="1">
      <x:c r="A233" s="24" t="s">
        <x:v>365</x:v>
      </x:c>
      <x:c r="B233" s="53" t="s">
        <x:v>365</x:v>
      </x:c>
      <x:c r="C233" s="53" t="s">
        <x:v>209</x:v>
      </x:c>
      <x:c r="D233" s="54">
        <x:v>42.730178831267</x:v>
      </x:c>
      <x:c r="E233" s="54">
        <x:v>-73.6835079673839</x:v>
      </x:c>
      <x:c r="F233" s="55" t="n">
        <x:f>_xlfn.COUNTIFS('Connections'!$B$6:$B$590,A233)+_xlfn.COUNTIFS('Connections'!$C$6:$C$590,A233)</x:f>
        <x:v>2</x:v>
      </x:c>
      <x:c r="G233" s="55" t="n">
        <x:f>_xlfn.COUNTIFS('Connections'!$B$6:$B$590,A233,'Connections'!$D$6:$D$590,"TRUE")+_xlfn.COUNTIFS('Connections'!$C$6:$C$590,A233,'Connections'!$D$6:$D$590,"TRUE")</x:f>
        <x:v>2</x:v>
      </x:c>
      <x:c r="H233" s="48" t="s">
        <x:v>66</x:v>
      </x:c>
      <x:c r="I233" s="48" t="s">
        <x:v>67</x:v>
      </x:c>
      <x:c r="J233" s="49"/>
      <x:c r="K233" s="50"/>
      <x:c r="L233" s="56"/>
      <x:c r="M233" s="53" t="s">
        <x:v>210</x:v>
      </x:c>
      <x:c r="N233" s="57">
        <x:v>158</x:v>
      </x:c>
      <x:c r="O233" s="44"/>
    </x:row>
    <x:row r="234" ht="23" customHeight="1">
      <x:c r="A234" s="21" t="s">
        <x:v>366</x:v>
      </x:c>
      <x:c r="B234" s="45" t="s">
        <x:v>366</x:v>
      </x:c>
      <x:c r="C234" s="45" t="s">
        <x:v>209</x:v>
      </x:c>
      <x:c r="D234" s="46">
        <x:v>42.7305524230327</x:v>
      </x:c>
      <x:c r="E234" s="46">
        <x:v>-73.68359709904099</x:v>
      </x:c>
      <x:c r="F234" s="47" t="n">
        <x:f>_xlfn.COUNTIFS('Connections'!$B$6:$B$590,A234)+_xlfn.COUNTIFS('Connections'!$C$6:$C$590,A234)</x:f>
        <x:v>2</x:v>
      </x:c>
      <x:c r="G234" s="47" t="n">
        <x:f>_xlfn.COUNTIFS('Connections'!$B$6:$B$590,A234,'Connections'!$D$6:$D$590,"TRUE")+_xlfn.COUNTIFS('Connections'!$C$6:$C$590,A234,'Connections'!$D$6:$D$590,"TRUE")</x:f>
        <x:v>2</x:v>
      </x:c>
      <x:c r="H234" s="48" t="s">
        <x:v>66</x:v>
      </x:c>
      <x:c r="I234" s="48" t="s">
        <x:v>67</x:v>
      </x:c>
      <x:c r="J234" s="49"/>
      <x:c r="K234" s="50"/>
      <x:c r="L234" s="51"/>
      <x:c r="M234" s="45" t="s">
        <x:v>210</x:v>
      </x:c>
      <x:c r="N234" s="52">
        <x:v>159</x:v>
      </x:c>
      <x:c r="O234" s="44"/>
    </x:row>
    <x:row r="235" ht="23" customHeight="1">
      <x:c r="A235" s="24" t="s">
        <x:v>367</x:v>
      </x:c>
      <x:c r="B235" s="53" t="s">
        <x:v>367</x:v>
      </x:c>
      <x:c r="C235" s="53" t="s">
        <x:v>209</x:v>
      </x:c>
      <x:c r="D235" s="54">
        <x:v>42.7308076149466</x:v>
      </x:c>
      <x:c r="E235" s="54">
        <x:v>-73.6834395270043</x:v>
      </x:c>
      <x:c r="F235" s="55" t="n">
        <x:f>_xlfn.COUNTIFS('Connections'!$B$6:$B$590,A235)+_xlfn.COUNTIFS('Connections'!$C$6:$C$590,A235)</x:f>
        <x:v>3</x:v>
      </x:c>
      <x:c r="G235" s="55" t="n">
        <x:f>_xlfn.COUNTIFS('Connections'!$B$6:$B$590,A235,'Connections'!$D$6:$D$590,"TRUE")+_xlfn.COUNTIFS('Connections'!$C$6:$C$590,A235,'Connections'!$D$6:$D$590,"TRUE")</x:f>
        <x:v>3</x:v>
      </x:c>
      <x:c r="H235" s="48" t="s">
        <x:v>66</x:v>
      </x:c>
      <x:c r="I235" s="48" t="s">
        <x:v>67</x:v>
      </x:c>
      <x:c r="J235" s="49"/>
      <x:c r="K235" s="50"/>
      <x:c r="L235" s="56"/>
      <x:c r="M235" s="53" t="s">
        <x:v>210</x:v>
      </x:c>
      <x:c r="N235" s="57">
        <x:v>160</x:v>
      </x:c>
      <x:c r="O235" s="44"/>
    </x:row>
    <x:row r="236" ht="23" customHeight="1">
      <x:c r="A236" s="21" t="s">
        <x:v>368</x:v>
      </x:c>
      <x:c r="B236" s="45" t="s">
        <x:v>368</x:v>
      </x:c>
      <x:c r="C236" s="45" t="s">
        <x:v>209</x:v>
      </x:c>
      <x:c r="D236" s="46">
        <x:v>42.7308949779441</x:v>
      </x:c>
      <x:c r="E236" s="46">
        <x:v>-73.6836225652288</x:v>
      </x:c>
      <x:c r="F236" s="47" t="n">
        <x:f>_xlfn.COUNTIFS('Connections'!$B$6:$B$590,A236)+_xlfn.COUNTIFS('Connections'!$C$6:$C$590,A236)</x:f>
        <x:v>3</x:v>
      </x:c>
      <x:c r="G236" s="47" t="n">
        <x:f>_xlfn.COUNTIFS('Connections'!$B$6:$B$590,A236,'Connections'!$D$6:$D$590,"TRUE")+_xlfn.COUNTIFS('Connections'!$C$6:$C$590,A236,'Connections'!$D$6:$D$590,"TRUE")</x:f>
        <x:v>3</x:v>
      </x:c>
      <x:c r="H236" s="48" t="s">
        <x:v>66</x:v>
      </x:c>
      <x:c r="I236" s="48" t="s">
        <x:v>67</x:v>
      </x:c>
      <x:c r="J236" s="49"/>
      <x:c r="K236" s="50"/>
      <x:c r="L236" s="51"/>
      <x:c r="M236" s="45" t="s">
        <x:v>210</x:v>
      </x:c>
      <x:c r="N236" s="52">
        <x:v>161</x:v>
      </x:c>
      <x:c r="O236" s="44"/>
    </x:row>
    <x:row r="237" ht="23" customHeight="1">
      <x:c r="A237" s="24" t="s">
        <x:v>369</x:v>
      </x:c>
      <x:c r="B237" s="53" t="s">
        <x:v>369</x:v>
      </x:c>
      <x:c r="C237" s="53" t="s">
        <x:v>209</x:v>
      </x:c>
      <x:c r="D237" s="54">
        <x:v>42.7302512505939</x:v>
      </x:c>
      <x:c r="E237" s="54">
        <x:v>-73.68438973413519</x:v>
      </x:c>
      <x:c r="F237" s="55" t="n">
        <x:f>_xlfn.COUNTIFS('Connections'!$B$6:$B$590,A237)+_xlfn.COUNTIFS('Connections'!$C$6:$C$590,A237)</x:f>
        <x:v>3</x:v>
      </x:c>
      <x:c r="G237" s="55" t="n">
        <x:f>_xlfn.COUNTIFS('Connections'!$B$6:$B$590,A237,'Connections'!$D$6:$D$590,"TRUE")+_xlfn.COUNTIFS('Connections'!$C$6:$C$590,A237,'Connections'!$D$6:$D$590,"TRUE")</x:f>
        <x:v>3</x:v>
      </x:c>
      <x:c r="H237" s="48" t="s">
        <x:v>66</x:v>
      </x:c>
      <x:c r="I237" s="48" t="s">
        <x:v>67</x:v>
      </x:c>
      <x:c r="J237" s="49"/>
      <x:c r="K237" s="50"/>
      <x:c r="L237" s="56"/>
      <x:c r="M237" s="53" t="s">
        <x:v>210</x:v>
      </x:c>
      <x:c r="N237" s="57">
        <x:v>162</x:v>
      </x:c>
      <x:c r="O237" s="44"/>
    </x:row>
    <x:row r="238" ht="23" customHeight="1">
      <x:c r="A238" s="21" t="s">
        <x:v>370</x:v>
      </x:c>
      <x:c r="B238" s="45" t="s">
        <x:v>370</x:v>
      </x:c>
      <x:c r="C238" s="45" t="s">
        <x:v>209</x:v>
      </x:c>
      <x:c r="D238" s="46">
        <x:v>42.7297132784513</x:v>
      </x:c>
      <x:c r="E238" s="46">
        <x:v>-73.68452502325771</x:v>
      </x:c>
      <x:c r="F238" s="47" t="n">
        <x:f>_xlfn.COUNTIFS('Connections'!$B$6:$B$590,A238)+_xlfn.COUNTIFS('Connections'!$C$6:$C$590,A238)</x:f>
        <x:v>3</x:v>
      </x:c>
      <x:c r="G238" s="47" t="n">
        <x:f>_xlfn.COUNTIFS('Connections'!$B$6:$B$590,A238,'Connections'!$D$6:$D$590,"TRUE")+_xlfn.COUNTIFS('Connections'!$C$6:$C$590,A238,'Connections'!$D$6:$D$590,"TRUE")</x:f>
        <x:v>3</x:v>
      </x:c>
      <x:c r="H238" s="48" t="s">
        <x:v>66</x:v>
      </x:c>
      <x:c r="I238" s="48" t="s">
        <x:v>67</x:v>
      </x:c>
      <x:c r="J238" s="49"/>
      <x:c r="K238" s="50"/>
      <x:c r="L238" s="51"/>
      <x:c r="M238" s="45" t="s">
        <x:v>210</x:v>
      </x:c>
      <x:c r="N238" s="52">
        <x:v>163</x:v>
      </x:c>
      <x:c r="O238" s="44"/>
    </x:row>
    <x:row r="239" ht="23" customHeight="1">
      <x:c r="A239" s="24" t="s">
        <x:v>371</x:v>
      </x:c>
      <x:c r="B239" s="53" t="s">
        <x:v>371</x:v>
      </x:c>
      <x:c r="C239" s="53" t="s">
        <x:v>209</x:v>
      </x:c>
      <x:c r="D239" s="54">
        <x:v>42.7294718806949</x:v>
      </x:c>
      <x:c r="E239" s="54">
        <x:v>-73.68440246722911</x:v>
      </x:c>
      <x:c r="F239" s="55" t="n">
        <x:f>_xlfn.COUNTIFS('Connections'!$B$6:$B$590,A239)+_xlfn.COUNTIFS('Connections'!$C$6:$C$590,A239)</x:f>
        <x:v>2</x:v>
      </x:c>
      <x:c r="G239" s="55" t="n">
        <x:f>_xlfn.COUNTIFS('Connections'!$B$6:$B$590,A239,'Connections'!$D$6:$D$590,"TRUE")+_xlfn.COUNTIFS('Connections'!$C$6:$C$590,A239,'Connections'!$D$6:$D$590,"TRUE")</x:f>
        <x:v>2</x:v>
      </x:c>
      <x:c r="H239" s="48" t="s">
        <x:v>66</x:v>
      </x:c>
      <x:c r="I239" s="48" t="s">
        <x:v>67</x:v>
      </x:c>
      <x:c r="J239" s="49"/>
      <x:c r="K239" s="50"/>
      <x:c r="L239" s="56"/>
      <x:c r="M239" s="53" t="s">
        <x:v>210</x:v>
      </x:c>
      <x:c r="N239" s="57">
        <x:v>164</x:v>
      </x:c>
      <x:c r="O239" s="44"/>
    </x:row>
    <x:row r="240" ht="23" customHeight="1">
      <x:c r="A240" s="21" t="s">
        <x:v>372</x:v>
      </x:c>
      <x:c r="B240" s="45" t="s">
        <x:v>372</x:v>
      </x:c>
      <x:c r="C240" s="45" t="s">
        <x:v>209</x:v>
      </x:c>
      <x:c r="D240" s="46">
        <x:v>42.7291822033874</x:v>
      </x:c>
      <x:c r="E240" s="46">
        <x:v>-73.6844979654332</x:v>
      </x:c>
      <x:c r="F240" s="47" t="n">
        <x:f>_xlfn.COUNTIFS('Connections'!$B$6:$B$590,A240)+_xlfn.COUNTIFS('Connections'!$C$6:$C$590,A240)</x:f>
        <x:v>2</x:v>
      </x:c>
      <x:c r="G240" s="47" t="n">
        <x:f>_xlfn.COUNTIFS('Connections'!$B$6:$B$590,A240,'Connections'!$D$6:$D$590,"TRUE")+_xlfn.COUNTIFS('Connections'!$C$6:$C$590,A240,'Connections'!$D$6:$D$590,"TRUE")</x:f>
        <x:v>2</x:v>
      </x:c>
      <x:c r="H240" s="48" t="s">
        <x:v>66</x:v>
      </x:c>
      <x:c r="I240" s="48" t="s">
        <x:v>67</x:v>
      </x:c>
      <x:c r="J240" s="49"/>
      <x:c r="K240" s="50"/>
      <x:c r="L240" s="51"/>
      <x:c r="M240" s="45" t="s">
        <x:v>210</x:v>
      </x:c>
      <x:c r="N240" s="52">
        <x:v>165</x:v>
      </x:c>
      <x:c r="O240" s="44"/>
    </x:row>
    <x:row r="241" ht="23" customHeight="1">
      <x:c r="A241" s="24" t="s">
        <x:v>373</x:v>
      </x:c>
      <x:c r="B241" s="53" t="s">
        <x:v>373</x:v>
      </x:c>
      <x:c r="C241" s="53" t="s">
        <x:v>209</x:v>
      </x:c>
      <x:c r="D241" s="54">
        <x:v>42.7290270191155</x:v>
      </x:c>
      <x:c r="E241" s="54">
        <x:v>-73.6845886887271</x:v>
      </x:c>
      <x:c r="F241" s="55" t="n">
        <x:f>_xlfn.COUNTIFS('Connections'!$B$6:$B$590,A241)+_xlfn.COUNTIFS('Connections'!$C$6:$C$590,A241)</x:f>
        <x:v>2</x:v>
      </x:c>
      <x:c r="G241" s="55" t="n">
        <x:f>_xlfn.COUNTIFS('Connections'!$B$6:$B$590,A241,'Connections'!$D$6:$D$590,"TRUE")+_xlfn.COUNTIFS('Connections'!$C$6:$C$590,A241,'Connections'!$D$6:$D$590,"TRUE")</x:f>
        <x:v>2</x:v>
      </x:c>
      <x:c r="H241" s="48" t="s">
        <x:v>66</x:v>
      </x:c>
      <x:c r="I241" s="48" t="s">
        <x:v>67</x:v>
      </x:c>
      <x:c r="J241" s="49"/>
      <x:c r="K241" s="50"/>
      <x:c r="L241" s="56"/>
      <x:c r="M241" s="53" t="s">
        <x:v>210</x:v>
      </x:c>
      <x:c r="N241" s="57">
        <x:v>166</x:v>
      </x:c>
      <x:c r="O241" s="44"/>
    </x:row>
    <x:row r="242" ht="23" customHeight="1">
      <x:c r="A242" s="21" t="s">
        <x:v>374</x:v>
      </x:c>
      <x:c r="B242" s="45" t="s">
        <x:v>374</x:v>
      </x:c>
      <x:c r="C242" s="45" t="s">
        <x:v>209</x:v>
      </x:c>
      <x:c r="D242" s="46">
        <x:v>42.7289936832348</x:v>
      </x:c>
      <x:c r="E242" s="46">
        <x:v>-73.6847367109435</x:v>
      </x:c>
      <x:c r="F242" s="47" t="n">
        <x:f>_xlfn.COUNTIFS('Connections'!$B$6:$B$590,A242)+_xlfn.COUNTIFS('Connections'!$C$6:$C$590,A242)</x:f>
        <x:v>3</x:v>
      </x:c>
      <x:c r="G242" s="47" t="n">
        <x:f>_xlfn.COUNTIFS('Connections'!$B$6:$B$590,A242,'Connections'!$D$6:$D$590,"TRUE")+_xlfn.COUNTIFS('Connections'!$C$6:$C$590,A242,'Connections'!$D$6:$D$590,"TRUE")</x:f>
        <x:v>3</x:v>
      </x:c>
      <x:c r="H242" s="48" t="s">
        <x:v>66</x:v>
      </x:c>
      <x:c r="I242" s="48" t="s">
        <x:v>67</x:v>
      </x:c>
      <x:c r="J242" s="49"/>
      <x:c r="K242" s="50"/>
      <x:c r="L242" s="51"/>
      <x:c r="M242" s="45" t="s">
        <x:v>210</x:v>
      </x:c>
      <x:c r="N242" s="52">
        <x:v>167</x:v>
      </x:c>
      <x:c r="O242" s="44"/>
    </x:row>
    <x:row r="243" ht="23" customHeight="1">
      <x:c r="A243" s="24" t="s">
        <x:v>375</x:v>
      </x:c>
      <x:c r="B243" s="53" t="s">
        <x:v>375</x:v>
      </x:c>
      <x:c r="C243" s="53" t="s">
        <x:v>209</x:v>
      </x:c>
      <x:c r="D243" s="54">
        <x:v>42.7285373265241</x:v>
      </x:c>
      <x:c r="E243" s="54">
        <x:v>-73.6848529004252</x:v>
      </x:c>
      <x:c r="F243" s="55" t="n">
        <x:f>_xlfn.COUNTIFS('Connections'!$B$6:$B$590,A243)+_xlfn.COUNTIFS('Connections'!$C$6:$C$590,A243)</x:f>
        <x:v>3</x:v>
      </x:c>
      <x:c r="G243" s="55" t="n">
        <x:f>_xlfn.COUNTIFS('Connections'!$B$6:$B$590,A243,'Connections'!$D$6:$D$590,"TRUE")+_xlfn.COUNTIFS('Connections'!$C$6:$C$590,A243,'Connections'!$D$6:$D$590,"TRUE")</x:f>
        <x:v>3</x:v>
      </x:c>
      <x:c r="H243" s="48" t="s">
        <x:v>66</x:v>
      </x:c>
      <x:c r="I243" s="48" t="s">
        <x:v>67</x:v>
      </x:c>
      <x:c r="J243" s="49"/>
      <x:c r="K243" s="50"/>
      <x:c r="L243" s="56"/>
      <x:c r="M243" s="53" t="s">
        <x:v>210</x:v>
      </x:c>
      <x:c r="N243" s="57">
        <x:v>168</x:v>
      </x:c>
      <x:c r="O243" s="44"/>
    </x:row>
    <x:row r="244" ht="23" customHeight="1">
      <x:c r="A244" s="21" t="s">
        <x:v>376</x:v>
      </x:c>
      <x:c r="B244" s="45" t="s">
        <x:v>376</x:v>
      </x:c>
      <x:c r="C244" s="45" t="s">
        <x:v>209</x:v>
      </x:c>
      <x:c r="D244" s="46">
        <x:v>42.7284832994072</x:v>
      </x:c>
      <x:c r="E244" s="46">
        <x:v>-73.6846141549149</x:v>
      </x:c>
      <x:c r="F244" s="47" t="n">
        <x:f>_xlfn.COUNTIFS('Connections'!$B$6:$B$590,A244)+_xlfn.COUNTIFS('Connections'!$C$6:$C$590,A244)</x:f>
        <x:v>2</x:v>
      </x:c>
      <x:c r="G244" s="47" t="n">
        <x:f>_xlfn.COUNTIFS('Connections'!$B$6:$B$590,A244,'Connections'!$D$6:$D$590,"TRUE")+_xlfn.COUNTIFS('Connections'!$C$6:$C$590,A244,'Connections'!$D$6:$D$590,"TRUE")</x:f>
        <x:v>2</x:v>
      </x:c>
      <x:c r="H244" s="48" t="s">
        <x:v>66</x:v>
      </x:c>
      <x:c r="I244" s="48" t="s">
        <x:v>67</x:v>
      </x:c>
      <x:c r="J244" s="49"/>
      <x:c r="K244" s="50"/>
      <x:c r="L244" s="51"/>
      <x:c r="M244" s="45" t="s">
        <x:v>210</x:v>
      </x:c>
      <x:c r="N244" s="52">
        <x:v>169</x:v>
      </x:c>
      <x:c r="O244" s="44"/>
    </x:row>
    <x:row r="245" ht="23" customHeight="1">
      <x:c r="A245" s="24" t="s">
        <x:v>377</x:v>
      </x:c>
      <x:c r="B245" s="53" t="s">
        <x:v>377</x:v>
      </x:c>
      <x:c r="C245" s="53" t="s">
        <x:v>209</x:v>
      </x:c>
      <x:c r="D245" s="54">
        <x:v>42.7287246971635</x:v>
      </x:c>
      <x:c r="E245" s="54">
        <x:v>-73.6844661326985</x:v>
      </x:c>
      <x:c r="F245" s="55" t="n">
        <x:f>_xlfn.COUNTIFS('Connections'!$B$6:$B$590,A245)+_xlfn.COUNTIFS('Connections'!$C$6:$C$590,A245)</x:f>
        <x:v>2</x:v>
      </x:c>
      <x:c r="G245" s="55" t="n">
        <x:f>_xlfn.COUNTIFS('Connections'!$B$6:$B$590,A245,'Connections'!$D$6:$D$590,"TRUE")+_xlfn.COUNTIFS('Connections'!$C$6:$C$590,A245,'Connections'!$D$6:$D$590,"TRUE")</x:f>
        <x:v>2</x:v>
      </x:c>
      <x:c r="H245" s="48" t="s">
        <x:v>66</x:v>
      </x:c>
      <x:c r="I245" s="48" t="s">
        <x:v>67</x:v>
      </x:c>
      <x:c r="J245" s="49"/>
      <x:c r="K245" s="50"/>
      <x:c r="L245" s="56"/>
      <x:c r="M245" s="53" t="s">
        <x:v>210</x:v>
      </x:c>
      <x:c r="N245" s="57">
        <x:v>170</x:v>
      </x:c>
      <x:c r="O245" s="44"/>
    </x:row>
    <x:row r="246" ht="23" customHeight="1">
      <x:c r="A246" s="21" t="s">
        <x:v>378</x:v>
      </x:c>
      <x:c r="B246" s="45" t="s">
        <x:v>378</x:v>
      </x:c>
      <x:c r="C246" s="45" t="s">
        <x:v>209</x:v>
      </x:c>
      <x:c r="D246" s="46">
        <x:v>42.7300638799545</x:v>
      </x:c>
      <x:c r="E246" s="46">
        <x:v>-73.6828076472204</x:v>
      </x:c>
      <x:c r="F246" s="47" t="n">
        <x:f>_xlfn.COUNTIFS('Connections'!$B$6:$B$590,A246)+_xlfn.COUNTIFS('Connections'!$C$6:$C$590,A246)</x:f>
        <x:v>2</x:v>
      </x:c>
      <x:c r="G246" s="47" t="n">
        <x:f>_xlfn.COUNTIFS('Connections'!$B$6:$B$590,A246,'Connections'!$D$6:$D$590,"TRUE")+_xlfn.COUNTIFS('Connections'!$C$6:$C$590,A246,'Connections'!$D$6:$D$590,"TRUE")</x:f>
        <x:v>2</x:v>
      </x:c>
      <x:c r="H246" s="48" t="s">
        <x:v>66</x:v>
      </x:c>
      <x:c r="I246" s="48" t="s">
        <x:v>67</x:v>
      </x:c>
      <x:c r="J246" s="49"/>
      <x:c r="K246" s="50"/>
      <x:c r="L246" s="51"/>
      <x:c r="M246" s="45" t="s">
        <x:v>210</x:v>
      </x:c>
      <x:c r="N246" s="52">
        <x:v>171</x:v>
      </x:c>
      <x:c r="O246" s="44"/>
    </x:row>
    <x:row r="247" ht="23" customHeight="1">
      <x:c r="A247" s="24" t="s">
        <x:v>379</x:v>
      </x:c>
      <x:c r="B247" s="53" t="s">
        <x:v>379</x:v>
      </x:c>
      <x:c r="C247" s="53" t="s">
        <x:v>209</x:v>
      </x:c>
      <x:c r="D247" s="54">
        <x:v>42.7298282297638</x:v>
      </x:c>
      <x:c r="E247" s="54">
        <x:v>-73.68278218103259</x:v>
      </x:c>
      <x:c r="F247" s="55" t="n">
        <x:f>_xlfn.COUNTIFS('Connections'!$B$6:$B$590,A247)+_xlfn.COUNTIFS('Connections'!$C$6:$C$590,A247)</x:f>
        <x:v>3</x:v>
      </x:c>
      <x:c r="G247" s="55" t="n">
        <x:f>_xlfn.COUNTIFS('Connections'!$B$6:$B$590,A247,'Connections'!$D$6:$D$590,"TRUE")+_xlfn.COUNTIFS('Connections'!$C$6:$C$590,A247,'Connections'!$D$6:$D$590,"TRUE")</x:f>
        <x:v>3</x:v>
      </x:c>
      <x:c r="H247" s="48" t="s">
        <x:v>66</x:v>
      </x:c>
      <x:c r="I247" s="48" t="s">
        <x:v>67</x:v>
      </x:c>
      <x:c r="J247" s="49"/>
      <x:c r="K247" s="50"/>
      <x:c r="L247" s="56"/>
      <x:c r="M247" s="53" t="s">
        <x:v>210</x:v>
      </x:c>
      <x:c r="N247" s="57">
        <x:v>172</x:v>
      </x:c>
      <x:c r="O247" s="44"/>
    </x:row>
    <x:row r="248" ht="23" customHeight="1">
      <x:c r="A248" s="21" t="s">
        <x:v>380</x:v>
      </x:c>
      <x:c r="B248" s="45" t="s">
        <x:v>380</x:v>
      </x:c>
      <x:c r="C248" s="45" t="s">
        <x:v>209</x:v>
      </x:c>
      <x:c r="D248" s="46">
        <x:v>42.729985713062</x:v>
      </x:c>
      <x:c r="E248" s="46">
        <x:v>-73.68231423983239</x:v>
      </x:c>
      <x:c r="F248" s="47" t="n">
        <x:f>_xlfn.COUNTIFS('Connections'!$B$6:$B$590,A248)+_xlfn.COUNTIFS('Connections'!$C$6:$C$590,A248)</x:f>
        <x:v>2</x:v>
      </x:c>
      <x:c r="G248" s="47" t="n">
        <x:f>_xlfn.COUNTIFS('Connections'!$B$6:$B$590,A248,'Connections'!$D$6:$D$590,"TRUE")+_xlfn.COUNTIFS('Connections'!$C$6:$C$590,A248,'Connections'!$D$6:$D$590,"TRUE")</x:f>
        <x:v>2</x:v>
      </x:c>
      <x:c r="H248" s="48" t="s">
        <x:v>66</x:v>
      </x:c>
      <x:c r="I248" s="48" t="s">
        <x:v>67</x:v>
      </x:c>
      <x:c r="J248" s="49"/>
      <x:c r="K248" s="50"/>
      <x:c r="L248" s="51"/>
      <x:c r="M248" s="45" t="s">
        <x:v>210</x:v>
      </x:c>
      <x:c r="N248" s="52">
        <x:v>173</x:v>
      </x:c>
      <x:c r="O248" s="44"/>
    </x:row>
    <x:row r="249" ht="23" customHeight="1">
      <x:c r="A249" s="24" t="s">
        <x:v>381</x:v>
      </x:c>
      <x:c r="B249" s="53" t="s">
        <x:v>381</x:v>
      </x:c>
      <x:c r="C249" s="53" t="s">
        <x:v>209</x:v>
      </x:c>
      <x:c r="D249" s="54">
        <x:v>42.729692587215</x:v>
      </x:c>
      <x:c r="E249" s="54">
        <x:v>-73.682977952351</x:v>
      </x:c>
      <x:c r="F249" s="55" t="n">
        <x:f>_xlfn.COUNTIFS('Connections'!$B$6:$B$590,A249)+_xlfn.COUNTIFS('Connections'!$C$6:$C$590,A249)</x:f>
        <x:v>2</x:v>
      </x:c>
      <x:c r="G249" s="55" t="n">
        <x:f>_xlfn.COUNTIFS('Connections'!$B$6:$B$590,A249,'Connections'!$D$6:$D$590,"TRUE")+_xlfn.COUNTIFS('Connections'!$C$6:$C$590,A249,'Connections'!$D$6:$D$590,"TRUE")</x:f>
        <x:v>2</x:v>
      </x:c>
      <x:c r="H249" s="48" t="s">
        <x:v>66</x:v>
      </x:c>
      <x:c r="I249" s="48" t="s">
        <x:v>67</x:v>
      </x:c>
      <x:c r="J249" s="49"/>
      <x:c r="K249" s="50"/>
      <x:c r="L249" s="56"/>
      <x:c r="M249" s="53" t="s">
        <x:v>210</x:v>
      </x:c>
      <x:c r="N249" s="57">
        <x:v>174</x:v>
      </x:c>
      <x:c r="O249" s="44"/>
    </x:row>
    <x:row r="250" ht="23" customHeight="1">
      <x:c r="A250" s="21" t="s">
        <x:v>382</x:v>
      </x:c>
      <x:c r="B250" s="45" t="s">
        <x:v>382</x:v>
      </x:c>
      <x:c r="C250" s="45" t="s">
        <x:v>209</x:v>
      </x:c>
      <x:c r="D250" s="46">
        <x:v>42.7294190030912</x:v>
      </x:c>
      <x:c r="E250" s="46">
        <x:v>-73.68305594255099</x:v>
      </x:c>
      <x:c r="F250" s="47" t="n">
        <x:f>_xlfn.COUNTIFS('Connections'!$B$6:$B$590,A250)+_xlfn.COUNTIFS('Connections'!$C$6:$C$590,A250)</x:f>
        <x:v>3</x:v>
      </x:c>
      <x:c r="G250" s="47" t="n">
        <x:f>_xlfn.COUNTIFS('Connections'!$B$6:$B$590,A250,'Connections'!$D$6:$D$590,"TRUE")+_xlfn.COUNTIFS('Connections'!$C$6:$C$590,A250,'Connections'!$D$6:$D$590,"TRUE")</x:f>
        <x:v>3</x:v>
      </x:c>
      <x:c r="H250" s="48" t="s">
        <x:v>66</x:v>
      </x:c>
      <x:c r="I250" s="48" t="s">
        <x:v>67</x:v>
      </x:c>
      <x:c r="J250" s="49"/>
      <x:c r="K250" s="50"/>
      <x:c r="L250" s="51"/>
      <x:c r="M250" s="45" t="s">
        <x:v>210</x:v>
      </x:c>
      <x:c r="N250" s="52">
        <x:v>175</x:v>
      </x:c>
      <x:c r="O250" s="44"/>
    </x:row>
    <x:row r="251" ht="23" customHeight="1">
      <x:c r="A251" s="24" t="s">
        <x:v>383</x:v>
      </x:c>
      <x:c r="B251" s="53" t="s">
        <x:v>383</x:v>
      </x:c>
      <x:c r="C251" s="53" t="s">
        <x:v>209</x:v>
      </x:c>
      <x:c r="D251" s="54">
        <x:v>42.7292074926761</x:v>
      </x:c>
      <x:c r="E251" s="54">
        <x:v>-73.6831021000164</x:v>
      </x:c>
      <x:c r="F251" s="55" t="n">
        <x:f>_xlfn.COUNTIFS('Connections'!$B$6:$B$590,A251)+_xlfn.COUNTIFS('Connections'!$C$6:$C$590,A251)</x:f>
        <x:v>2</x:v>
      </x:c>
      <x:c r="G251" s="55" t="n">
        <x:f>_xlfn.COUNTIFS('Connections'!$B$6:$B$590,A251,'Connections'!$D$6:$D$590,"TRUE")+_xlfn.COUNTIFS('Connections'!$C$6:$C$590,A251,'Connections'!$D$6:$D$590,"TRUE")</x:f>
        <x:v>2</x:v>
      </x:c>
      <x:c r="H251" s="48" t="s">
        <x:v>66</x:v>
      </x:c>
      <x:c r="I251" s="48" t="s">
        <x:v>67</x:v>
      </x:c>
      <x:c r="J251" s="49"/>
      <x:c r="K251" s="50"/>
      <x:c r="L251" s="56"/>
      <x:c r="M251" s="53" t="s">
        <x:v>210</x:v>
      </x:c>
      <x:c r="N251" s="57">
        <x:v>176</x:v>
      </x:c>
      <x:c r="O251" s="44"/>
    </x:row>
    <x:row r="252" ht="23" customHeight="1">
      <x:c r="A252" s="21" t="s">
        <x:v>384</x:v>
      </x:c>
      <x:c r="B252" s="45" t="s">
        <x:v>384</x:v>
      </x:c>
      <x:c r="C252" s="45" t="s">
        <x:v>209</x:v>
      </x:c>
      <x:c r="D252" s="46">
        <x:v>42.7288051630823</x:v>
      </x:c>
      <x:c r="E252" s="46">
        <x:v>-73.6831227912939</x:v>
      </x:c>
      <x:c r="F252" s="47" t="n">
        <x:f>_xlfn.COUNTIFS('Connections'!$B$6:$B$590,A252)+_xlfn.COUNTIFS('Connections'!$C$6:$C$590,A252)</x:f>
        <x:v>3</x:v>
      </x:c>
      <x:c r="G252" s="47" t="n">
        <x:f>_xlfn.COUNTIFS('Connections'!$B$6:$B$590,A252,'Connections'!$D$6:$D$590,"TRUE")+_xlfn.COUNTIFS('Connections'!$C$6:$C$590,A252,'Connections'!$D$6:$D$590,"TRUE")</x:f>
        <x:v>3</x:v>
      </x:c>
      <x:c r="H252" s="48" t="s">
        <x:v>66</x:v>
      </x:c>
      <x:c r="I252" s="48" t="s">
        <x:v>67</x:v>
      </x:c>
      <x:c r="J252" s="49"/>
      <x:c r="K252" s="50"/>
      <x:c r="L252" s="51"/>
      <x:c r="M252" s="45" t="s">
        <x:v>210</x:v>
      </x:c>
      <x:c r="N252" s="52">
        <x:v>177</x:v>
      </x:c>
      <x:c r="O252" s="44"/>
    </x:row>
    <x:row r="253" ht="23" customHeight="1">
      <x:c r="A253" s="24" t="s">
        <x:v>385</x:v>
      </x:c>
      <x:c r="B253" s="53" t="s">
        <x:v>385</x:v>
      </x:c>
      <x:c r="C253" s="53" t="s">
        <x:v>209</x:v>
      </x:c>
      <x:c r="D253" s="54">
        <x:v>42.7291649606905</x:v>
      </x:c>
      <x:c r="E253" s="54">
        <x:v>-73.68228559037119</x:v>
      </x:c>
      <x:c r="F253" s="55" t="n">
        <x:f>_xlfn.COUNTIFS('Connections'!$B$6:$B$590,A253)+_xlfn.COUNTIFS('Connections'!$C$6:$C$590,A253)</x:f>
        <x:v>2</x:v>
      </x:c>
      <x:c r="G253" s="55" t="n">
        <x:f>_xlfn.COUNTIFS('Connections'!$B$6:$B$590,A253,'Connections'!$D$6:$D$590,"TRUE")+_xlfn.COUNTIFS('Connections'!$C$6:$C$590,A253,'Connections'!$D$6:$D$590,"TRUE")</x:f>
        <x:v>2</x:v>
      </x:c>
      <x:c r="H253" s="48" t="s">
        <x:v>66</x:v>
      </x:c>
      <x:c r="I253" s="48" t="s">
        <x:v>67</x:v>
      </x:c>
      <x:c r="J253" s="49"/>
      <x:c r="K253" s="50"/>
      <x:c r="L253" s="56"/>
      <x:c r="M253" s="53" t="s">
        <x:v>210</x:v>
      </x:c>
      <x:c r="N253" s="57">
        <x:v>178</x:v>
      </x:c>
      <x:c r="O253" s="44"/>
    </x:row>
    <x:row r="254" ht="23" customHeight="1">
      <x:c r="A254" s="21" t="s">
        <x:v>386</x:v>
      </x:c>
      <x:c r="B254" s="45" t="s">
        <x:v>386</x:v>
      </x:c>
      <x:c r="C254" s="45" t="s">
        <x:v>209</x:v>
      </x:c>
      <x:c r="D254" s="46">
        <x:v>42.728591353641</x:v>
      </x:c>
      <x:c r="E254" s="46">
        <x:v>-73.6832771800573</x:v>
      </x:c>
      <x:c r="F254" s="47" t="n">
        <x:f>_xlfn.COUNTIFS('Connections'!$B$6:$B$590,A254)+_xlfn.COUNTIFS('Connections'!$C$6:$C$590,A254)</x:f>
        <x:v>2</x:v>
      </x:c>
      <x:c r="G254" s="47" t="n">
        <x:f>_xlfn.COUNTIFS('Connections'!$B$6:$B$590,A254,'Connections'!$D$6:$D$590,"TRUE")+_xlfn.COUNTIFS('Connections'!$C$6:$C$590,A254,'Connections'!$D$6:$D$590,"TRUE")</x:f>
        <x:v>2</x:v>
      </x:c>
      <x:c r="H254" s="48" t="s">
        <x:v>66</x:v>
      </x:c>
      <x:c r="I254" s="48" t="s">
        <x:v>67</x:v>
      </x:c>
      <x:c r="J254" s="49"/>
      <x:c r="K254" s="50"/>
      <x:c r="L254" s="51"/>
      <x:c r="M254" s="45" t="s">
        <x:v>210</x:v>
      </x:c>
      <x:c r="N254" s="52">
        <x:v>179</x:v>
      </x:c>
      <x:c r="O254" s="44"/>
    </x:row>
    <x:row r="255" ht="23" customHeight="1">
      <x:c r="A255" s="24" t="s">
        <x:v>387</x:v>
      </x:c>
      <x:c r="B255" s="53" t="s">
        <x:v>387</x:v>
      </x:c>
      <x:c r="C255" s="53" t="s">
        <x:v>209</x:v>
      </x:c>
      <x:c r="D255" s="54">
        <x:v>42.7283855907915</x:v>
      </x:c>
      <x:c r="E255" s="54">
        <x:v>-73.683326520796</x:v>
      </x:c>
      <x:c r="F255" s="55" t="n">
        <x:f>_xlfn.COUNTIFS('Connections'!$B$6:$B$590,A255)+_xlfn.COUNTIFS('Connections'!$C$6:$C$590,A255)</x:f>
        <x:v>2</x:v>
      </x:c>
      <x:c r="G255" s="55" t="n">
        <x:f>_xlfn.COUNTIFS('Connections'!$B$6:$B$590,A255,'Connections'!$D$6:$D$590,"TRUE")+_xlfn.COUNTIFS('Connections'!$C$6:$C$590,A255,'Connections'!$D$6:$D$590,"TRUE")</x:f>
        <x:v>2</x:v>
      </x:c>
      <x:c r="H255" s="48" t="s">
        <x:v>66</x:v>
      </x:c>
      <x:c r="I255" s="48" t="s">
        <x:v>67</x:v>
      </x:c>
      <x:c r="J255" s="49"/>
      <x:c r="K255" s="50"/>
      <x:c r="L255" s="56"/>
      <x:c r="M255" s="53" t="s">
        <x:v>210</x:v>
      </x:c>
      <x:c r="N255" s="57">
        <x:v>180</x:v>
      </x:c>
      <x:c r="O255" s="44"/>
    </x:row>
    <x:row r="256" ht="23" customHeight="1">
      <x:c r="A256" s="21" t="s">
        <x:v>388</x:v>
      </x:c>
      <x:c r="B256" s="45" t="s">
        <x:v>388</x:v>
      </x:c>
      <x:c r="C256" s="45" t="s">
        <x:v>209</x:v>
      </x:c>
      <x:c r="D256" s="46">
        <x:v>42.7276958829164</x:v>
      </x:c>
      <x:c r="E256" s="46">
        <x:v>-73.6824606704121</x:v>
      </x:c>
      <x:c r="F256" s="47" t="n">
        <x:f>_xlfn.COUNTIFS('Connections'!$B$6:$B$590,A256)+_xlfn.COUNTIFS('Connections'!$C$6:$C$590,A256)</x:f>
        <x:v>3</x:v>
      </x:c>
      <x:c r="G256" s="47" t="n">
        <x:f>_xlfn.COUNTIFS('Connections'!$B$6:$B$590,A256,'Connections'!$D$6:$D$590,"TRUE")+_xlfn.COUNTIFS('Connections'!$C$6:$C$590,A256,'Connections'!$D$6:$D$590,"TRUE")</x:f>
        <x:v>3</x:v>
      </x:c>
      <x:c r="H256" s="48" t="s">
        <x:v>66</x:v>
      </x:c>
      <x:c r="I256" s="48" t="s">
        <x:v>67</x:v>
      </x:c>
      <x:c r="J256" s="49"/>
      <x:c r="K256" s="50"/>
      <x:c r="L256" s="51"/>
      <x:c r="M256" s="45" t="s">
        <x:v>210</x:v>
      </x:c>
      <x:c r="N256" s="52">
        <x:v>181</x:v>
      </x:c>
      <x:c r="O256" s="44"/>
    </x:row>
    <x:row r="257" ht="23" customHeight="1">
      <x:c r="A257" s="24" t="s">
        <x:v>389</x:v>
      </x:c>
      <x:c r="B257" s="53" t="s">
        <x:v>389</x:v>
      </x:c>
      <x:c r="C257" s="53" t="s">
        <x:v>209</x:v>
      </x:c>
      <x:c r="D257" s="54">
        <x:v>42.7280028029208</x:v>
      </x:c>
      <x:c r="E257" s="54">
        <x:v>-73.68154229601581</x:v>
      </x:c>
      <x:c r="F257" s="55" t="n">
        <x:f>_xlfn.COUNTIFS('Connections'!$B$6:$B$590,A257)+_xlfn.COUNTIFS('Connections'!$C$6:$C$590,A257)</x:f>
        <x:v>2</x:v>
      </x:c>
      <x:c r="G257" s="55" t="n">
        <x:f>_xlfn.COUNTIFS('Connections'!$B$6:$B$590,A257,'Connections'!$D$6:$D$590,"TRUE")+_xlfn.COUNTIFS('Connections'!$C$6:$C$590,A257,'Connections'!$D$6:$D$590,"TRUE")</x:f>
        <x:v>2</x:v>
      </x:c>
      <x:c r="H257" s="48" t="s">
        <x:v>66</x:v>
      </x:c>
      <x:c r="I257" s="48" t="s">
        <x:v>67</x:v>
      </x:c>
      <x:c r="J257" s="49"/>
      <x:c r="K257" s="50"/>
      <x:c r="L257" s="56"/>
      <x:c r="M257" s="53" t="s">
        <x:v>210</x:v>
      </x:c>
      <x:c r="N257" s="57">
        <x:v>182</x:v>
      </x:c>
      <x:c r="O257" s="44"/>
    </x:row>
    <x:row r="258" ht="23" customHeight="1">
      <x:c r="A258" s="21" t="s">
        <x:v>390</x:v>
      </x:c>
      <x:c r="B258" s="45" t="s">
        <x:v>390</x:v>
      </x:c>
      <x:c r="C258" s="45" t="s">
        <x:v>209</x:v>
      </x:c>
      <x:c r="D258" s="46">
        <x:v>42.7283016763334</x:v>
      </x:c>
      <x:c r="E258" s="46">
        <x:v>-73.6801480222357</x:v>
      </x:c>
      <x:c r="F258" s="47" t="n">
        <x:f>_xlfn.COUNTIFS('Connections'!$B$6:$B$590,A258)+_xlfn.COUNTIFS('Connections'!$C$6:$C$590,A258)</x:f>
        <x:v>3</x:v>
      </x:c>
      <x:c r="G258" s="47" t="n">
        <x:f>_xlfn.COUNTIFS('Connections'!$B$6:$B$590,A258,'Connections'!$D$6:$D$590,"TRUE")+_xlfn.COUNTIFS('Connections'!$C$6:$C$590,A258,'Connections'!$D$6:$D$590,"TRUE")</x:f>
        <x:v>3</x:v>
      </x:c>
      <x:c r="H258" s="48" t="s">
        <x:v>66</x:v>
      </x:c>
      <x:c r="I258" s="48" t="s">
        <x:v>67</x:v>
      </x:c>
      <x:c r="J258" s="49"/>
      <x:c r="K258" s="50"/>
      <x:c r="L258" s="51"/>
      <x:c r="M258" s="45" t="s">
        <x:v>210</x:v>
      </x:c>
      <x:c r="N258" s="52">
        <x:v>183</x:v>
      </x:c>
      <x:c r="O258" s="44"/>
    </x:row>
    <x:row r="259" ht="23" customHeight="1">
      <x:c r="A259" s="24" t="s">
        <x:v>391</x:v>
      </x:c>
      <x:c r="B259" s="53" t="s">
        <x:v>391</x:v>
      </x:c>
      <x:c r="C259" s="53" t="s">
        <x:v>209</x:v>
      </x:c>
      <x:c r="D259" s="54">
        <x:v>42.7280694746821</x:v>
      </x:c>
      <x:c r="E259" s="54">
        <x:v>-73.6786502920678</x:v>
      </x:c>
      <x:c r="F259" s="55" t="n">
        <x:f>_xlfn.COUNTIFS('Connections'!$B$6:$B$590,A259)+_xlfn.COUNTIFS('Connections'!$C$6:$C$590,A259)</x:f>
        <x:v>2</x:v>
      </x:c>
      <x:c r="G259" s="55" t="n">
        <x:f>_xlfn.COUNTIFS('Connections'!$B$6:$B$590,A259,'Connections'!$D$6:$D$590,"TRUE")+_xlfn.COUNTIFS('Connections'!$C$6:$C$590,A259,'Connections'!$D$6:$D$590,"TRUE")</x:f>
        <x:v>2</x:v>
      </x:c>
      <x:c r="H259" s="48" t="s">
        <x:v>66</x:v>
      </x:c>
      <x:c r="I259" s="48" t="s">
        <x:v>67</x:v>
      </x:c>
      <x:c r="J259" s="49"/>
      <x:c r="K259" s="50"/>
      <x:c r="L259" s="56"/>
      <x:c r="M259" s="53" t="s">
        <x:v>210</x:v>
      </x:c>
      <x:c r="N259" s="57">
        <x:v>184</x:v>
      </x:c>
      <x:c r="O259" s="44"/>
    </x:row>
    <x:row r="260" ht="23" customHeight="1">
      <x:c r="A260" s="21" t="s">
        <x:v>392</x:v>
      </x:c>
      <x:c r="B260" s="45" t="s">
        <x:v>392</x:v>
      </x:c>
      <x:c r="C260" s="45" t="s">
        <x:v>209</x:v>
      </x:c>
      <x:c r="D260" s="46">
        <x:v>42.7278935991739</x:v>
      </x:c>
      <x:c r="E260" s="46">
        <x:v>-73.6786884913495</x:v>
      </x:c>
      <x:c r="F260" s="47" t="n">
        <x:f>_xlfn.COUNTIFS('Connections'!$B$6:$B$590,A260)+_xlfn.COUNTIFS('Connections'!$C$6:$C$590,A260)</x:f>
        <x:v>3</x:v>
      </x:c>
      <x:c r="G260" s="47" t="n">
        <x:f>_xlfn.COUNTIFS('Connections'!$B$6:$B$590,A260,'Connections'!$D$6:$D$590,"TRUE")+_xlfn.COUNTIFS('Connections'!$C$6:$C$590,A260,'Connections'!$D$6:$D$590,"TRUE")</x:f>
        <x:v>3</x:v>
      </x:c>
      <x:c r="H260" s="48" t="s">
        <x:v>66</x:v>
      </x:c>
      <x:c r="I260" s="48" t="s">
        <x:v>67</x:v>
      </x:c>
      <x:c r="J260" s="49"/>
      <x:c r="K260" s="50"/>
      <x:c r="L260" s="51"/>
      <x:c r="M260" s="45" t="s">
        <x:v>210</x:v>
      </x:c>
      <x:c r="N260" s="52">
        <x:v>185</x:v>
      </x:c>
      <x:c r="O260" s="44"/>
    </x:row>
    <x:row r="261" ht="23" customHeight="1">
      <x:c r="A261" s="24" t="s">
        <x:v>393</x:v>
      </x:c>
      <x:c r="B261" s="53" t="s">
        <x:v>393</x:v>
      </x:c>
      <x:c r="C261" s="53" t="s">
        <x:v>209</x:v>
      </x:c>
      <x:c r="D261" s="54">
        <x:v>42.7277706012695</x:v>
      </x:c>
      <x:c r="E261" s="54">
        <x:v>-73.6787680731863</x:v>
      </x:c>
      <x:c r="F261" s="55" t="n">
        <x:f>_xlfn.COUNTIFS('Connections'!$B$6:$B$590,A261)+_xlfn.COUNTIFS('Connections'!$C$6:$C$590,A261)</x:f>
        <x:v>2</x:v>
      </x:c>
      <x:c r="G261" s="55" t="n">
        <x:f>_xlfn.COUNTIFS('Connections'!$B$6:$B$590,A261,'Connections'!$D$6:$D$590,"TRUE")+_xlfn.COUNTIFS('Connections'!$C$6:$C$590,A261,'Connections'!$D$6:$D$590,"TRUE")</x:f>
        <x:v>2</x:v>
      </x:c>
      <x:c r="H261" s="48" t="s">
        <x:v>66</x:v>
      </x:c>
      <x:c r="I261" s="48" t="s">
        <x:v>67</x:v>
      </x:c>
      <x:c r="J261" s="49"/>
      <x:c r="K261" s="50"/>
      <x:c r="L261" s="56"/>
      <x:c r="M261" s="53" t="s">
        <x:v>210</x:v>
      </x:c>
      <x:c r="N261" s="57">
        <x:v>186</x:v>
      </x:c>
      <x:c r="O261" s="44"/>
    </x:row>
    <x:row r="262" ht="23" customHeight="1">
      <x:c r="A262" s="21" t="s">
        <x:v>394</x:v>
      </x:c>
      <x:c r="B262" s="45" t="s">
        <x:v>394</x:v>
      </x:c>
      <x:c r="C262" s="45" t="s">
        <x:v>209</x:v>
      </x:c>
      <x:c r="D262" s="46">
        <x:v>42.7278798050164</x:v>
      </x:c>
      <x:c r="E262" s="46">
        <x:v>-73.67960527410899</x:v>
      </x:c>
      <x:c r="F262" s="47" t="n">
        <x:f>_xlfn.COUNTIFS('Connections'!$B$6:$B$590,A262)+_xlfn.COUNTIFS('Connections'!$C$6:$C$590,A262)</x:f>
        <x:v>2</x:v>
      </x:c>
      <x:c r="G262" s="47" t="n">
        <x:f>_xlfn.COUNTIFS('Connections'!$B$6:$B$590,A262,'Connections'!$D$6:$D$590,"TRUE")+_xlfn.COUNTIFS('Connections'!$C$6:$C$590,A262,'Connections'!$D$6:$D$590,"TRUE")</x:f>
        <x:v>2</x:v>
      </x:c>
      <x:c r="H262" s="48" t="s">
        <x:v>66</x:v>
      </x:c>
      <x:c r="I262" s="48" t="s">
        <x:v>67</x:v>
      </x:c>
      <x:c r="J262" s="49"/>
      <x:c r="K262" s="50"/>
      <x:c r="L262" s="51"/>
      <x:c r="M262" s="45" t="s">
        <x:v>210</x:v>
      </x:c>
      <x:c r="N262" s="52">
        <x:v>187</x:v>
      </x:c>
      <x:c r="O262" s="44"/>
    </x:row>
    <x:row r="263" ht="23" customHeight="1">
      <x:c r="A263" s="24" t="s">
        <x:v>395</x:v>
      </x:c>
      <x:c r="B263" s="53" t="s">
        <x:v>395</x:v>
      </x:c>
      <x:c r="C263" s="53" t="s">
        <x:v>209</x:v>
      </x:c>
      <x:c r="D263" s="54">
        <x:v>42.7280579795508</x:v>
      </x:c>
      <x:c r="E263" s="54">
        <x:v>-73.67991405163561</x:v>
      </x:c>
      <x:c r="F263" s="55" t="n">
        <x:f>_xlfn.COUNTIFS('Connections'!$B$6:$B$590,A263)+_xlfn.COUNTIFS('Connections'!$C$6:$C$590,A263)</x:f>
        <x:v>2</x:v>
      </x:c>
      <x:c r="G263" s="55" t="n">
        <x:f>_xlfn.COUNTIFS('Connections'!$B$6:$B$590,A263,'Connections'!$D$6:$D$590,"TRUE")+_xlfn.COUNTIFS('Connections'!$C$6:$C$590,A263,'Connections'!$D$6:$D$590,"TRUE")</x:f>
        <x:v>2</x:v>
      </x:c>
      <x:c r="H263" s="48" t="s">
        <x:v>66</x:v>
      </x:c>
      <x:c r="I263" s="48" t="s">
        <x:v>67</x:v>
      </x:c>
      <x:c r="J263" s="49"/>
      <x:c r="K263" s="50"/>
      <x:c r="L263" s="56"/>
      <x:c r="M263" s="53" t="s">
        <x:v>210</x:v>
      </x:c>
      <x:c r="N263" s="57">
        <x:v>188</x:v>
      </x:c>
      <x:c r="O263" s="44"/>
    </x:row>
    <x:row r="264" ht="23" customHeight="1">
      <x:c r="A264" s="21" t="s">
        <x:v>396</x:v>
      </x:c>
      <x:c r="B264" s="45" t="s">
        <x:v>396</x:v>
      </x:c>
      <x:c r="C264" s="45" t="s">
        <x:v>209</x:v>
      </x:c>
      <x:c r="D264" s="46">
        <x:v>42.7280832688396</x:v>
      </x:c>
      <x:c r="E264" s="46">
        <x:v>-73.6803597099215</x:v>
      </x:c>
      <x:c r="F264" s="47" t="n">
        <x:f>_xlfn.COUNTIFS('Connections'!$B$6:$B$590,A264)+_xlfn.COUNTIFS('Connections'!$C$6:$C$590,A264)</x:f>
        <x:v>3</x:v>
      </x:c>
      <x:c r="G264" s="47" t="n">
        <x:f>_xlfn.COUNTIFS('Connections'!$B$6:$B$590,A264,'Connections'!$D$6:$D$590,"TRUE")+_xlfn.COUNTIFS('Connections'!$C$6:$C$590,A264,'Connections'!$D$6:$D$590,"TRUE")</x:f>
        <x:v>3</x:v>
      </x:c>
      <x:c r="H264" s="48" t="s">
        <x:v>66</x:v>
      </x:c>
      <x:c r="I264" s="48" t="s">
        <x:v>67</x:v>
      </x:c>
      <x:c r="J264" s="49"/>
      <x:c r="K264" s="50"/>
      <x:c r="L264" s="51"/>
      <x:c r="M264" s="45" t="s">
        <x:v>210</x:v>
      </x:c>
      <x:c r="N264" s="52">
        <x:v>189</x:v>
      </x:c>
      <x:c r="O264" s="44"/>
    </x:row>
    <x:row r="265" ht="23" customHeight="1">
      <x:c r="A265" s="24" t="s">
        <x:v>397</x:v>
      </x:c>
      <x:c r="B265" s="53" t="s">
        <x:v>397</x:v>
      </x:c>
      <x:c r="C265" s="53" t="s">
        <x:v>209</x:v>
      </x:c>
      <x:c r="D265" s="54">
        <x:v>42.7268509907693</x:v>
      </x:c>
      <x:c r="E265" s="54">
        <x:v>-73.6781314184922</x:v>
      </x:c>
      <x:c r="F265" s="55" t="n">
        <x:f>_xlfn.COUNTIFS('Connections'!$B$6:$B$590,A265)+_xlfn.COUNTIFS('Connections'!$C$6:$C$590,A265)</x:f>
        <x:v>3</x:v>
      </x:c>
      <x:c r="G265" s="55" t="n">
        <x:f>_xlfn.COUNTIFS('Connections'!$B$6:$B$590,A265,'Connections'!$D$6:$D$590,"TRUE")+_xlfn.COUNTIFS('Connections'!$C$6:$C$590,A265,'Connections'!$D$6:$D$590,"TRUE")</x:f>
        <x:v>3</x:v>
      </x:c>
      <x:c r="H265" s="48" t="s">
        <x:v>66</x:v>
      </x:c>
      <x:c r="I265" s="48" t="s">
        <x:v>67</x:v>
      </x:c>
      <x:c r="J265" s="49"/>
      <x:c r="K265" s="50"/>
      <x:c r="L265" s="56"/>
      <x:c r="M265" s="53" t="s">
        <x:v>210</x:v>
      </x:c>
      <x:c r="N265" s="57">
        <x:v>190</x:v>
      </x:c>
      <x:c r="O265" s="44"/>
    </x:row>
    <x:row r="266" ht="23" customHeight="1">
      <x:c r="A266" s="21" t="s">
        <x:v>398</x:v>
      </x:c>
      <x:c r="B266" s="45" t="s">
        <x:v>398</x:v>
      </x:c>
      <x:c r="C266" s="45" t="s">
        <x:v>209</x:v>
      </x:c>
      <x:c r="D266" s="46">
        <x:v>42.7270579031318</x:v>
      </x:c>
      <x:c r="E266" s="46">
        <x:v>-73.6775043136185</x:v>
      </x:c>
      <x:c r="F266" s="47" t="n">
        <x:f>_xlfn.COUNTIFS('Connections'!$B$6:$B$590,A266)+_xlfn.COUNTIFS('Connections'!$C$6:$C$590,A266)</x:f>
        <x:v>2</x:v>
      </x:c>
      <x:c r="G266" s="47" t="n">
        <x:f>_xlfn.COUNTIFS('Connections'!$B$6:$B$590,A266,'Connections'!$D$6:$D$590,"TRUE")+_xlfn.COUNTIFS('Connections'!$C$6:$C$590,A266,'Connections'!$D$6:$D$590,"TRUE")</x:f>
        <x:v>2</x:v>
      </x:c>
      <x:c r="H266" s="48" t="s">
        <x:v>66</x:v>
      </x:c>
      <x:c r="I266" s="48" t="s">
        <x:v>67</x:v>
      </x:c>
      <x:c r="J266" s="49"/>
      <x:c r="K266" s="50"/>
      <x:c r="L266" s="51"/>
      <x:c r="M266" s="45" t="s">
        <x:v>210</x:v>
      </x:c>
      <x:c r="N266" s="52">
        <x:v>191</x:v>
      </x:c>
      <x:c r="O266" s="44"/>
    </x:row>
    <x:row r="267" ht="23" customHeight="1">
      <x:c r="A267" s="24" t="s">
        <x:v>399</x:v>
      </x:c>
      <x:c r="B267" s="53" t="s">
        <x:v>399</x:v>
      </x:c>
      <x:c r="C267" s="53" t="s">
        <x:v>209</x:v>
      </x:c>
      <x:c r="D267" s="54">
        <x:v>42.7270785943681</x:v>
      </x:c>
      <x:c r="E267" s="54">
        <x:v>-73.678090035937</x:v>
      </x:c>
      <x:c r="F267" s="55" t="n">
        <x:f>_xlfn.COUNTIFS('Connections'!$B$6:$B$590,A267)+_xlfn.COUNTIFS('Connections'!$C$6:$C$590,A267)</x:f>
        <x:v>3</x:v>
      </x:c>
      <x:c r="G267" s="55" t="n">
        <x:f>_xlfn.COUNTIFS('Connections'!$B$6:$B$590,A267,'Connections'!$D$6:$D$590,"TRUE")+_xlfn.COUNTIFS('Connections'!$C$6:$C$590,A267,'Connections'!$D$6:$D$590,"TRUE")</x:f>
        <x:v>3</x:v>
      </x:c>
      <x:c r="H267" s="48" t="s">
        <x:v>66</x:v>
      </x:c>
      <x:c r="I267" s="48" t="s">
        <x:v>67</x:v>
      </x:c>
      <x:c r="J267" s="49"/>
      <x:c r="K267" s="50"/>
      <x:c r="L267" s="56"/>
      <x:c r="M267" s="53" t="s">
        <x:v>210</x:v>
      </x:c>
      <x:c r="N267" s="57">
        <x:v>192</x:v>
      </x:c>
      <x:c r="O267" s="44"/>
    </x:row>
    <x:row r="268" ht="23" customHeight="1">
      <x:c r="A268" s="21" t="s">
        <x:v>400</x:v>
      </x:c>
      <x:c r="B268" s="45" t="s">
        <x:v>400</x:v>
      </x:c>
      <x:c r="C268" s="45" t="s">
        <x:v>209</x:v>
      </x:c>
      <x:c r="D268" s="46">
        <x:v>42.7257589533002</x:v>
      </x:c>
      <x:c r="E268" s="46">
        <x:v>-73.6784545207494</x:v>
      </x:c>
      <x:c r="F268" s="47" t="n">
        <x:f>_xlfn.COUNTIFS('Connections'!$B$6:$B$590,A268)+_xlfn.COUNTIFS('Connections'!$C$6:$C$590,A268)</x:f>
        <x:v>2</x:v>
      </x:c>
      <x:c r="G268" s="47" t="n">
        <x:f>_xlfn.COUNTIFS('Connections'!$B$6:$B$590,A268,'Connections'!$D$6:$D$590,"TRUE")+_xlfn.COUNTIFS('Connections'!$C$6:$C$590,A268,'Connections'!$D$6:$D$590,"TRUE")</x:f>
        <x:v>2</x:v>
      </x:c>
      <x:c r="H268" s="48" t="s">
        <x:v>66</x:v>
      </x:c>
      <x:c r="I268" s="48" t="s">
        <x:v>67</x:v>
      </x:c>
      <x:c r="J268" s="49"/>
      <x:c r="K268" s="50"/>
      <x:c r="L268" s="51"/>
      <x:c r="M268" s="45" t="s">
        <x:v>210</x:v>
      </x:c>
      <x:c r="N268" s="52">
        <x:v>193</x:v>
      </x:c>
      <x:c r="O268" s="44"/>
    </x:row>
    <x:row r="269" ht="23" customHeight="1">
      <x:c r="A269" s="24" t="s">
        <x:v>401</x:v>
      </x:c>
      <x:c r="B269" s="53" t="s">
        <x:v>401</x:v>
      </x:c>
      <x:c r="C269" s="53" t="s">
        <x:v>209</x:v>
      </x:c>
      <x:c r="D269" s="54">
        <x:v>42.7248899213775</x:v>
      </x:c>
      <x:c r="E269" s="54">
        <x:v>-73.6736812021804</x:v>
      </x:c>
      <x:c r="F269" s="55" t="n">
        <x:f>_xlfn.COUNTIFS('Connections'!$B$6:$B$590,A269)+_xlfn.COUNTIFS('Connections'!$C$6:$C$590,A269)</x:f>
        <x:v>2</x:v>
      </x:c>
      <x:c r="G269" s="55" t="n">
        <x:f>_xlfn.COUNTIFS('Connections'!$B$6:$B$590,A269,'Connections'!$D$6:$D$590,"TRUE")+_xlfn.COUNTIFS('Connections'!$C$6:$C$590,A269,'Connections'!$D$6:$D$590,"TRUE")</x:f>
        <x:v>2</x:v>
      </x:c>
      <x:c r="H269" s="48" t="s">
        <x:v>66</x:v>
      </x:c>
      <x:c r="I269" s="48" t="s">
        <x:v>67</x:v>
      </x:c>
      <x:c r="J269" s="49"/>
      <x:c r="K269" s="50"/>
      <x:c r="L269" s="56"/>
      <x:c r="M269" s="53" t="s">
        <x:v>210</x:v>
      </x:c>
      <x:c r="N269" s="57">
        <x:v>194</x:v>
      </x:c>
      <x:c r="O269" s="44"/>
    </x:row>
    <x:row r="270" ht="23" customHeight="1">
      <x:c r="A270" s="21" t="s">
        <x:v>402</x:v>
      </x:c>
      <x:c r="B270" s="45" t="s">
        <x:v>402</x:v>
      </x:c>
      <x:c r="C270" s="45" t="s">
        <x:v>209</x:v>
      </x:c>
      <x:c r="D270" s="46">
        <x:v>42.7268969712943</x:v>
      </x:c>
      <x:c r="E270" s="46">
        <x:v>-73.6735156719599</x:v>
      </x:c>
      <x:c r="F270" s="47" t="n">
        <x:f>_xlfn.COUNTIFS('Connections'!$B$6:$B$590,A270)+_xlfn.COUNTIFS('Connections'!$C$6:$C$590,A270)</x:f>
        <x:v>1</x:v>
      </x:c>
      <x:c r="G270" s="47" t="n">
        <x:f>_xlfn.COUNTIFS('Connections'!$B$6:$B$590,A270,'Connections'!$D$6:$D$590,"TRUE")+_xlfn.COUNTIFS('Connections'!$C$6:$C$590,A270,'Connections'!$D$6:$D$590,"TRUE")</x:f>
        <x:v>1</x:v>
      </x:c>
      <x:c r="H270" s="48" t="s">
        <x:v>66</x:v>
      </x:c>
      <x:c r="I270" s="48" t="s">
        <x:v>67</x:v>
      </x:c>
      <x:c r="J270" s="49"/>
      <x:c r="K270" s="50"/>
      <x:c r="L270" s="51"/>
      <x:c r="M270" s="45" t="s">
        <x:v>210</x:v>
      </x:c>
      <x:c r="N270" s="52">
        <x:v>195</x:v>
      </x:c>
      <x:c r="O270" s="44"/>
    </x:row>
    <x:row r="271" ht="23" customHeight="1">
      <x:c r="A271" s="24" t="s">
        <x:v>403</x:v>
      </x:c>
      <x:c r="B271" s="53" t="s">
        <x:v>403</x:v>
      </x:c>
      <x:c r="C271" s="53" t="s">
        <x:v>209</x:v>
      </x:c>
      <x:c r="D271" s="54">
        <x:v>42.7268257014805</x:v>
      </x:c>
      <x:c r="E271" s="54">
        <x:v>-73.6731448206006</x:v>
      </x:c>
      <x:c r="F271" s="55" t="n">
        <x:f>_xlfn.COUNTIFS('Connections'!$B$6:$B$590,A271)+_xlfn.COUNTIFS('Connections'!$C$6:$C$590,A271)</x:f>
        <x:v>3</x:v>
      </x:c>
      <x:c r="G271" s="55" t="n">
        <x:f>_xlfn.COUNTIFS('Connections'!$B$6:$B$590,A271,'Connections'!$D$6:$D$590,"TRUE")+_xlfn.COUNTIFS('Connections'!$C$6:$C$590,A271,'Connections'!$D$6:$D$590,"TRUE")</x:f>
        <x:v>3</x:v>
      </x:c>
      <x:c r="H271" s="48" t="s">
        <x:v>66</x:v>
      </x:c>
      <x:c r="I271" s="48" t="s">
        <x:v>67</x:v>
      </x:c>
      <x:c r="J271" s="49"/>
      <x:c r="K271" s="50"/>
      <x:c r="L271" s="56"/>
      <x:c r="M271" s="53" t="s">
        <x:v>210</x:v>
      </x:c>
      <x:c r="N271" s="57">
        <x:v>196</x:v>
      </x:c>
      <x:c r="O271" s="44"/>
    </x:row>
    <x:row r="272" ht="23" customHeight="1">
      <x:c r="A272" s="21" t="s">
        <x:v>404</x:v>
      </x:c>
      <x:c r="B272" s="45" t="s">
        <x:v>404</x:v>
      </x:c>
      <x:c r="C272" s="45" t="s">
        <x:v>209</x:v>
      </x:c>
      <x:c r="D272" s="46">
        <x:v>42.7268889247024</x:v>
      </x:c>
      <x:c r="E272" s="46">
        <x:v>-73.67405682844991</x:v>
      </x:c>
      <x:c r="F272" s="47" t="n">
        <x:f>_xlfn.COUNTIFS('Connections'!$B$6:$B$590,A272)+_xlfn.COUNTIFS('Connections'!$C$6:$C$590,A272)</x:f>
        <x:v>2</x:v>
      </x:c>
      <x:c r="G272" s="47" t="n">
        <x:f>_xlfn.COUNTIFS('Connections'!$B$6:$B$590,A272,'Connections'!$D$6:$D$590,"TRUE")+_xlfn.COUNTIFS('Connections'!$C$6:$C$590,A272,'Connections'!$D$6:$D$590,"TRUE")</x:f>
        <x:v>2</x:v>
      </x:c>
      <x:c r="H272" s="48" t="s">
        <x:v>66</x:v>
      </x:c>
      <x:c r="I272" s="48" t="s">
        <x:v>67</x:v>
      </x:c>
      <x:c r="J272" s="49"/>
      <x:c r="K272" s="50"/>
      <x:c r="L272" s="51"/>
      <x:c r="M272" s="45" t="s">
        <x:v>210</x:v>
      </x:c>
      <x:c r="N272" s="52">
        <x:v>197</x:v>
      </x:c>
      <x:c r="O272" s="44"/>
    </x:row>
    <x:row r="273" ht="23" customHeight="1">
      <x:c r="A273" s="24" t="s">
        <x:v>405</x:v>
      </x:c>
      <x:c r="B273" s="53" t="s">
        <x:v>405</x:v>
      </x:c>
      <x:c r="C273" s="53" t="s">
        <x:v>209</x:v>
      </x:c>
      <x:c r="D273" s="54">
        <x:v>42.7268532897955</x:v>
      </x:c>
      <x:c r="E273" s="54">
        <x:v>-73.67435923942961</x:v>
      </x:c>
      <x:c r="F273" s="55" t="n">
        <x:f>_xlfn.COUNTIFS('Connections'!$B$6:$B$590,A273)+_xlfn.COUNTIFS('Connections'!$C$6:$C$590,A273)</x:f>
        <x:v>2</x:v>
      </x:c>
      <x:c r="G273" s="55" t="n">
        <x:f>_xlfn.COUNTIFS('Connections'!$B$6:$B$590,A273,'Connections'!$D$6:$D$590,"TRUE")+_xlfn.COUNTIFS('Connections'!$C$6:$C$590,A273,'Connections'!$D$6:$D$590,"TRUE")</x:f>
        <x:v>2</x:v>
      </x:c>
      <x:c r="H273" s="48" t="s">
        <x:v>66</x:v>
      </x:c>
      <x:c r="I273" s="48" t="s">
        <x:v>67</x:v>
      </x:c>
      <x:c r="J273" s="49"/>
      <x:c r="K273" s="50"/>
      <x:c r="L273" s="56"/>
      <x:c r="M273" s="53" t="s">
        <x:v>210</x:v>
      </x:c>
      <x:c r="N273" s="57">
        <x:v>198</x:v>
      </x:c>
      <x:c r="O273" s="44"/>
    </x:row>
    <x:row r="274" ht="23" customHeight="1">
      <x:c r="A274" s="21" t="s">
        <x:v>406</x:v>
      </x:c>
      <x:c r="B274" s="45" t="s">
        <x:v>406</x:v>
      </x:c>
      <x:c r="C274" s="45" t="s">
        <x:v>209</x:v>
      </x:c>
      <x:c r="D274" s="46">
        <x:v>42.7282901812021</x:v>
      </x:c>
      <x:c r="E274" s="46">
        <x:v>-73.6761959882221</x:v>
      </x:c>
      <x:c r="F274" s="47" t="n">
        <x:f>_xlfn.COUNTIFS('Connections'!$B$6:$B$590,A274)+_xlfn.COUNTIFS('Connections'!$C$6:$C$590,A274)</x:f>
        <x:v>2</x:v>
      </x:c>
      <x:c r="G274" s="47" t="n">
        <x:f>_xlfn.COUNTIFS('Connections'!$B$6:$B$590,A274,'Connections'!$D$6:$D$590,"TRUE")+_xlfn.COUNTIFS('Connections'!$C$6:$C$590,A274,'Connections'!$D$6:$D$590,"TRUE")</x:f>
        <x:v>2</x:v>
      </x:c>
      <x:c r="H274" s="48" t="s">
        <x:v>66</x:v>
      </x:c>
      <x:c r="I274" s="48" t="s">
        <x:v>67</x:v>
      </x:c>
      <x:c r="J274" s="49"/>
      <x:c r="K274" s="50"/>
      <x:c r="L274" s="51"/>
      <x:c r="M274" s="45" t="s">
        <x:v>210</x:v>
      </x:c>
      <x:c r="N274" s="52">
        <x:v>199</x:v>
      </x:c>
      <x:c r="O274" s="44"/>
    </x:row>
    <x:row r="275" ht="23" customHeight="1">
      <x:c r="A275" s="24" t="s">
        <x:v>407</x:v>
      </x:c>
      <x:c r="B275" s="53" t="s">
        <x:v>407</x:v>
      </x:c>
      <x:c r="C275" s="53" t="s">
        <x:v>209</x:v>
      </x:c>
      <x:c r="D275" s="54">
        <x:v>42.7275981743007</x:v>
      </x:c>
      <x:c r="E275" s="54">
        <x:v>-73.67550521787901</x:v>
      </x:c>
      <x:c r="F275" s="55" t="n">
        <x:f>_xlfn.COUNTIFS('Connections'!$B$6:$B$590,A275)+_xlfn.COUNTIFS('Connections'!$C$6:$C$590,A275)</x:f>
        <x:v>3</x:v>
      </x:c>
      <x:c r="G275" s="55" t="n">
        <x:f>_xlfn.COUNTIFS('Connections'!$B$6:$B$590,A275,'Connections'!$D$6:$D$590,"TRUE")+_xlfn.COUNTIFS('Connections'!$C$6:$C$590,A275,'Connections'!$D$6:$D$590,"TRUE")</x:f>
        <x:v>2</x:v>
      </x:c>
      <x:c r="H275" s="48" t="s">
        <x:v>66</x:v>
      </x:c>
      <x:c r="I275" s="48" t="s">
        <x:v>67</x:v>
      </x:c>
      <x:c r="J275" s="49"/>
      <x:c r="K275" s="50"/>
      <x:c r="L275" s="56"/>
      <x:c r="M275" s="53" t="s">
        <x:v>210</x:v>
      </x:c>
      <x:c r="N275" s="57">
        <x:v>200</x:v>
      </x:c>
      <x:c r="O275" s="44"/>
    </x:row>
    <x:row r="276" ht="23" customHeight="1">
      <x:c r="A276" s="21" t="s">
        <x:v>408</x:v>
      </x:c>
      <x:c r="B276" s="45" t="s">
        <x:v>408</x:v>
      </x:c>
      <x:c r="C276" s="45" t="s">
        <x:v>209</x:v>
      </x:c>
      <x:c r="D276" s="46">
        <x:v>42.7270579031318</x:v>
      </x:c>
      <x:c r="E276" s="46">
        <x:v>-73.6755688833484</x:v>
      </x:c>
      <x:c r="F276" s="47" t="n">
        <x:f>_xlfn.COUNTIFS('Connections'!$B$6:$B$590,A276)+_xlfn.COUNTIFS('Connections'!$C$6:$C$590,A276)</x:f>
        <x:v>2</x:v>
      </x:c>
      <x:c r="G276" s="47" t="n">
        <x:f>_xlfn.COUNTIFS('Connections'!$B$6:$B$590,A276,'Connections'!$D$6:$D$590,"TRUE")+_xlfn.COUNTIFS('Connections'!$C$6:$C$590,A276,'Connections'!$D$6:$D$590,"TRUE")</x:f>
        <x:v>2</x:v>
      </x:c>
      <x:c r="H276" s="48" t="s">
        <x:v>66</x:v>
      </x:c>
      <x:c r="I276" s="48" t="s">
        <x:v>67</x:v>
      </x:c>
      <x:c r="J276" s="49"/>
      <x:c r="K276" s="50"/>
      <x:c r="L276" s="51"/>
      <x:c r="M276" s="45" t="s">
        <x:v>210</x:v>
      </x:c>
      <x:c r="N276" s="52">
        <x:v>201</x:v>
      </x:c>
      <x:c r="O276" s="44"/>
    </x:row>
    <x:row r="277" ht="23" customHeight="1">
      <x:c r="A277" s="24" t="s">
        <x:v>409</x:v>
      </x:c>
      <x:c r="B277" s="53" t="s">
        <x:v>409</x:v>
      </x:c>
      <x:c r="C277" s="53" t="s">
        <x:v>209</x:v>
      </x:c>
      <x:c r="D277" s="54">
        <x:v>42.7278533662145</x:v>
      </x:c>
      <x:c r="E277" s="54">
        <x:v>-73.67464891731539</x:v>
      </x:c>
      <x:c r="F277" s="55" t="n">
        <x:f>_xlfn.COUNTIFS('Connections'!$B$6:$B$590,A277)+_xlfn.COUNTIFS('Connections'!$C$6:$C$590,A277)</x:f>
        <x:v>3</x:v>
      </x:c>
      <x:c r="G277" s="55" t="n">
        <x:f>_xlfn.COUNTIFS('Connections'!$B$6:$B$590,A277,'Connections'!$D$6:$D$590,"TRUE")+_xlfn.COUNTIFS('Connections'!$C$6:$C$590,A277,'Connections'!$D$6:$D$590,"TRUE")</x:f>
        <x:v>3</x:v>
      </x:c>
      <x:c r="H277" s="48" t="s">
        <x:v>66</x:v>
      </x:c>
      <x:c r="I277" s="48" t="s">
        <x:v>67</x:v>
      </x:c>
      <x:c r="J277" s="49"/>
      <x:c r="K277" s="50"/>
      <x:c r="L277" s="56"/>
      <x:c r="M277" s="53" t="s">
        <x:v>210</x:v>
      </x:c>
      <x:c r="N277" s="57">
        <x:v>202</x:v>
      </x:c>
      <x:c r="O277" s="44"/>
    </x:row>
    <x:row r="278" ht="23" customHeight="1">
      <x:c r="A278" s="21" t="s">
        <x:v>410</x:v>
      </x:c>
      <x:c r="B278" s="45" t="s">
        <x:v>410</x:v>
      </x:c>
      <x:c r="C278" s="45" t="s">
        <x:v>209</x:v>
      </x:c>
      <x:c r="D278" s="46">
        <x:v>42.7276384072601</x:v>
      </x:c>
      <x:c r="E278" s="46">
        <x:v>-73.6758824357852</x:v>
      </x:c>
      <x:c r="F278" s="47" t="n">
        <x:f>_xlfn.COUNTIFS('Connections'!$B$6:$B$590,A278)+_xlfn.COUNTIFS('Connections'!$C$6:$C$590,A278)</x:f>
        <x:v>2</x:v>
      </x:c>
      <x:c r="G278" s="47" t="n">
        <x:f>_xlfn.COUNTIFS('Connections'!$B$6:$B$590,A278,'Connections'!$D$6:$D$590,"TRUE")+_xlfn.COUNTIFS('Connections'!$C$6:$C$590,A278,'Connections'!$D$6:$D$590,"TRUE")</x:f>
        <x:v>1</x:v>
      </x:c>
      <x:c r="H278" s="48" t="s">
        <x:v>66</x:v>
      </x:c>
      <x:c r="I278" s="48" t="s">
        <x:v>67</x:v>
      </x:c>
      <x:c r="J278" s="49"/>
      <x:c r="K278" s="50"/>
      <x:c r="L278" s="51"/>
      <x:c r="M278" s="45" t="s">
        <x:v>210</x:v>
      </x:c>
      <x:c r="N278" s="52">
        <x:v>203</x:v>
      </x:c>
      <x:c r="O278" s="44"/>
    </x:row>
    <x:row r="279" ht="23" customHeight="1">
      <x:c r="A279" s="24" t="s">
        <x:v>411</x:v>
      </x:c>
      <x:c r="B279" s="53" t="s">
        <x:v>411</x:v>
      </x:c>
      <x:c r="C279" s="53" t="s">
        <x:v>209</x:v>
      </x:c>
      <x:c r="D279" s="54">
        <x:v>42.7314295015473</x:v>
      </x:c>
      <x:c r="E279" s="54">
        <x:v>-73.6812669428606</x:v>
      </x:c>
      <x:c r="F279" s="55" t="n">
        <x:f>_xlfn.COUNTIFS('Connections'!$B$6:$B$590,A279)+_xlfn.COUNTIFS('Connections'!$C$6:$C$590,A279)</x:f>
        <x:v>2</x:v>
      </x:c>
      <x:c r="G279" s="55" t="n">
        <x:f>_xlfn.COUNTIFS('Connections'!$B$6:$B$590,A279,'Connections'!$D$6:$D$590,"TRUE")+_xlfn.COUNTIFS('Connections'!$C$6:$C$590,A279,'Connections'!$D$6:$D$590,"TRUE")</x:f>
        <x:v>2</x:v>
      </x:c>
      <x:c r="H279" s="48" t="s">
        <x:v>66</x:v>
      </x:c>
      <x:c r="I279" s="48" t="s">
        <x:v>67</x:v>
      </x:c>
      <x:c r="J279" s="49"/>
      <x:c r="K279" s="50"/>
      <x:c r="L279" s="56"/>
      <x:c r="M279" s="53" t="s">
        <x:v>210</x:v>
      </x:c>
      <x:c r="N279" s="57">
        <x:v>204</x:v>
      </x:c>
      <x:c r="O279" s="44"/>
    </x:row>
    <x:row r="280" ht="23" customHeight="1">
      <x:c r="A280" s="21" t="s">
        <x:v>412</x:v>
      </x:c>
      <x:c r="B280" s="45" t="s">
        <x:v>412</x:v>
      </x:c>
      <x:c r="C280" s="45" t="s">
        <x:v>209</x:v>
      </x:c>
      <x:c r="D280" s="46">
        <x:v>42.7321157608832</x:v>
      </x:c>
      <x:c r="E280" s="46">
        <x:v>-73.6818335655384</x:v>
      </x:c>
      <x:c r="F280" s="47" t="n">
        <x:f>_xlfn.COUNTIFS('Connections'!$B$6:$B$590,A280)+_xlfn.COUNTIFS('Connections'!$C$6:$C$590,A280)</x:f>
        <x:v>3</x:v>
      </x:c>
      <x:c r="G280" s="47" t="n">
        <x:f>_xlfn.COUNTIFS('Connections'!$B$6:$B$590,A280,'Connections'!$D$6:$D$590,"TRUE")+_xlfn.COUNTIFS('Connections'!$C$6:$C$590,A280,'Connections'!$D$6:$D$590,"TRUE")</x:f>
        <x:v>3</x:v>
      </x:c>
      <x:c r="H280" s="48" t="s">
        <x:v>66</x:v>
      </x:c>
      <x:c r="I280" s="48" t="s">
        <x:v>67</x:v>
      </x:c>
      <x:c r="J280" s="49"/>
      <x:c r="K280" s="50"/>
      <x:c r="L280" s="51"/>
      <x:c r="M280" s="45" t="s">
        <x:v>210</x:v>
      </x:c>
      <x:c r="N280" s="52">
        <x:v>205</x:v>
      </x:c>
      <x:c r="O280" s="44"/>
    </x:row>
    <x:row r="281" ht="23" customHeight="1">
      <x:c r="A281" s="24" t="s">
        <x:v>413</x:v>
      </x:c>
      <x:c r="B281" s="53" t="s">
        <x:v>413</x:v>
      </x:c>
      <x:c r="C281" s="53" t="s">
        <x:v>209</x:v>
      </x:c>
      <x:c r="D281" s="54">
        <x:v>42.7316961885924</x:v>
      </x:c>
      <x:c r="E281" s="54">
        <x:v>-73.6815900451179</x:v>
      </x:c>
      <x:c r="F281" s="55" t="n">
        <x:f>_xlfn.COUNTIFS('Connections'!$B$6:$B$590,A281)+_xlfn.COUNTIFS('Connections'!$C$6:$C$590,A281)</x:f>
        <x:v>2</x:v>
      </x:c>
      <x:c r="G281" s="55" t="n">
        <x:f>_xlfn.COUNTIFS('Connections'!$B$6:$B$590,A281,'Connections'!$D$6:$D$590,"TRUE")+_xlfn.COUNTIFS('Connections'!$C$6:$C$590,A281,'Connections'!$D$6:$D$590,"TRUE")</x:f>
        <x:v>2</x:v>
      </x:c>
      <x:c r="H281" s="48" t="s">
        <x:v>66</x:v>
      </x:c>
      <x:c r="I281" s="48" t="s">
        <x:v>67</x:v>
      </x:c>
      <x:c r="J281" s="49"/>
      <x:c r="K281" s="50"/>
      <x:c r="L281" s="56"/>
      <x:c r="M281" s="53" t="s">
        <x:v>210</x:v>
      </x:c>
      <x:c r="N281" s="57">
        <x:v>206</x:v>
      </x:c>
      <x:c r="O281" s="44"/>
    </x:row>
    <x:row r="282" ht="23" customHeight="1">
      <x:c r="A282" s="21" t="s">
        <x:v>414</x:v>
      </x:c>
      <x:c r="B282" s="45" t="s">
        <x:v>414</x:v>
      </x:c>
      <x:c r="C282" s="45" t="s">
        <x:v>209</x:v>
      </x:c>
      <x:c r="D282" s="46">
        <x:v>42.731563994583</x:v>
      </x:c>
      <x:c r="E282" s="46">
        <x:v>-73.6814738556362</x:v>
      </x:c>
      <x:c r="F282" s="47" t="n">
        <x:f>_xlfn.COUNTIFS('Connections'!$B$6:$B$590,A282)+_xlfn.COUNTIFS('Connections'!$C$6:$C$590,A282)</x:f>
        <x:v>3</x:v>
      </x:c>
      <x:c r="G282" s="47" t="n">
        <x:f>_xlfn.COUNTIFS('Connections'!$B$6:$B$590,A282,'Connections'!$D$6:$D$590,"TRUE")+_xlfn.COUNTIFS('Connections'!$C$6:$C$590,A282,'Connections'!$D$6:$D$590,"TRUE")</x:f>
        <x:v>3</x:v>
      </x:c>
      <x:c r="H282" s="48" t="s">
        <x:v>66</x:v>
      </x:c>
      <x:c r="I282" s="48" t="s">
        <x:v>67</x:v>
      </x:c>
      <x:c r="J282" s="49"/>
      <x:c r="K282" s="50"/>
      <x:c r="L282" s="51"/>
      <x:c r="M282" s="45" t="s">
        <x:v>210</x:v>
      </x:c>
      <x:c r="N282" s="52">
        <x:v>207</x:v>
      </x:c>
      <x:c r="O282" s="44"/>
    </x:row>
    <x:row r="283" ht="23" customHeight="1">
      <x:c r="A283" s="24" t="s">
        <x:v>415</x:v>
      </x:c>
      <x:c r="B283" s="53" t="s">
        <x:v>415</x:v>
      </x:c>
      <x:c r="C283" s="53" t="s">
        <x:v>209</x:v>
      </x:c>
      <x:c r="D283" s="54">
        <x:v>42.7314961733086</x:v>
      </x:c>
      <x:c r="E283" s="54">
        <x:v>-73.68159322839131</x:v>
      </x:c>
      <x:c r="F283" s="55" t="n">
        <x:f>_xlfn.COUNTIFS('Connections'!$B$6:$B$590,A283)+_xlfn.COUNTIFS('Connections'!$C$6:$C$590,A283)</x:f>
        <x:v>4</x:v>
      </x:c>
      <x:c r="G283" s="55" t="n">
        <x:f>_xlfn.COUNTIFS('Connections'!$B$6:$B$590,A283,'Connections'!$D$6:$D$590,"TRUE")+_xlfn.COUNTIFS('Connections'!$C$6:$C$590,A283,'Connections'!$D$6:$D$590,"TRUE")</x:f>
        <x:v>4</x:v>
      </x:c>
      <x:c r="H283" s="48" t="s">
        <x:v>66</x:v>
      </x:c>
      <x:c r="I283" s="48" t="s">
        <x:v>67</x:v>
      </x:c>
      <x:c r="J283" s="49"/>
      <x:c r="K283" s="50"/>
      <x:c r="L283" s="56"/>
      <x:c r="M283" s="53" t="s">
        <x:v>210</x:v>
      </x:c>
      <x:c r="N283" s="57">
        <x:v>208</x:v>
      </x:c>
      <x:c r="O283" s="44"/>
    </x:row>
    <x:row r="284" ht="23" customHeight="1">
      <x:c r="A284" s="21" t="s">
        <x:v>416</x:v>
      </x:c>
      <x:c r="B284" s="45" t="s">
        <x:v>416</x:v>
      </x:c>
      <x:c r="C284" s="45" t="s">
        <x:v>209</x:v>
      </x:c>
      <x:c r="D284" s="46">
        <x:v>42.7312283367504</x:v>
      </x:c>
      <x:c r="E284" s="46">
        <x:v>-73.6816123280322</x:v>
      </x:c>
      <x:c r="F284" s="47" t="n">
        <x:f>_xlfn.COUNTIFS('Connections'!$B$6:$B$590,A284)+_xlfn.COUNTIFS('Connections'!$C$6:$C$590,A284)</x:f>
        <x:v>2</x:v>
      </x:c>
      <x:c r="G284" s="47" t="n">
        <x:f>_xlfn.COUNTIFS('Connections'!$B$6:$B$590,A284,'Connections'!$D$6:$D$590,"TRUE")+_xlfn.COUNTIFS('Connections'!$C$6:$C$590,A284,'Connections'!$D$6:$D$590,"TRUE")</x:f>
        <x:v>2</x:v>
      </x:c>
      <x:c r="H284" s="48" t="s">
        <x:v>66</x:v>
      </x:c>
      <x:c r="I284" s="48" t="s">
        <x:v>67</x:v>
      </x:c>
      <x:c r="J284" s="49"/>
      <x:c r="K284" s="50"/>
      <x:c r="L284" s="51"/>
      <x:c r="M284" s="45" t="s">
        <x:v>210</x:v>
      </x:c>
      <x:c r="N284" s="52">
        <x:v>209</x:v>
      </x:c>
      <x:c r="O284" s="44"/>
    </x:row>
    <x:row r="285" ht="23" customHeight="1">
      <x:c r="A285" s="24" t="s">
        <x:v>417</x:v>
      </x:c>
      <x:c r="B285" s="53" t="s">
        <x:v>417</x:v>
      </x:c>
      <x:c r="C285" s="53" t="s">
        <x:v>209</x:v>
      </x:c>
      <x:c r="D285" s="54">
        <x:v>42.7321088638044</x:v>
      </x:c>
      <x:c r="E285" s="54">
        <x:v>-73.6827057824693</x:v>
      </x:c>
      <x:c r="F285" s="55" t="n">
        <x:f>_xlfn.COUNTIFS('Connections'!$B$6:$B$590,A285)+_xlfn.COUNTIFS('Connections'!$C$6:$C$590,A285)</x:f>
        <x:v>2</x:v>
      </x:c>
      <x:c r="G285" s="55" t="n">
        <x:f>_xlfn.COUNTIFS('Connections'!$B$6:$B$590,A285,'Connections'!$D$6:$D$590,"TRUE")+_xlfn.COUNTIFS('Connections'!$C$6:$C$590,A285,'Connections'!$D$6:$D$590,"TRUE")</x:f>
        <x:v>2</x:v>
      </x:c>
      <x:c r="H285" s="48" t="s">
        <x:v>66</x:v>
      </x:c>
      <x:c r="I285" s="48" t="s">
        <x:v>67</x:v>
      </x:c>
      <x:c r="J285" s="49"/>
      <x:c r="K285" s="50"/>
      <x:c r="L285" s="56"/>
      <x:c r="M285" s="53" t="s">
        <x:v>210</x:v>
      </x:c>
      <x:c r="N285" s="57">
        <x:v>210</x:v>
      </x:c>
      <x:c r="O285" s="44"/>
    </x:row>
    <x:row r="286" ht="23" customHeight="1">
      <x:c r="A286" s="21" t="s">
        <x:v>418</x:v>
      </x:c>
      <x:c r="B286" s="45" t="s">
        <x:v>418</x:v>
      </x:c>
      <x:c r="C286" s="45" t="s">
        <x:v>209</x:v>
      </x:c>
      <x:c r="D286" s="46">
        <x:v>42.7318513728643</x:v>
      </x:c>
      <x:c r="E286" s="46">
        <x:v>-73.6831450742082</x:v>
      </x:c>
      <x:c r="F286" s="47" t="n">
        <x:f>_xlfn.COUNTIFS('Connections'!$B$6:$B$590,A286)+_xlfn.COUNTIFS('Connections'!$C$6:$C$590,A286)</x:f>
        <x:v>3</x:v>
      </x:c>
      <x:c r="G286" s="47" t="n">
        <x:f>_xlfn.COUNTIFS('Connections'!$B$6:$B$590,A286,'Connections'!$D$6:$D$590,"TRUE")+_xlfn.COUNTIFS('Connections'!$C$6:$C$590,A286,'Connections'!$D$6:$D$590,"TRUE")</x:f>
        <x:v>3</x:v>
      </x:c>
      <x:c r="H286" s="48" t="s">
        <x:v>66</x:v>
      </x:c>
      <x:c r="I286" s="48" t="s">
        <x:v>67</x:v>
      </x:c>
      <x:c r="J286" s="49"/>
      <x:c r="K286" s="50"/>
      <x:c r="L286" s="51"/>
      <x:c r="M286" s="45" t="s">
        <x:v>210</x:v>
      </x:c>
      <x:c r="N286" s="52">
        <x:v>211</x:v>
      </x:c>
      <x:c r="O286" s="44"/>
    </x:row>
    <x:row r="287" ht="23" customHeight="1">
      <x:c r="A287" s="24" t="s">
        <x:v>419</x:v>
      </x:c>
      <x:c r="B287" s="53" t="s">
        <x:v>419</x:v>
      </x:c>
      <x:c r="C287" s="53" t="s">
        <x:v>209</x:v>
      </x:c>
      <x:c r="D287" s="54">
        <x:v>42.7318513728643</x:v>
      </x:c>
      <x:c r="E287" s="54">
        <x:v>-73.68258800135089</x:v>
      </x:c>
      <x:c r="F287" s="55" t="n">
        <x:f>_xlfn.COUNTIFS('Connections'!$B$6:$B$590,A287)+_xlfn.COUNTIFS('Connections'!$C$6:$C$590,A287)</x:f>
        <x:v>3</x:v>
      </x:c>
      <x:c r="G287" s="55" t="n">
        <x:f>_xlfn.COUNTIFS('Connections'!$B$6:$B$590,A287,'Connections'!$D$6:$D$590,"TRUE")+_xlfn.COUNTIFS('Connections'!$C$6:$C$590,A287,'Connections'!$D$6:$D$590,"TRUE")</x:f>
        <x:v>3</x:v>
      </x:c>
      <x:c r="H287" s="48" t="s">
        <x:v>66</x:v>
      </x:c>
      <x:c r="I287" s="48" t="s">
        <x:v>67</x:v>
      </x:c>
      <x:c r="J287" s="49"/>
      <x:c r="K287" s="50"/>
      <x:c r="L287" s="56"/>
      <x:c r="M287" s="53" t="s">
        <x:v>210</x:v>
      </x:c>
      <x:c r="N287" s="57">
        <x:v>212</x:v>
      </x:c>
      <x:c r="O287" s="44"/>
    </x:row>
    <x:row r="288" ht="23" customHeight="1">
      <x:c r="A288" s="21" t="s">
        <x:v>420</x:v>
      </x:c>
      <x:c r="B288" s="45" t="s">
        <x:v>420</x:v>
      </x:c>
      <x:c r="C288" s="45" t="s">
        <x:v>209</x:v>
      </x:c>
      <x:c r="D288" s="46">
        <x:v>42.7314651364542</x:v>
      </x:c>
      <x:c r="E288" s="46">
        <x:v>-73.68275989811831</x:v>
      </x:c>
      <x:c r="F288" s="47" t="n">
        <x:f>_xlfn.COUNTIFS('Connections'!$B$6:$B$590,A288)+_xlfn.COUNTIFS('Connections'!$C$6:$C$590,A288)</x:f>
        <x:v>4</x:v>
      </x:c>
      <x:c r="G288" s="47" t="n">
        <x:f>_xlfn.COUNTIFS('Connections'!$B$6:$B$590,A288,'Connections'!$D$6:$D$590,"TRUE")+_xlfn.COUNTIFS('Connections'!$C$6:$C$590,A288,'Connections'!$D$6:$D$590,"TRUE")</x:f>
        <x:v>4</x:v>
      </x:c>
      <x:c r="H288" s="48" t="s">
        <x:v>66</x:v>
      </x:c>
      <x:c r="I288" s="48" t="s">
        <x:v>67</x:v>
      </x:c>
      <x:c r="J288" s="49"/>
      <x:c r="K288" s="50"/>
      <x:c r="L288" s="51"/>
      <x:c r="M288" s="45" t="s">
        <x:v>210</x:v>
      </x:c>
      <x:c r="N288" s="52">
        <x:v>213</x:v>
      </x:c>
      <x:c r="O288" s="44"/>
    </x:row>
    <x:row r="289" ht="23" customHeight="1">
      <x:c r="A289" s="24" t="s">
        <x:v>421</x:v>
      </x:c>
      <x:c r="B289" s="53" t="s">
        <x:v>421</x:v>
      </x:c>
      <x:c r="C289" s="53" t="s">
        <x:v>209</x:v>
      </x:c>
      <x:c r="D289" s="54">
        <x:v>42.7310306204929</x:v>
      </x:c>
      <x:c r="E289" s="54">
        <x:v>-73.68239223003241</x:v>
      </x:c>
      <x:c r="F289" s="55" t="n">
        <x:f>_xlfn.COUNTIFS('Connections'!$B$6:$B$590,A289)+_xlfn.COUNTIFS('Connections'!$C$6:$C$590,A289)</x:f>
        <x:v>2</x:v>
      </x:c>
      <x:c r="G289" s="55" t="n">
        <x:f>_xlfn.COUNTIFS('Connections'!$B$6:$B$590,A289,'Connections'!$D$6:$D$590,"TRUE")+_xlfn.COUNTIFS('Connections'!$C$6:$C$590,A289,'Connections'!$D$6:$D$590,"TRUE")</x:f>
        <x:v>1</x:v>
      </x:c>
      <x:c r="H289" s="48" t="s">
        <x:v>66</x:v>
      </x:c>
      <x:c r="I289" s="48" t="s">
        <x:v>67</x:v>
      </x:c>
      <x:c r="J289" s="49"/>
      <x:c r="K289" s="50"/>
      <x:c r="L289" s="56"/>
      <x:c r="M289" s="53" t="s">
        <x:v>210</x:v>
      </x:c>
      <x:c r="N289" s="57">
        <x:v>214</x:v>
      </x:c>
      <x:c r="O289" s="44"/>
    </x:row>
    <x:row r="290" ht="23" customHeight="1">
      <x:c r="A290" s="21" t="s">
        <x:v>422</x:v>
      </x:c>
      <x:c r="B290" s="45" t="s">
        <x:v>422</x:v>
      </x:c>
      <x:c r="C290" s="45" t="s">
        <x:v>209</x:v>
      </x:c>
      <x:c r="D290" s="46">
        <x:v>42.7311616649891</x:v>
      </x:c>
      <x:c r="E290" s="46">
        <x:v>-73.6829063286979</x:v>
      </x:c>
      <x:c r="F290" s="47" t="n">
        <x:f>_xlfn.COUNTIFS('Connections'!$B$6:$B$590,A290)+_xlfn.COUNTIFS('Connections'!$C$6:$C$590,A290)</x:f>
        <x:v>2</x:v>
      </x:c>
      <x:c r="G290" s="47" t="n">
        <x:f>_xlfn.COUNTIFS('Connections'!$B$6:$B$590,A290,'Connections'!$D$6:$D$590,"TRUE")+_xlfn.COUNTIFS('Connections'!$C$6:$C$590,A290,'Connections'!$D$6:$D$590,"TRUE")</x:f>
        <x:v>2</x:v>
      </x:c>
      <x:c r="H290" s="48" t="s">
        <x:v>66</x:v>
      </x:c>
      <x:c r="I290" s="48" t="s">
        <x:v>67</x:v>
      </x:c>
      <x:c r="J290" s="49"/>
      <x:c r="K290" s="50"/>
      <x:c r="L290" s="51"/>
      <x:c r="M290" s="45" t="s">
        <x:v>210</x:v>
      </x:c>
      <x:c r="N290" s="52">
        <x:v>215</x:v>
      </x:c>
      <x:c r="O290" s="44"/>
    </x:row>
    <x:row r="291" ht="23" customHeight="1">
      <x:c r="A291" s="24" t="s">
        <x:v>423</x:v>
      </x:c>
      <x:c r="B291" s="53" t="s">
        <x:v>423</x:v>
      </x:c>
      <x:c r="C291" s="53" t="s">
        <x:v>209</x:v>
      </x:c>
      <x:c r="D291" s="54">
        <x:v>42.7309915370466</x:v>
      </x:c>
      <x:c r="E291" s="54">
        <x:v>-73.6831036916531</x:v>
      </x:c>
      <x:c r="F291" s="55" t="n">
        <x:f>_xlfn.COUNTIFS('Connections'!$B$6:$B$590,A291)+_xlfn.COUNTIFS('Connections'!$C$6:$C$590,A291)</x:f>
        <x:v>2</x:v>
      </x:c>
      <x:c r="G291" s="55" t="n">
        <x:f>_xlfn.COUNTIFS('Connections'!$B$6:$B$590,A291,'Connections'!$D$6:$D$590,"TRUE")+_xlfn.COUNTIFS('Connections'!$C$6:$C$590,A291,'Connections'!$D$6:$D$590,"TRUE")</x:f>
        <x:v>2</x:v>
      </x:c>
      <x:c r="H291" s="48" t="s">
        <x:v>66</x:v>
      </x:c>
      <x:c r="I291" s="48" t="s">
        <x:v>67</x:v>
      </x:c>
      <x:c r="J291" s="49"/>
      <x:c r="K291" s="50"/>
      <x:c r="L291" s="56"/>
      <x:c r="M291" s="53" t="s">
        <x:v>210</x:v>
      </x:c>
      <x:c r="N291" s="57">
        <x:v>216</x:v>
      </x:c>
      <x:c r="O291" s="44"/>
    </x:row>
    <x:row r="292" ht="23" customHeight="1">
      <x:c r="A292" s="21" t="s">
        <x:v>424</x:v>
      </x:c>
      <x:c r="B292" s="45" t="s">
        <x:v>424</x:v>
      </x:c>
      <x:c r="C292" s="45" t="s">
        <x:v>209</x:v>
      </x:c>
      <x:c r="D292" s="46">
        <x:v>42.7309616497053</x:v>
      </x:c>
      <x:c r="E292" s="46">
        <x:v>-73.68335835353071</x:v>
      </x:c>
      <x:c r="F292" s="47" t="n">
        <x:f>_xlfn.COUNTIFS('Connections'!$B$6:$B$590,A292)+_xlfn.COUNTIFS('Connections'!$C$6:$C$590,A292)</x:f>
        <x:v>4</x:v>
      </x:c>
      <x:c r="G292" s="47" t="n">
        <x:f>_xlfn.COUNTIFS('Connections'!$B$6:$B$590,A292,'Connections'!$D$6:$D$590,"TRUE")+_xlfn.COUNTIFS('Connections'!$C$6:$C$590,A292,'Connections'!$D$6:$D$590,"TRUE")</x:f>
        <x:v>3</x:v>
      </x:c>
      <x:c r="H292" s="48" t="s">
        <x:v>66</x:v>
      </x:c>
      <x:c r="I292" s="48" t="s">
        <x:v>67</x:v>
      </x:c>
      <x:c r="J292" s="49"/>
      <x:c r="K292" s="50"/>
      <x:c r="L292" s="51"/>
      <x:c r="M292" s="45" t="s">
        <x:v>210</x:v>
      </x:c>
      <x:c r="N292" s="52">
        <x:v>217</x:v>
      </x:c>
      <x:c r="O292" s="44"/>
    </x:row>
    <x:row r="293" ht="23" customHeight="1">
      <x:c r="A293" s="24" t="s">
        <x:v>425</x:v>
      </x:c>
      <x:c r="B293" s="53" t="s">
        <x:v>425</x:v>
      </x:c>
      <x:c r="C293" s="53" t="s">
        <x:v>209</x:v>
      </x:c>
      <x:c r="D293" s="54">
        <x:v>42.730912220641</x:v>
      </x:c>
      <x:c r="E293" s="54">
        <x:v>-73.68232060637941</x:v>
      </x:c>
      <x:c r="F293" s="55" t="n">
        <x:f>_xlfn.COUNTIFS('Connections'!$B$6:$B$590,A293)+_xlfn.COUNTIFS('Connections'!$C$6:$C$590,A293)</x:f>
        <x:v>2</x:v>
      </x:c>
      <x:c r="G293" s="55" t="n">
        <x:f>_xlfn.COUNTIFS('Connections'!$B$6:$B$590,A293,'Connections'!$D$6:$D$590,"TRUE")+_xlfn.COUNTIFS('Connections'!$C$6:$C$590,A293,'Connections'!$D$6:$D$590,"TRUE")</x:f>
        <x:v>1</x:v>
      </x:c>
      <x:c r="H293" s="48" t="s">
        <x:v>66</x:v>
      </x:c>
      <x:c r="I293" s="48" t="s">
        <x:v>67</x:v>
      </x:c>
      <x:c r="J293" s="49"/>
      <x:c r="K293" s="50"/>
      <x:c r="L293" s="56"/>
      <x:c r="M293" s="53" t="s">
        <x:v>210</x:v>
      </x:c>
      <x:c r="N293" s="57">
        <x:v>218</x:v>
      </x:c>
      <x:c r="O293" s="44"/>
    </x:row>
    <x:row r="294" ht="23" customHeight="1">
      <x:c r="A294" s="21" t="s">
        <x:v>426</x:v>
      </x:c>
      <x:c r="B294" s="45" t="s">
        <x:v>426</x:v>
      </x:c>
      <x:c r="C294" s="45" t="s">
        <x:v>209</x:v>
      </x:c>
      <x:c r="D294" s="46">
        <x:v>42.7311041893329</x:v>
      </x:c>
      <x:c r="E294" s="46">
        <x:v>-73.68099636461559</x:v>
      </x:c>
      <x:c r="F294" s="47" t="n">
        <x:f>_xlfn.COUNTIFS('Connections'!$B$6:$B$590,A294)+_xlfn.COUNTIFS('Connections'!$C$6:$C$590,A294)</x:f>
        <x:v>2</x:v>
      </x:c>
      <x:c r="G294" s="47" t="n">
        <x:f>_xlfn.COUNTIFS('Connections'!$B$6:$B$590,A294,'Connections'!$D$6:$D$590,"TRUE")+_xlfn.COUNTIFS('Connections'!$C$6:$C$590,A294,'Connections'!$D$6:$D$590,"TRUE")</x:f>
        <x:v>2</x:v>
      </x:c>
      <x:c r="H294" s="48" t="s">
        <x:v>66</x:v>
      </x:c>
      <x:c r="I294" s="48" t="s">
        <x:v>67</x:v>
      </x:c>
      <x:c r="J294" s="49"/>
      <x:c r="K294" s="50"/>
      <x:c r="L294" s="51"/>
      <x:c r="M294" s="45" t="s">
        <x:v>210</x:v>
      </x:c>
      <x:c r="N294" s="52">
        <x:v>219</x:v>
      </x:c>
      <x:c r="O294" s="44"/>
    </x:row>
    <x:row r="295" ht="23" customHeight="1">
      <x:c r="A295" s="24" t="s">
        <x:v>427</x:v>
      </x:c>
      <x:c r="B295" s="53" t="s">
        <x:v>427</x:v>
      </x:c>
      <x:c r="C295" s="53" t="s">
        <x:v>209</x:v>
      </x:c>
      <x:c r="D295" s="54">
        <x:v>42.7311214320298</x:v>
      </x:c>
      <x:c r="E295" s="54">
        <x:v>-73.6813735825219</x:v>
      </x:c>
      <x:c r="F295" s="55" t="n">
        <x:f>_xlfn.COUNTIFS('Connections'!$B$6:$B$590,A295)+_xlfn.COUNTIFS('Connections'!$C$6:$C$590,A295)</x:f>
        <x:v>2</x:v>
      </x:c>
      <x:c r="G295" s="55" t="n">
        <x:f>_xlfn.COUNTIFS('Connections'!$B$6:$B$590,A295,'Connections'!$D$6:$D$590,"TRUE")+_xlfn.COUNTIFS('Connections'!$C$6:$C$590,A295,'Connections'!$D$6:$D$590,"TRUE")</x:f>
        <x:v>2</x:v>
      </x:c>
      <x:c r="H295" s="48" t="s">
        <x:v>66</x:v>
      </x:c>
      <x:c r="I295" s="48" t="s">
        <x:v>67</x:v>
      </x:c>
      <x:c r="J295" s="49"/>
      <x:c r="K295" s="50"/>
      <x:c r="L295" s="56"/>
      <x:c r="M295" s="53" t="s">
        <x:v>210</x:v>
      </x:c>
      <x:c r="N295" s="57">
        <x:v>220</x:v>
      </x:c>
      <x:c r="O295" s="44"/>
    </x:row>
    <x:row r="296" ht="23" customHeight="1">
      <x:c r="A296" s="21" t="s">
        <x:v>428</x:v>
      </x:c>
      <x:c r="B296" s="45" t="s">
        <x:v>428</x:v>
      </x:c>
      <x:c r="C296" s="45" t="s">
        <x:v>209</x:v>
      </x:c>
      <x:c r="D296" s="46">
        <x:v>42.730793820789</x:v>
      </x:c>
      <x:c r="E296" s="46">
        <x:v>-73.680603230342</x:v>
      </x:c>
      <x:c r="F296" s="47" t="n">
        <x:f>_xlfn.COUNTIFS('Connections'!$B$6:$B$590,A296)+_xlfn.COUNTIFS('Connections'!$C$6:$C$590,A296)</x:f>
        <x:v>3</x:v>
      </x:c>
      <x:c r="G296" s="47" t="n">
        <x:f>_xlfn.COUNTIFS('Connections'!$B$6:$B$590,A296,'Connections'!$D$6:$D$590,"TRUE")+_xlfn.COUNTIFS('Connections'!$C$6:$C$590,A296,'Connections'!$D$6:$D$590,"TRUE")</x:f>
        <x:v>3</x:v>
      </x:c>
      <x:c r="H296" s="48" t="s">
        <x:v>66</x:v>
      </x:c>
      <x:c r="I296" s="48" t="s">
        <x:v>67</x:v>
      </x:c>
      <x:c r="J296" s="49"/>
      <x:c r="K296" s="50"/>
      <x:c r="L296" s="51"/>
      <x:c r="M296" s="45" t="s">
        <x:v>210</x:v>
      </x:c>
      <x:c r="N296" s="52">
        <x:v>221</x:v>
      </x:c>
      <x:c r="O296" s="44"/>
    </x:row>
    <x:row r="297" ht="23" customHeight="1">
      <x:c r="A297" s="24" t="s">
        <x:v>429</x:v>
      </x:c>
      <x:c r="B297" s="53" t="s">
        <x:v>429</x:v>
      </x:c>
      <x:c r="C297" s="53" t="s">
        <x:v>209</x:v>
      </x:c>
      <x:c r="D297" s="54">
        <x:v>42.7312513270129</x:v>
      </x:c>
      <x:c r="E297" s="54">
        <x:v>-73.6803644848317</x:v>
      </x:c>
      <x:c r="F297" s="55" t="n">
        <x:f>_xlfn.COUNTIFS('Connections'!$B$6:$B$590,A297)+_xlfn.COUNTIFS('Connections'!$C$6:$C$590,A297)</x:f>
        <x:v>3</x:v>
      </x:c>
      <x:c r="G297" s="55" t="n">
        <x:f>_xlfn.COUNTIFS('Connections'!$B$6:$B$590,A297,'Connections'!$D$6:$D$590,"TRUE")+_xlfn.COUNTIFS('Connections'!$C$6:$C$590,A297,'Connections'!$D$6:$D$590,"TRUE")</x:f>
        <x:v>3</x:v>
      </x:c>
      <x:c r="H297" s="48" t="s">
        <x:v>66</x:v>
      </x:c>
      <x:c r="I297" s="48" t="s">
        <x:v>67</x:v>
      </x:c>
      <x:c r="J297" s="49"/>
      <x:c r="K297" s="50"/>
      <x:c r="L297" s="56"/>
      <x:c r="M297" s="53" t="s">
        <x:v>210</x:v>
      </x:c>
      <x:c r="N297" s="57">
        <x:v>222</x:v>
      </x:c>
      <x:c r="O297" s="44"/>
    </x:row>
    <x:row r="298" ht="23" customHeight="1">
      <x:c r="A298" s="21" t="s">
        <x:v>430</x:v>
      </x:c>
      <x:c r="B298" s="45" t="s">
        <x:v>430</x:v>
      </x:c>
      <x:c r="C298" s="45" t="s">
        <x:v>209</x:v>
      </x:c>
      <x:c r="D298" s="46">
        <x:v>42.7314191559292</x:v>
      </x:c>
      <x:c r="E298" s="46">
        <x:v>-73.68037562628891</x:v>
      </x:c>
      <x:c r="F298" s="47" t="n">
        <x:f>_xlfn.COUNTIFS('Connections'!$B$6:$B$590,A298)+_xlfn.COUNTIFS('Connections'!$C$6:$C$590,A298)</x:f>
        <x:v>2</x:v>
      </x:c>
      <x:c r="G298" s="47" t="n">
        <x:f>_xlfn.COUNTIFS('Connections'!$B$6:$B$590,A298,'Connections'!$D$6:$D$590,"TRUE")+_xlfn.COUNTIFS('Connections'!$C$6:$C$590,A298,'Connections'!$D$6:$D$590,"TRUE")</x:f>
        <x:v>2</x:v>
      </x:c>
      <x:c r="H298" s="48" t="s">
        <x:v>66</x:v>
      </x:c>
      <x:c r="I298" s="48" t="s">
        <x:v>67</x:v>
      </x:c>
      <x:c r="J298" s="49"/>
      <x:c r="K298" s="50"/>
      <x:c r="L298" s="51"/>
      <x:c r="M298" s="45" t="s">
        <x:v>210</x:v>
      </x:c>
      <x:c r="N298" s="52">
        <x:v>223</x:v>
      </x:c>
      <x:c r="O298" s="44"/>
    </x:row>
    <x:row r="299" ht="23" customHeight="1">
      <x:c r="A299" s="24" t="s">
        <x:v>431</x:v>
      </x:c>
      <x:c r="B299" s="53" t="s">
        <x:v>431</x:v>
      </x:c>
      <x:c r="C299" s="53" t="s">
        <x:v>209</x:v>
      </x:c>
      <x:c r="D299" s="54">
        <x:v>42.7315869848455</x:v>
      </x:c>
      <x:c r="E299" s="54">
        <x:v>-73.6808340176686</x:v>
      </x:c>
      <x:c r="F299" s="55" t="n">
        <x:f>_xlfn.COUNTIFS('Connections'!$B$6:$B$590,A299)+_xlfn.COUNTIFS('Connections'!$C$6:$C$590,A299)</x:f>
        <x:v>2</x:v>
      </x:c>
      <x:c r="G299" s="55" t="n">
        <x:f>_xlfn.COUNTIFS('Connections'!$B$6:$B$590,A299,'Connections'!$D$6:$D$590,"TRUE")+_xlfn.COUNTIFS('Connections'!$C$6:$C$590,A299,'Connections'!$D$6:$D$590,"TRUE")</x:f>
        <x:v>2</x:v>
      </x:c>
      <x:c r="H299" s="48" t="s">
        <x:v>66</x:v>
      </x:c>
      <x:c r="I299" s="48" t="s">
        <x:v>67</x:v>
      </x:c>
      <x:c r="J299" s="49"/>
      <x:c r="K299" s="50"/>
      <x:c r="L299" s="56"/>
      <x:c r="M299" s="53" t="s">
        <x:v>210</x:v>
      </x:c>
      <x:c r="N299" s="57">
        <x:v>224</x:v>
      </x:c>
      <x:c r="O299" s="44"/>
    </x:row>
    <x:row r="300" ht="23" customHeight="1">
      <x:c r="A300" s="21" t="s">
        <x:v>432</x:v>
      </x:c>
      <x:c r="B300" s="45" t="s">
        <x:v>432</x:v>
      </x:c>
      <x:c r="C300" s="45" t="s">
        <x:v>209</x:v>
      </x:c>
      <x:c r="D300" s="46">
        <x:v>42.7319433339144</x:v>
      </x:c>
      <x:c r="E300" s="46">
        <x:v>-73.6811937275708</x:v>
      </x:c>
      <x:c r="F300" s="47" t="n">
        <x:f>_xlfn.COUNTIFS('Connections'!$B$6:$B$590,A300)+_xlfn.COUNTIFS('Connections'!$C$6:$C$590,A300)</x:f>
        <x:v>4</x:v>
      </x:c>
      <x:c r="G300" s="47" t="n">
        <x:f>_xlfn.COUNTIFS('Connections'!$B$6:$B$590,A300,'Connections'!$D$6:$D$590,"TRUE")+_xlfn.COUNTIFS('Connections'!$C$6:$C$590,A300,'Connections'!$D$6:$D$590,"TRUE")</x:f>
        <x:v>4</x:v>
      </x:c>
      <x:c r="H300" s="48" t="s">
        <x:v>66</x:v>
      </x:c>
      <x:c r="I300" s="48" t="s">
        <x:v>67</x:v>
      </x:c>
      <x:c r="J300" s="49"/>
      <x:c r="K300" s="50"/>
      <x:c r="L300" s="51"/>
      <x:c r="M300" s="45" t="s">
        <x:v>210</x:v>
      </x:c>
      <x:c r="N300" s="52">
        <x:v>225</x:v>
      </x:c>
      <x:c r="O300" s="44"/>
    </x:row>
    <x:row r="301" ht="23" customHeight="1">
      <x:c r="A301" s="24" t="s">
        <x:v>433</x:v>
      </x:c>
      <x:c r="B301" s="53" t="s">
        <x:v>433</x:v>
      </x:c>
      <x:c r="C301" s="53" t="s">
        <x:v>209</x:v>
      </x:c>
      <x:c r="D301" s="54">
        <x:v>42.7321548443294</x:v>
      </x:c>
      <x:c r="E301" s="54">
        <x:v>-73.68113961192179</x:v>
      </x:c>
      <x:c r="F301" s="55" t="n">
        <x:f>_xlfn.COUNTIFS('Connections'!$B$6:$B$590,A301)+_xlfn.COUNTIFS('Connections'!$C$6:$C$590,A301)</x:f>
        <x:v>2</x:v>
      </x:c>
      <x:c r="G301" s="55" t="n">
        <x:f>_xlfn.COUNTIFS('Connections'!$B$6:$B$590,A301,'Connections'!$D$6:$D$590,"TRUE")+_xlfn.COUNTIFS('Connections'!$C$6:$C$590,A301,'Connections'!$D$6:$D$590,"TRUE")</x:f>
        <x:v>2</x:v>
      </x:c>
      <x:c r="H301" s="48" t="s">
        <x:v>66</x:v>
      </x:c>
      <x:c r="I301" s="48" t="s">
        <x:v>67</x:v>
      </x:c>
      <x:c r="J301" s="49"/>
      <x:c r="K301" s="50"/>
      <x:c r="L301" s="56"/>
      <x:c r="M301" s="53" t="s">
        <x:v>210</x:v>
      </x:c>
      <x:c r="N301" s="57">
        <x:v>226</x:v>
      </x:c>
      <x:c r="O301" s="44"/>
    </x:row>
    <x:row r="302" ht="23" customHeight="1">
      <x:c r="A302" s="21" t="s">
        <x:v>434</x:v>
      </x:c>
      <x:c r="B302" s="45" t="s">
        <x:v>434</x:v>
      </x:c>
      <x:c r="C302" s="45" t="s">
        <x:v>209</x:v>
      </x:c>
      <x:c r="D302" s="46">
        <x:v>42.7323410654557</x:v>
      </x:c>
      <x:c r="E302" s="46">
        <x:v>-73.6812780843178</x:v>
      </x:c>
      <x:c r="F302" s="47" t="n">
        <x:f>_xlfn.COUNTIFS('Connections'!$B$6:$B$590,A302)+_xlfn.COUNTIFS('Connections'!$C$6:$C$590,A302)</x:f>
        <x:v>2</x:v>
      </x:c>
      <x:c r="G302" s="47" t="n">
        <x:f>_xlfn.COUNTIFS('Connections'!$B$6:$B$590,A302,'Connections'!$D$6:$D$590,"TRUE")+_xlfn.COUNTIFS('Connections'!$C$6:$C$590,A302,'Connections'!$D$6:$D$590,"TRUE")</x:f>
        <x:v>2</x:v>
      </x:c>
      <x:c r="H302" s="48" t="s">
        <x:v>66</x:v>
      </x:c>
      <x:c r="I302" s="48" t="s">
        <x:v>67</x:v>
      </x:c>
      <x:c r="J302" s="49"/>
      <x:c r="K302" s="50"/>
      <x:c r="L302" s="51"/>
      <x:c r="M302" s="45" t="s">
        <x:v>210</x:v>
      </x:c>
      <x:c r="N302" s="52">
        <x:v>227</x:v>
      </x:c>
      <x:c r="O302" s="44"/>
    </x:row>
    <x:row r="303" ht="23" customHeight="1">
      <x:c r="A303" s="24" t="s">
        <x:v>435</x:v>
      </x:c>
      <x:c r="B303" s="53" t="s">
        <x:v>435</x:v>
      </x:c>
      <x:c r="C303" s="53" t="s">
        <x:v>209</x:v>
      </x:c>
      <x:c r="D303" s="54">
        <x:v>42.732527286582</x:v>
      </x:c>
      <x:c r="E303" s="54">
        <x:v>-73.6809645318809</x:v>
      </x:c>
      <x:c r="F303" s="55" t="n">
        <x:f>_xlfn.COUNTIFS('Connections'!$B$6:$B$590,A303)+_xlfn.COUNTIFS('Connections'!$C$6:$C$590,A303)</x:f>
        <x:v>2</x:v>
      </x:c>
      <x:c r="G303" s="55" t="n">
        <x:f>_xlfn.COUNTIFS('Connections'!$B$6:$B$590,A303,'Connections'!$D$6:$D$590,"TRUE")+_xlfn.COUNTIFS('Connections'!$C$6:$C$590,A303,'Connections'!$D$6:$D$590,"TRUE")</x:f>
        <x:v>2</x:v>
      </x:c>
      <x:c r="H303" s="48" t="s">
        <x:v>66</x:v>
      </x:c>
      <x:c r="I303" s="48" t="s">
        <x:v>67</x:v>
      </x:c>
      <x:c r="J303" s="49"/>
      <x:c r="K303" s="50"/>
      <x:c r="L303" s="56"/>
      <x:c r="M303" s="53" t="s">
        <x:v>210</x:v>
      </x:c>
      <x:c r="N303" s="57">
        <x:v>228</x:v>
      </x:c>
      <x:c r="O303" s="44"/>
    </x:row>
    <x:row r="304" ht="23" customHeight="1">
      <x:c r="A304" s="21" t="s">
        <x:v>436</x:v>
      </x:c>
      <x:c r="B304" s="45" t="s">
        <x:v>436</x:v>
      </x:c>
      <x:c r="C304" s="45" t="s">
        <x:v>209</x:v>
      </x:c>
      <x:c r="D304" s="46">
        <x:v>42.7328801871115</x:v>
      </x:c>
      <x:c r="E304" s="46">
        <x:v>-73.68267394973461</x:v>
      </x:c>
      <x:c r="F304" s="47" t="n">
        <x:f>_xlfn.COUNTIFS('Connections'!$B$6:$B$590,A304)+_xlfn.COUNTIFS('Connections'!$C$6:$C$590,A304)</x:f>
        <x:v>4</x:v>
      </x:c>
      <x:c r="G304" s="47" t="n">
        <x:f>_xlfn.COUNTIFS('Connections'!$B$6:$B$590,A304,'Connections'!$D$6:$D$590,"TRUE")+_xlfn.COUNTIFS('Connections'!$C$6:$C$590,A304,'Connections'!$D$6:$D$590,"TRUE")</x:f>
        <x:v>4</x:v>
      </x:c>
      <x:c r="H304" s="48" t="s">
        <x:v>66</x:v>
      </x:c>
      <x:c r="I304" s="48" t="s">
        <x:v>67</x:v>
      </x:c>
      <x:c r="J304" s="49"/>
      <x:c r="K304" s="50"/>
      <x:c r="L304" s="51"/>
      <x:c r="M304" s="45" t="s">
        <x:v>210</x:v>
      </x:c>
      <x:c r="N304" s="52">
        <x:v>229</x:v>
      </x:c>
      <x:c r="O304" s="44"/>
    </x:row>
    <x:row r="305" ht="23" customHeight="1">
      <x:c r="A305" s="24" t="s">
        <x:v>437</x:v>
      </x:c>
      <x:c r="B305" s="53" t="s">
        <x:v>437</x:v>
      </x:c>
      <x:c r="C305" s="53" t="s">
        <x:v>209</x:v>
      </x:c>
      <x:c r="D305" s="54">
        <x:v>42.7281269503383</x:v>
      </x:c>
      <x:c r="E305" s="54">
        <x:v>-73.6849754564538</x:v>
      </x:c>
      <x:c r="F305" s="55" t="n">
        <x:f>_xlfn.COUNTIFS('Connections'!$B$6:$B$590,A305)+_xlfn.COUNTIFS('Connections'!$C$6:$C$590,A305)</x:f>
        <x:v>3</x:v>
      </x:c>
      <x:c r="G305" s="55" t="n">
        <x:f>_xlfn.COUNTIFS('Connections'!$B$6:$B$590,A305,'Connections'!$D$6:$D$590,"TRUE")+_xlfn.COUNTIFS('Connections'!$C$6:$C$590,A305,'Connections'!$D$6:$D$590,"TRUE")</x:f>
        <x:v>3</x:v>
      </x:c>
      <x:c r="H305" s="48" t="s">
        <x:v>66</x:v>
      </x:c>
      <x:c r="I305" s="48" t="s">
        <x:v>67</x:v>
      </x:c>
      <x:c r="J305" s="49"/>
      <x:c r="K305" s="50"/>
      <x:c r="L305" s="56"/>
      <x:c r="M305" s="53" t="s">
        <x:v>210</x:v>
      </x:c>
      <x:c r="N305" s="57">
        <x:v>230</x:v>
      </x:c>
      <x:c r="O305" s="44"/>
    </x:row>
    <x:row r="306" ht="23" customHeight="1">
      <x:c r="A306" s="21" t="s">
        <x:v>438</x:v>
      </x:c>
      <x:c r="B306" s="45" t="s">
        <x:v>438</x:v>
      </x:c>
      <x:c r="C306" s="45" t="s">
        <x:v>209</x:v>
      </x:c>
      <x:c r="D306" s="46">
        <x:v>42.7278315254651</x:v>
      </x:c>
      <x:c r="E306" s="46">
        <x:v>-73.6780470617452</x:v>
      </x:c>
      <x:c r="F306" s="47" t="n">
        <x:f>_xlfn.COUNTIFS('Connections'!$B$6:$B$590,A306)+_xlfn.COUNTIFS('Connections'!$C$6:$C$590,A306)</x:f>
        <x:v>3</x:v>
      </x:c>
      <x:c r="G306" s="47" t="n">
        <x:f>_xlfn.COUNTIFS('Connections'!$B$6:$B$590,A306,'Connections'!$D$6:$D$590,"TRUE")+_xlfn.COUNTIFS('Connections'!$C$6:$C$590,A306,'Connections'!$D$6:$D$590,"TRUE")</x:f>
        <x:v>3</x:v>
      </x:c>
      <x:c r="H306" s="48" t="s">
        <x:v>66</x:v>
      </x:c>
      <x:c r="I306" s="48" t="s">
        <x:v>67</x:v>
      </x:c>
      <x:c r="J306" s="49"/>
      <x:c r="K306" s="50"/>
      <x:c r="L306" s="51"/>
      <x:c r="M306" s="45" t="s">
        <x:v>210</x:v>
      </x:c>
      <x:c r="N306" s="52">
        <x:v>231</x:v>
      </x:c>
      <x:c r="O306" s="44"/>
    </x:row>
    <x:row r="307" ht="23" customHeight="1">
      <x:c r="A307" s="24" t="s">
        <x:v>439</x:v>
      </x:c>
      <x:c r="B307" s="53" t="s">
        <x:v>439</x:v>
      </x:c>
      <x:c r="C307" s="53" t="s">
        <x:v>209</x:v>
      </x:c>
      <x:c r="D307" s="54">
        <x:v>42.7329434103334</x:v>
      </x:c>
      <x:c r="E307" s="54">
        <x:v>-73.6803597099215</x:v>
      </x:c>
      <x:c r="F307" s="55" t="n">
        <x:f>_xlfn.COUNTIFS('Connections'!$B$6:$B$590,A307)+_xlfn.COUNTIFS('Connections'!$C$6:$C$590,A307)</x:f>
        <x:v>6</x:v>
      </x:c>
      <x:c r="G307" s="55" t="n">
        <x:f>_xlfn.COUNTIFS('Connections'!$B$6:$B$590,A307,'Connections'!$D$6:$D$590,"TRUE")+_xlfn.COUNTIFS('Connections'!$C$6:$C$590,A307,'Connections'!$D$6:$D$590,"TRUE")</x:f>
        <x:v>6</x:v>
      </x:c>
      <x:c r="H307" s="48" t="s">
        <x:v>66</x:v>
      </x:c>
      <x:c r="I307" s="48" t="s">
        <x:v>67</x:v>
      </x:c>
      <x:c r="J307" s="49"/>
      <x:c r="K307" s="50"/>
      <x:c r="L307" s="56"/>
      <x:c r="M307" s="53" t="s">
        <x:v>210</x:v>
      </x:c>
      <x:c r="N307" s="57">
        <x:v>232</x:v>
      </x:c>
      <x:c r="O307" s="44"/>
    </x:row>
    <x:row r="308" ht="23" customHeight="1">
      <x:c r="A308" s="21" t="s">
        <x:v>440</x:v>
      </x:c>
      <x:c r="B308" s="45" t="s">
        <x:v>440</x:v>
      </x:c>
      <x:c r="C308" s="45" t="s">
        <x:v>209</x:v>
      </x:c>
      <x:c r="D308" s="46">
        <x:v>42.7328284590208</x:v>
      </x:c>
      <x:c r="E308" s="46">
        <x:v>-73.6798822189009</x:v>
      </x:c>
      <x:c r="F308" s="47" t="n">
        <x:f>_xlfn.COUNTIFS('Connections'!$B$6:$B$590,A308)+_xlfn.COUNTIFS('Connections'!$C$6:$C$590,A308)</x:f>
        <x:v>3</x:v>
      </x:c>
      <x:c r="G308" s="47" t="n">
        <x:f>_xlfn.COUNTIFS('Connections'!$B$6:$B$590,A308,'Connections'!$D$6:$D$590,"TRUE")+_xlfn.COUNTIFS('Connections'!$C$6:$C$590,A308,'Connections'!$D$6:$D$590,"TRUE")</x:f>
        <x:v>3</x:v>
      </x:c>
      <x:c r="H308" s="48" t="s">
        <x:v>66</x:v>
      </x:c>
      <x:c r="I308" s="48" t="s">
        <x:v>67</x:v>
      </x:c>
      <x:c r="J308" s="49"/>
      <x:c r="K308" s="50"/>
      <x:c r="L308" s="51"/>
      <x:c r="M308" s="45" t="s">
        <x:v>210</x:v>
      </x:c>
      <x:c r="N308" s="52">
        <x:v>233</x:v>
      </x:c>
      <x:c r="O308" s="44"/>
    </x:row>
    <x:row r="309" ht="23" customHeight="1">
      <x:c r="A309" s="24" t="s">
        <x:v>441</x:v>
      </x:c>
      <x:c r="B309" s="53" t="s">
        <x:v>441</x:v>
      </x:c>
      <x:c r="C309" s="53" t="s">
        <x:v>209</x:v>
      </x:c>
      <x:c r="D309" s="54">
        <x:v>42.7334606912398</x:v>
      </x:c>
      <x:c r="E309" s="54">
        <x:v>-73.6795957242886</x:v>
      </x:c>
      <x:c r="F309" s="55" t="n">
        <x:f>_xlfn.COUNTIFS('Connections'!$B$6:$B$590,A309)+_xlfn.COUNTIFS('Connections'!$C$6:$C$590,A309)</x:f>
        <x:v>3</x:v>
      </x:c>
      <x:c r="G309" s="55" t="n">
        <x:f>_xlfn.COUNTIFS('Connections'!$B$6:$B$590,A309,'Connections'!$D$6:$D$590,"TRUE")+_xlfn.COUNTIFS('Connections'!$C$6:$C$590,A309,'Connections'!$D$6:$D$590,"TRUE")</x:f>
        <x:v>3</x:v>
      </x:c>
      <x:c r="H309" s="48" t="s">
        <x:v>66</x:v>
      </x:c>
      <x:c r="I309" s="48" t="s">
        <x:v>67</x:v>
      </x:c>
      <x:c r="J309" s="49"/>
      <x:c r="K309" s="50"/>
      <x:c r="L309" s="56"/>
      <x:c r="M309" s="53" t="s">
        <x:v>210</x:v>
      </x:c>
      <x:c r="N309" s="57">
        <x:v>234</x:v>
      </x:c>
      <x:c r="O309" s="44"/>
    </x:row>
    <x:row r="310" ht="23" customHeight="1">
      <x:c r="A310" s="21" t="s">
        <x:v>442</x:v>
      </x:c>
      <x:c r="B310" s="45" t="s">
        <x:v>442</x:v>
      </x:c>
      <x:c r="C310" s="45" t="s">
        <x:v>209</x:v>
      </x:c>
      <x:c r="D310" s="46">
        <x:v>42.7330813519084</x:v>
      </x:c>
      <x:c r="E310" s="46">
        <x:v>-73.6806302881665</x:v>
      </x:c>
      <x:c r="F310" s="47" t="n">
        <x:f>_xlfn.COUNTIFS('Connections'!$B$6:$B$590,A310)+_xlfn.COUNTIFS('Connections'!$C$6:$C$590,A310)</x:f>
        <x:v>3</x:v>
      </x:c>
      <x:c r="G310" s="47" t="n">
        <x:f>_xlfn.COUNTIFS('Connections'!$B$6:$B$590,A310,'Connections'!$D$6:$D$590,"TRUE")+_xlfn.COUNTIFS('Connections'!$C$6:$C$590,A310,'Connections'!$D$6:$D$590,"TRUE")</x:f>
        <x:v>3</x:v>
      </x:c>
      <x:c r="H310" s="48" t="s">
        <x:v>66</x:v>
      </x:c>
      <x:c r="I310" s="48" t="s">
        <x:v>67</x:v>
      </x:c>
      <x:c r="J310" s="49"/>
      <x:c r="K310" s="50"/>
      <x:c r="L310" s="51"/>
      <x:c r="M310" s="45" t="s">
        <x:v>210</x:v>
      </x:c>
      <x:c r="N310" s="52">
        <x:v>235</x:v>
      </x:c>
      <x:c r="O310" s="44"/>
    </x:row>
    <x:row r="311" ht="23" customHeight="1">
      <x:c r="A311" s="24" t="s">
        <x:v>443</x:v>
      </x:c>
      <x:c r="B311" s="53" t="s">
        <x:v>443</x:v>
      </x:c>
      <x:c r="C311" s="53" t="s">
        <x:v>209</x:v>
      </x:c>
      <x:c r="D311" s="54">
        <x:v>42.7336066794067</x:v>
      </x:c>
      <x:c r="E311" s="54">
        <x:v>-73.6804233753909</x:v>
      </x:c>
      <x:c r="F311" s="55" t="n">
        <x:f>_xlfn.COUNTIFS('Connections'!$B$6:$B$590,A311)+_xlfn.COUNTIFS('Connections'!$C$6:$C$590,A311)</x:f>
        <x:v>3</x:v>
      </x:c>
      <x:c r="G311" s="55" t="n">
        <x:f>_xlfn.COUNTIFS('Connections'!$B$6:$B$590,A311,'Connections'!$D$6:$D$590,"TRUE")+_xlfn.COUNTIFS('Connections'!$C$6:$C$590,A311,'Connections'!$D$6:$D$590,"TRUE")</x:f>
        <x:v>3</x:v>
      </x:c>
      <x:c r="H311" s="48" t="s">
        <x:v>66</x:v>
      </x:c>
      <x:c r="I311" s="48" t="s">
        <x:v>67</x:v>
      </x:c>
      <x:c r="J311" s="49"/>
      <x:c r="K311" s="50"/>
      <x:c r="L311" s="56"/>
      <x:c r="M311" s="53" t="s">
        <x:v>210</x:v>
      </x:c>
      <x:c r="N311" s="57">
        <x:v>236</x:v>
      </x:c>
      <x:c r="O311" s="44"/>
    </x:row>
    <x:row r="312" ht="23" customHeight="1">
      <x:c r="A312" s="21" t="s">
        <x:v>444</x:v>
      </x:c>
      <x:c r="B312" s="45" t="s">
        <x:v>444</x:v>
      </x:c>
      <x:c r="C312" s="45" t="s">
        <x:v>209</x:v>
      </x:c>
      <x:c r="D312" s="46">
        <x:v>42.7337986480986</x:v>
      </x:c>
      <x:c r="E312" s="46">
        <x:v>-73.6814261065341</x:v>
      </x:c>
      <x:c r="F312" s="47" t="n">
        <x:f>_xlfn.COUNTIFS('Connections'!$B$6:$B$590,A312)+_xlfn.COUNTIFS('Connections'!$C$6:$C$590,A312)</x:f>
        <x:v>3</x:v>
      </x:c>
      <x:c r="G312" s="47" t="n">
        <x:f>_xlfn.COUNTIFS('Connections'!$B$6:$B$590,A312,'Connections'!$D$6:$D$590,"TRUE")+_xlfn.COUNTIFS('Connections'!$C$6:$C$590,A312,'Connections'!$D$6:$D$590,"TRUE")</x:f>
        <x:v>3</x:v>
      </x:c>
      <x:c r="H312" s="48" t="s">
        <x:v>66</x:v>
      </x:c>
      <x:c r="I312" s="48" t="s">
        <x:v>67</x:v>
      </x:c>
      <x:c r="J312" s="49"/>
      <x:c r="K312" s="50"/>
      <x:c r="L312" s="51"/>
      <x:c r="M312" s="45" t="s">
        <x:v>210</x:v>
      </x:c>
      <x:c r="N312" s="52">
        <x:v>237</x:v>
      </x:c>
      <x:c r="O312" s="44"/>
    </x:row>
    <x:row r="313" ht="23" customHeight="1">
      <x:c r="A313" s="24" t="s">
        <x:v>445</x:v>
      </x:c>
      <x:c r="B313" s="53" t="s">
        <x:v>445</x:v>
      </x:c>
      <x:c r="C313" s="53" t="s">
        <x:v>209</x:v>
      </x:c>
      <x:c r="D313" s="54">
        <x:v>42.733242283746</x:v>
      </x:c>
      <x:c r="E313" s="54">
        <x:v>-73.68155821238319</x:v>
      </x:c>
      <x:c r="F313" s="55" t="n">
        <x:f>_xlfn.COUNTIFS('Connections'!$B$6:$B$590,A313)+_xlfn.COUNTIFS('Connections'!$C$6:$C$590,A313)</x:f>
        <x:v>2</x:v>
      </x:c>
      <x:c r="G313" s="55" t="n">
        <x:f>_xlfn.COUNTIFS('Connections'!$B$6:$B$590,A313,'Connections'!$D$6:$D$590,"TRUE")+_xlfn.COUNTIFS('Connections'!$C$6:$C$590,A313,'Connections'!$D$6:$D$590,"TRUE")</x:f>
        <x:v>2</x:v>
      </x:c>
      <x:c r="H313" s="48" t="s">
        <x:v>66</x:v>
      </x:c>
      <x:c r="I313" s="48" t="s">
        <x:v>67</x:v>
      </x:c>
      <x:c r="J313" s="49"/>
      <x:c r="K313" s="50"/>
      <x:c r="L313" s="56"/>
      <x:c r="M313" s="53" t="s">
        <x:v>210</x:v>
      </x:c>
      <x:c r="N313" s="57">
        <x:v>238</x:v>
      </x:c>
      <x:c r="O313" s="44"/>
    </x:row>
    <x:row r="314" ht="23" customHeight="1">
      <x:c r="A314" s="21" t="s">
        <x:v>446</x:v>
      </x:c>
      <x:c r="B314" s="45" t="s">
        <x:v>446</x:v>
      </x:c>
      <x:c r="C314" s="45" t="s">
        <x:v>209</x:v>
      </x:c>
      <x:c r="D314" s="46">
        <x:v>42.7339365896736</x:v>
      </x:c>
      <x:c r="E314" s="46">
        <x:v>-73.68234925584061</x:v>
      </x:c>
      <x:c r="F314" s="47" t="n">
        <x:f>_xlfn.COUNTIFS('Connections'!$B$6:$B$590,A314)+_xlfn.COUNTIFS('Connections'!$C$6:$C$590,A314)</x:f>
        <x:v>3</x:v>
      </x:c>
      <x:c r="G314" s="47" t="n">
        <x:f>_xlfn.COUNTIFS('Connections'!$B$6:$B$590,A314,'Connections'!$D$6:$D$590,"TRUE")+_xlfn.COUNTIFS('Connections'!$C$6:$C$590,A314,'Connections'!$D$6:$D$590,"TRUE")</x:f>
        <x:v>3</x:v>
      </x:c>
      <x:c r="H314" s="48" t="s">
        <x:v>66</x:v>
      </x:c>
      <x:c r="I314" s="48" t="s">
        <x:v>67</x:v>
      </x:c>
      <x:c r="J314" s="49"/>
      <x:c r="K314" s="50"/>
      <x:c r="L314" s="51"/>
      <x:c r="M314" s="45" t="s">
        <x:v>210</x:v>
      </x:c>
      <x:c r="N314" s="52">
        <x:v>239</x:v>
      </x:c>
      <x:c r="O314" s="44"/>
    </x:row>
    <x:row r="315" ht="23" customHeight="1">
      <x:c r="A315" s="24" t="s">
        <x:v>447</x:v>
      </x:c>
      <x:c r="B315" s="53" t="s">
        <x:v>447</x:v>
      </x:c>
      <x:c r="C315" s="53" t="s">
        <x:v>209</x:v>
      </x:c>
      <x:c r="D315" s="54">
        <x:v>42.7337135841273</x:v>
      </x:c>
      <x:c r="E315" s="54">
        <x:v>-73.6834474851879</x:v>
      </x:c>
      <x:c r="F315" s="55" t="n">
        <x:f>_xlfn.COUNTIFS('Connections'!$B$6:$B$590,A315)+_xlfn.COUNTIFS('Connections'!$C$6:$C$590,A315)</x:f>
        <x:v>3</x:v>
      </x:c>
      <x:c r="G315" s="55" t="n">
        <x:f>_xlfn.COUNTIFS('Connections'!$B$6:$B$590,A315,'Connections'!$D$6:$D$590,"TRUE")+_xlfn.COUNTIFS('Connections'!$C$6:$C$590,A315,'Connections'!$D$6:$D$590,"TRUE")</x:f>
        <x:v>3</x:v>
      </x:c>
      <x:c r="H315" s="48" t="s">
        <x:v>66</x:v>
      </x:c>
      <x:c r="I315" s="48" t="s">
        <x:v>67</x:v>
      </x:c>
      <x:c r="J315" s="49"/>
      <x:c r="K315" s="50"/>
      <x:c r="L315" s="56"/>
      <x:c r="M315" s="53" t="s">
        <x:v>210</x:v>
      </x:c>
      <x:c r="N315" s="57">
        <x:v>240</x:v>
      </x:c>
      <x:c r="O315" s="44"/>
    </x:row>
    <x:row r="316" ht="23" customHeight="1">
      <x:c r="A316" s="21" t="s">
        <x:v>448</x:v>
      </x:c>
      <x:c r="B316" s="45" t="s">
        <x:v>448</x:v>
      </x:c>
      <x:c r="C316" s="45" t="s">
        <x:v>209</x:v>
      </x:c>
      <x:c r="D316" s="46">
        <x:v>42.7330974450922</x:v>
      </x:c>
      <x:c r="E316" s="46">
        <x:v>-73.6836146070451</x:v>
      </x:c>
      <x:c r="F316" s="47" t="n">
        <x:f>_xlfn.COUNTIFS('Connections'!$B$6:$B$590,A316)+_xlfn.COUNTIFS('Connections'!$C$6:$C$590,A316)</x:f>
        <x:v>4</x:v>
      </x:c>
      <x:c r="G316" s="47" t="n">
        <x:f>_xlfn.COUNTIFS('Connections'!$B$6:$B$590,A316,'Connections'!$D$6:$D$590,"TRUE")+_xlfn.COUNTIFS('Connections'!$C$6:$C$590,A316,'Connections'!$D$6:$D$590,"TRUE")</x:f>
        <x:v>4</x:v>
      </x:c>
      <x:c r="H316" s="48" t="s">
        <x:v>66</x:v>
      </x:c>
      <x:c r="I316" s="48" t="s">
        <x:v>67</x:v>
      </x:c>
      <x:c r="J316" s="49"/>
      <x:c r="K316" s="50"/>
      <x:c r="L316" s="51"/>
      <x:c r="M316" s="45" t="s">
        <x:v>210</x:v>
      </x:c>
      <x:c r="N316" s="52">
        <x:v>241</x:v>
      </x:c>
      <x:c r="O316" s="44"/>
    </x:row>
    <x:row r="317" ht="23" customHeight="1">
      <x:c r="A317" s="24" t="s">
        <x:v>449</x:v>
      </x:c>
      <x:c r="B317" s="53" t="s">
        <x:v>449</x:v>
      </x:c>
      <x:c r="C317" s="53" t="s">
        <x:v>209</x:v>
      </x:c>
      <x:c r="D317" s="54">
        <x:v>42.7308892303785</x:v>
      </x:c>
      <x:c r="E317" s="54">
        <x:v>-73.6842114708209</x:v>
      </x:c>
      <x:c r="F317" s="55" t="n">
        <x:f>_xlfn.COUNTIFS('Connections'!$B$6:$B$590,A317)+_xlfn.COUNTIFS('Connections'!$C$6:$C$590,A317)</x:f>
        <x:v>3</x:v>
      </x:c>
      <x:c r="G317" s="55" t="n">
        <x:f>_xlfn.COUNTIFS('Connections'!$B$6:$B$590,A317,'Connections'!$D$6:$D$590,"TRUE")+_xlfn.COUNTIFS('Connections'!$C$6:$C$590,A317,'Connections'!$D$6:$D$590,"TRUE")</x:f>
        <x:v>3</x:v>
      </x:c>
      <x:c r="H317" s="48" t="s">
        <x:v>66</x:v>
      </x:c>
      <x:c r="I317" s="48" t="s">
        <x:v>67</x:v>
      </x:c>
      <x:c r="J317" s="49"/>
      <x:c r="K317" s="50"/>
      <x:c r="L317" s="56"/>
      <x:c r="M317" s="53" t="s">
        <x:v>210</x:v>
      </x:c>
      <x:c r="N317" s="57">
        <x:v>242</x:v>
      </x:c>
      <x:c r="O317" s="44"/>
    </x:row>
    <x:row r="318" ht="23" customHeight="1">
      <x:c r="A318" s="21" t="s">
        <x:v>450</x:v>
      </x:c>
      <x:c r="B318" s="45" t="s">
        <x:v>450</x:v>
      </x:c>
      <x:c r="C318" s="45" t="s">
        <x:v>209</x:v>
      </x:c>
      <x:c r="D318" s="46">
        <x:v>42.730619094794</x:v>
      </x:c>
      <x:c r="E318" s="46">
        <x:v>-73.6856757766173</x:v>
      </x:c>
      <x:c r="F318" s="47" t="n">
        <x:f>_xlfn.COUNTIFS('Connections'!$B$6:$B$590,A318)+_xlfn.COUNTIFS('Connections'!$C$6:$C$590,A318)</x:f>
        <x:v>3</x:v>
      </x:c>
      <x:c r="G318" s="47" t="n">
        <x:f>_xlfn.COUNTIFS('Connections'!$B$6:$B$590,A318,'Connections'!$D$6:$D$590,"TRUE")+_xlfn.COUNTIFS('Connections'!$C$6:$C$590,A318,'Connections'!$D$6:$D$590,"TRUE")</x:f>
        <x:v>3</x:v>
      </x:c>
      <x:c r="H318" s="48" t="s">
        <x:v>66</x:v>
      </x:c>
      <x:c r="I318" s="48" t="s">
        <x:v>67</x:v>
      </x:c>
      <x:c r="J318" s="49"/>
      <x:c r="K318" s="50"/>
      <x:c r="L318" s="51"/>
      <x:c r="M318" s="45" t="s">
        <x:v>210</x:v>
      </x:c>
      <x:c r="N318" s="52">
        <x:v>243</x:v>
      </x:c>
      <x:c r="O318" s="44"/>
    </x:row>
    <x:row r="319" ht="23" customHeight="1">
      <x:c r="A319" s="24" t="s">
        <x:v>451</x:v>
      </x:c>
      <x:c r="B319" s="53" t="s">
        <x:v>451</x:v>
      </x:c>
      <x:c r="C319" s="53" t="s">
        <x:v>209</x:v>
      </x:c>
      <x:c r="D319" s="54">
        <x:v>42.7305294327702</x:v>
      </x:c>
      <x:c r="E319" s="54">
        <x:v>-73.68433880175969</x:v>
      </x:c>
      <x:c r="F319" s="55" t="n">
        <x:f>_xlfn.COUNTIFS('Connections'!$B$6:$B$590,A319)+_xlfn.COUNTIFS('Connections'!$C$6:$C$590,A319)</x:f>
        <x:v>3</x:v>
      </x:c>
      <x:c r="G319" s="55" t="n">
        <x:f>_xlfn.COUNTIFS('Connections'!$B$6:$B$590,A319,'Connections'!$D$6:$D$590,"TRUE")+_xlfn.COUNTIFS('Connections'!$C$6:$C$590,A319,'Connections'!$D$6:$D$590,"TRUE")</x:f>
        <x:v>3</x:v>
      </x:c>
      <x:c r="H319" s="48" t="s">
        <x:v>66</x:v>
      </x:c>
      <x:c r="I319" s="48" t="s">
        <x:v>67</x:v>
      </x:c>
      <x:c r="J319" s="49"/>
      <x:c r="K319" s="50"/>
      <x:c r="L319" s="56"/>
      <x:c r="M319" s="53" t="s">
        <x:v>210</x:v>
      </x:c>
      <x:c r="N319" s="57">
        <x:v>244</x:v>
      </x:c>
      <x:c r="O319" s="44"/>
    </x:row>
    <x:row r="320" ht="23" customHeight="1">
      <x:c r="A320" s="21" t="s">
        <x:v>452</x:v>
      </x:c>
      <x:c r="B320" s="45" t="s">
        <x:v>452</x:v>
      </x:c>
      <x:c r="C320" s="45" t="s">
        <x:v>209</x:v>
      </x:c>
      <x:c r="D320" s="46">
        <x:v>42.7313340919579</x:v>
      </x:c>
      <x:c r="E320" s="46">
        <x:v>-73.6855166129438</x:v>
      </x:c>
      <x:c r="F320" s="47" t="n">
        <x:f>_xlfn.COUNTIFS('Connections'!$B$6:$B$590,A320)+_xlfn.COUNTIFS('Connections'!$C$6:$C$590,A320)</x:f>
        <x:v>3</x:v>
      </x:c>
      <x:c r="G320" s="47" t="n">
        <x:f>_xlfn.COUNTIFS('Connections'!$B$6:$B$590,A320,'Connections'!$D$6:$D$590,"TRUE")+_xlfn.COUNTIFS('Connections'!$C$6:$C$590,A320,'Connections'!$D$6:$D$590,"TRUE")</x:f>
        <x:v>3</x:v>
      </x:c>
      <x:c r="H320" s="48" t="s">
        <x:v>66</x:v>
      </x:c>
      <x:c r="I320" s="48" t="s">
        <x:v>67</x:v>
      </x:c>
      <x:c r="J320" s="49"/>
      <x:c r="K320" s="50"/>
      <x:c r="L320" s="51"/>
      <x:c r="M320" s="45" t="s">
        <x:v>210</x:v>
      </x:c>
      <x:c r="N320" s="52">
        <x:v>245</x:v>
      </x:c>
      <x:c r="O320" s="44"/>
    </x:row>
    <x:row r="321" ht="23" customHeight="1">
      <x:c r="A321" s="24" t="s">
        <x:v>453</x:v>
      </x:c>
      <x:c r="B321" s="53" t="s">
        <x:v>453</x:v>
      </x:c>
      <x:c r="C321" s="53" t="s">
        <x:v>209</x:v>
      </x:c>
      <x:c r="D321" s="54">
        <x:v>42.7315869848455</x:v>
      </x:c>
      <x:c r="E321" s="54">
        <x:v>-73.68552616276421</x:v>
      </x:c>
      <x:c r="F321" s="55" t="n">
        <x:f>_xlfn.COUNTIFS('Connections'!$B$6:$B$590,A321)+_xlfn.COUNTIFS('Connections'!$C$6:$C$590,A321)</x:f>
        <x:v>2</x:v>
      </x:c>
      <x:c r="G321" s="55" t="n">
        <x:f>_xlfn.COUNTIFS('Connections'!$B$6:$B$590,A321,'Connections'!$D$6:$D$590,"TRUE")+_xlfn.COUNTIFS('Connections'!$C$6:$C$590,A321,'Connections'!$D$6:$D$590,"TRUE")</x:f>
        <x:v>2</x:v>
      </x:c>
      <x:c r="H321" s="48" t="s">
        <x:v>66</x:v>
      </x:c>
      <x:c r="I321" s="48" t="s">
        <x:v>67</x:v>
      </x:c>
      <x:c r="J321" s="49"/>
      <x:c r="K321" s="50"/>
      <x:c r="L321" s="56"/>
      <x:c r="M321" s="53" t="s">
        <x:v>210</x:v>
      </x:c>
      <x:c r="N321" s="57">
        <x:v>246</x:v>
      </x:c>
      <x:c r="O321" s="44"/>
    </x:row>
    <x:row r="322" ht="23" customHeight="1">
      <x:c r="A322" s="21" t="s">
        <x:v>454</x:v>
      </x:c>
      <x:c r="B322" s="45" t="s">
        <x:v>454</x:v>
      </x:c>
      <x:c r="C322" s="45" t="s">
        <x:v>209</x:v>
      </x:c>
      <x:c r="D322" s="46">
        <x:v>42.731637563423</x:v>
      </x:c>
      <x:c r="E322" s="46">
        <x:v>-73.686519344087</x:v>
      </x:c>
      <x:c r="F322" s="47" t="n">
        <x:f>_xlfn.COUNTIFS('Connections'!$B$6:$B$590,A322)+_xlfn.COUNTIFS('Connections'!$C$6:$C$590,A322)</x:f>
        <x:v>3</x:v>
      </x:c>
      <x:c r="G322" s="47" t="n">
        <x:f>_xlfn.COUNTIFS('Connections'!$B$6:$B$590,A322,'Connections'!$D$6:$D$590,"TRUE")+_xlfn.COUNTIFS('Connections'!$C$6:$C$590,A322,'Connections'!$D$6:$D$590,"TRUE")</x:f>
        <x:v>3</x:v>
      </x:c>
      <x:c r="H322" s="48" t="s">
        <x:v>66</x:v>
      </x:c>
      <x:c r="I322" s="48" t="s">
        <x:v>67</x:v>
      </x:c>
      <x:c r="J322" s="49"/>
      <x:c r="K322" s="50"/>
      <x:c r="L322" s="51"/>
      <x:c r="M322" s="45" t="s">
        <x:v>210</x:v>
      </x:c>
      <x:c r="N322" s="52">
        <x:v>247</x:v>
      </x:c>
      <x:c r="O322" s="44"/>
    </x:row>
    <x:row r="323" ht="23" customHeight="1">
      <x:c r="A323" s="24" t="s">
        <x:v>455</x:v>
      </x:c>
      <x:c r="B323" s="53" t="s">
        <x:v>455</x:v>
      </x:c>
      <x:c r="C323" s="53" t="s">
        <x:v>209</x:v>
      </x:c>
      <x:c r="D323" s="54">
        <x:v>42.7316214702393</x:v>
      </x:c>
      <x:c r="E323" s="54">
        <x:v>-73.6862089749236</x:v>
      </x:c>
      <x:c r="F323" s="55" t="n">
        <x:f>_xlfn.COUNTIFS('Connections'!$B$6:$B$590,A323)+_xlfn.COUNTIFS('Connections'!$C$6:$C$590,A323)</x:f>
        <x:v>3</x:v>
      </x:c>
      <x:c r="G323" s="55" t="n">
        <x:f>_xlfn.COUNTIFS('Connections'!$B$6:$B$590,A323,'Connections'!$D$6:$D$590,"TRUE")+_xlfn.COUNTIFS('Connections'!$C$6:$C$590,A323,'Connections'!$D$6:$D$590,"TRUE")</x:f>
        <x:v>3</x:v>
      </x:c>
      <x:c r="H323" s="48" t="s">
        <x:v>66</x:v>
      </x:c>
      <x:c r="I323" s="48" t="s">
        <x:v>67</x:v>
      </x:c>
      <x:c r="J323" s="49"/>
      <x:c r="K323" s="50"/>
      <x:c r="L323" s="56"/>
      <x:c r="M323" s="53" t="s">
        <x:v>210</x:v>
      </x:c>
      <x:c r="N323" s="57">
        <x:v>248</x:v>
      </x:c>
      <x:c r="O323" s="44"/>
    </x:row>
    <x:row r="324" ht="23" customHeight="1">
      <x:c r="A324" s="21" t="s">
        <x:v>456</x:v>
      </x:c>
      <x:c r="B324" s="45" t="s">
        <x:v>456</x:v>
      </x:c>
      <x:c r="C324" s="45" t="s">
        <x:v>209</x:v>
      </x:c>
      <x:c r="D324" s="46">
        <x:v>42.7306443840828</x:v>
      </x:c>
      <x:c r="E324" s="46">
        <x:v>-73.6864079295155</x:v>
      </x:c>
      <x:c r="F324" s="47" t="n">
        <x:f>_xlfn.COUNTIFS('Connections'!$B$6:$B$590,A324)+_xlfn.COUNTIFS('Connections'!$C$6:$C$590,A324)</x:f>
        <x:v>2</x:v>
      </x:c>
      <x:c r="G324" s="47" t="n">
        <x:f>_xlfn.COUNTIFS('Connections'!$B$6:$B$590,A324,'Connections'!$D$6:$D$590,"TRUE")+_xlfn.COUNTIFS('Connections'!$C$6:$C$590,A324,'Connections'!$D$6:$D$590,"TRUE")</x:f>
        <x:v>2</x:v>
      </x:c>
      <x:c r="H324" s="48" t="s">
        <x:v>66</x:v>
      </x:c>
      <x:c r="I324" s="48" t="s">
        <x:v>67</x:v>
      </x:c>
      <x:c r="J324" s="49"/>
      <x:c r="K324" s="50"/>
      <x:c r="L324" s="51"/>
      <x:c r="M324" s="45" t="s">
        <x:v>210</x:v>
      </x:c>
      <x:c r="N324" s="52">
        <x:v>249</x:v>
      </x:c>
      <x:c r="O324" s="44"/>
    </x:row>
    <x:row r="325" ht="23" customHeight="1">
      <x:c r="A325" s="24" t="s">
        <x:v>457</x:v>
      </x:c>
      <x:c r="B325" s="53" t="s">
        <x:v>457</x:v>
      </x:c>
      <x:c r="C325" s="53" t="s">
        <x:v>209</x:v>
      </x:c>
      <x:c r="D325" s="54">
        <x:v>42.7336331182086</x:v>
      </x:c>
      <x:c r="E325" s="54">
        <x:v>-73.68593043849491</x:v>
      </x:c>
      <x:c r="F325" s="55" t="n">
        <x:f>_xlfn.COUNTIFS('Connections'!$B$6:$B$590,A325)+_xlfn.COUNTIFS('Connections'!$C$6:$C$590,A325)</x:f>
        <x:v>2</x:v>
      </x:c>
      <x:c r="G325" s="55" t="n">
        <x:f>_xlfn.COUNTIFS('Connections'!$B$6:$B$590,A325,'Connections'!$D$6:$D$590,"TRUE")+_xlfn.COUNTIFS('Connections'!$C$6:$C$590,A325,'Connections'!$D$6:$D$590,"TRUE")</x:f>
        <x:v>2</x:v>
      </x:c>
      <x:c r="H325" s="48" t="s">
        <x:v>66</x:v>
      </x:c>
      <x:c r="I325" s="48" t="s">
        <x:v>67</x:v>
      </x:c>
      <x:c r="J325" s="49"/>
      <x:c r="K325" s="50"/>
      <x:c r="L325" s="56"/>
      <x:c r="M325" s="53" t="s">
        <x:v>210</x:v>
      </x:c>
      <x:c r="N325" s="57">
        <x:v>250</x:v>
      </x:c>
      <x:c r="O325" s="44"/>
    </x:row>
    <x:row r="326" ht="23" customHeight="1">
      <x:c r="A326" s="21" t="s">
        <x:v>458</x:v>
      </x:c>
      <x:c r="B326" s="45" t="s">
        <x:v>458</x:v>
      </x:c>
      <x:c r="C326" s="45" t="s">
        <x:v>209</x:v>
      </x:c>
      <x:c r="D326" s="46">
        <x:v>42.7334377009773</x:v>
      </x:c>
      <x:c r="E326" s="46">
        <x:v>-73.6849054244374</x:v>
      </x:c>
      <x:c r="F326" s="47" t="n">
        <x:f>_xlfn.COUNTIFS('Connections'!$B$6:$B$590,A326)+_xlfn.COUNTIFS('Connections'!$C$6:$C$590,A326)</x:f>
        <x:v>3</x:v>
      </x:c>
      <x:c r="G326" s="47" t="n">
        <x:f>_xlfn.COUNTIFS('Connections'!$B$6:$B$590,A326,'Connections'!$D$6:$D$590,"TRUE")+_xlfn.COUNTIFS('Connections'!$C$6:$C$590,A326,'Connections'!$D$6:$D$590,"TRUE")</x:f>
        <x:v>3</x:v>
      </x:c>
      <x:c r="H326" s="48" t="s">
        <x:v>66</x:v>
      </x:c>
      <x:c r="I326" s="48" t="s">
        <x:v>67</x:v>
      </x:c>
      <x:c r="J326" s="49"/>
      <x:c r="K326" s="50"/>
      <x:c r="L326" s="51"/>
      <x:c r="M326" s="45" t="s">
        <x:v>210</x:v>
      </x:c>
      <x:c r="N326" s="52">
        <x:v>251</x:v>
      </x:c>
      <x:c r="O326" s="44"/>
    </x:row>
    <x:row r="327" ht="23" customHeight="1">
      <x:c r="A327" s="24" t="s">
        <x:v>459</x:v>
      </x:c>
      <x:c r="B327" s="53" t="s">
        <x:v>459</x:v>
      </x:c>
      <x:c r="C327" s="53" t="s">
        <x:v>209</x:v>
      </x:c>
      <x:c r="D327" s="54">
        <x:v>42.7283453578322</x:v>
      </x:c>
      <x:c r="E327" s="54">
        <x:v>-73.6872037478831</x:v>
      </x:c>
      <x:c r="F327" s="55" t="n">
        <x:f>_xlfn.COUNTIFS('Connections'!$B$6:$B$590,A327)+_xlfn.COUNTIFS('Connections'!$C$6:$C$590,A327)</x:f>
        <x:v>2</x:v>
      </x:c>
      <x:c r="G327" s="55" t="n">
        <x:f>_xlfn.COUNTIFS('Connections'!$B$6:$B$590,A327,'Connections'!$D$6:$D$590,"TRUE")+_xlfn.COUNTIFS('Connections'!$C$6:$C$590,A327,'Connections'!$D$6:$D$590,"TRUE")</x:f>
        <x:v>2</x:v>
      </x:c>
      <x:c r="H327" s="48" t="s">
        <x:v>66</x:v>
      </x:c>
      <x:c r="I327" s="48" t="s">
        <x:v>67</x:v>
      </x:c>
      <x:c r="J327" s="49"/>
      <x:c r="K327" s="50"/>
      <x:c r="L327" s="56"/>
      <x:c r="M327" s="53" t="s">
        <x:v>210</x:v>
      </x:c>
      <x:c r="N327" s="57">
        <x:v>252</x:v>
      </x:c>
      <x:c r="O327" s="44"/>
    </x:row>
    <x:row r="328" ht="23" customHeight="1">
      <x:c r="A328" s="21" t="s">
        <x:v>460</x:v>
      </x:c>
      <x:c r="B328" s="45" t="s">
        <x:v>460</x:v>
      </x:c>
      <x:c r="C328" s="45" t="s">
        <x:v>209</x:v>
      </x:c>
      <x:c r="D328" s="46">
        <x:v>42.7294488904324</x:v>
      </x:c>
      <x:c r="E328" s="46">
        <x:v>-73.6861278014501</x:v>
      </x:c>
      <x:c r="F328" s="47" t="n">
        <x:f>_xlfn.COUNTIFS('Connections'!$B$6:$B$590,A328)+_xlfn.COUNTIFS('Connections'!$C$6:$C$590,A328)</x:f>
        <x:v>1</x:v>
      </x:c>
      <x:c r="G328" s="47" t="n">
        <x:f>_xlfn.COUNTIFS('Connections'!$B$6:$B$590,A328,'Connections'!$D$6:$D$590,"TRUE")+_xlfn.COUNTIFS('Connections'!$C$6:$C$590,A328,'Connections'!$D$6:$D$590,"TRUE")</x:f>
        <x:v>1</x:v>
      </x:c>
      <x:c r="H328" s="48" t="s">
        <x:v>66</x:v>
      </x:c>
      <x:c r="I328" s="48" t="s">
        <x:v>67</x:v>
      </x:c>
      <x:c r="J328" s="49"/>
      <x:c r="K328" s="50"/>
      <x:c r="L328" s="51"/>
      <x:c r="M328" s="45" t="s">
        <x:v>210</x:v>
      </x:c>
      <x:c r="N328" s="52">
        <x:v>253</x:v>
      </x:c>
      <x:c r="O328" s="44"/>
    </x:row>
    <x:row r="329" ht="23" customHeight="1">
      <x:c r="A329" s="24" t="s">
        <x:v>461</x:v>
      </x:c>
      <x:c r="B329" s="53" t="s">
        <x:v>461</x:v>
      </x:c>
      <x:c r="C329" s="53" t="s">
        <x:v>209</x:v>
      </x:c>
      <x:c r="D329" s="54">
        <x:v>42.729563841745</x:v>
      </x:c>
      <x:c r="E329" s="54">
        <x:v>-73.6869554525525</x:v>
      </x:c>
      <x:c r="F329" s="55" t="n">
        <x:f>_xlfn.COUNTIFS('Connections'!$B$6:$B$590,A329)+_xlfn.COUNTIFS('Connections'!$C$6:$C$590,A329)</x:f>
        <x:v>3</x:v>
      </x:c>
      <x:c r="G329" s="55" t="n">
        <x:f>_xlfn.COUNTIFS('Connections'!$B$6:$B$590,A329,'Connections'!$D$6:$D$590,"TRUE")+_xlfn.COUNTIFS('Connections'!$C$6:$C$590,A329,'Connections'!$D$6:$D$590,"TRUE")</x:f>
        <x:v>3</x:v>
      </x:c>
      <x:c r="H329" s="48" t="s">
        <x:v>66</x:v>
      </x:c>
      <x:c r="I329" s="48" t="s">
        <x:v>67</x:v>
      </x:c>
      <x:c r="J329" s="49"/>
      <x:c r="K329" s="50"/>
      <x:c r="L329" s="56"/>
      <x:c r="M329" s="53" t="s">
        <x:v>210</x:v>
      </x:c>
      <x:c r="N329" s="57">
        <x:v>254</x:v>
      </x:c>
      <x:c r="O329" s="44"/>
    </x:row>
    <x:row r="330" ht="23" customHeight="1">
      <x:c r="A330" s="21" t="s">
        <x:v>462</x:v>
      </x:c>
      <x:c r="B330" s="45" t="s">
        <x:v>462</x:v>
      </x:c>
      <x:c r="C330" s="45" t="s">
        <x:v>209</x:v>
      </x:c>
      <x:c r="D330" s="46">
        <x:v>42.7281154552071</x:v>
      </x:c>
      <x:c r="E330" s="46">
        <x:v>-73.686567093189</x:v>
      </x:c>
      <x:c r="F330" s="47" t="n">
        <x:f>_xlfn.COUNTIFS('Connections'!$B$6:$B$590,A330)+_xlfn.COUNTIFS('Connections'!$C$6:$C$590,A330)</x:f>
        <x:v>2</x:v>
      </x:c>
      <x:c r="G330" s="47" t="n">
        <x:f>_xlfn.COUNTIFS('Connections'!$B$6:$B$590,A330,'Connections'!$D$6:$D$590,"TRUE")+_xlfn.COUNTIFS('Connections'!$C$6:$C$590,A330,'Connections'!$D$6:$D$590,"TRUE")</x:f>
        <x:v>2</x:v>
      </x:c>
      <x:c r="H330" s="48" t="s">
        <x:v>66</x:v>
      </x:c>
      <x:c r="I330" s="48" t="s">
        <x:v>67</x:v>
      </x:c>
      <x:c r="J330" s="49"/>
      <x:c r="K330" s="50"/>
      <x:c r="L330" s="51"/>
      <x:c r="M330" s="45" t="s">
        <x:v>210</x:v>
      </x:c>
      <x:c r="N330" s="52">
        <x:v>255</x:v>
      </x:c>
      <x:c r="O330" s="44"/>
    </x:row>
    <x:row r="331" ht="23" customHeight="1">
      <x:c r="A331" s="24" t="s">
        <x:v>463</x:v>
      </x:c>
      <x:c r="B331" s="53" t="s">
        <x:v>463</x:v>
      </x:c>
      <x:c r="C331" s="53" t="s">
        <x:v>209</x:v>
      </x:c>
      <x:c r="D331" s="54">
        <x:v>42.7274717278569</x:v>
      </x:c>
      <x:c r="E331" s="54">
        <x:v>-73.68516645286201</x:v>
      </x:c>
      <x:c r="F331" s="55" t="n">
        <x:f>_xlfn.COUNTIFS('Connections'!$B$6:$B$590,A331)+_xlfn.COUNTIFS('Connections'!$C$6:$C$590,A331)</x:f>
        <x:v>2</x:v>
      </x:c>
      <x:c r="G331" s="55" t="n">
        <x:f>_xlfn.COUNTIFS('Connections'!$B$6:$B$590,A331,'Connections'!$D$6:$D$590,"TRUE")+_xlfn.COUNTIFS('Connections'!$C$6:$C$590,A331,'Connections'!$D$6:$D$590,"TRUE")</x:f>
        <x:v>2</x:v>
      </x:c>
      <x:c r="H331" s="48" t="s">
        <x:v>66</x:v>
      </x:c>
      <x:c r="I331" s="48" t="s">
        <x:v>67</x:v>
      </x:c>
      <x:c r="J331" s="49"/>
      <x:c r="K331" s="50"/>
      <x:c r="L331" s="56"/>
      <x:c r="M331" s="53" t="s">
        <x:v>210</x:v>
      </x:c>
      <x:c r="N331" s="57">
        <x:v>256</x:v>
      </x:c>
      <x:c r="O331" s="44"/>
    </x:row>
    <x:row r="332" ht="23" customHeight="1">
      <x:c r="A332" s="21" t="s">
        <x:v>464</x:v>
      </x:c>
      <x:c r="B332" s="45" t="s">
        <x:v>464</x:v>
      </x:c>
      <x:c r="C332" s="45" t="s">
        <x:v>209</x:v>
      </x:c>
      <x:c r="D332" s="46">
        <x:v>42.7278050866633</x:v>
      </x:c>
      <x:c r="E332" s="46">
        <x:v>-73.6860577694338</x:v>
      </x:c>
      <x:c r="F332" s="47" t="n">
        <x:f>_xlfn.COUNTIFS('Connections'!$B$6:$B$590,A332)+_xlfn.COUNTIFS('Connections'!$C$6:$C$590,A332)</x:f>
        <x:v>2</x:v>
      </x:c>
      <x:c r="G332" s="47" t="n">
        <x:f>_xlfn.COUNTIFS('Connections'!$B$6:$B$590,A332,'Connections'!$D$6:$D$590,"TRUE")+_xlfn.COUNTIFS('Connections'!$C$6:$C$590,A332,'Connections'!$D$6:$D$590,"TRUE")</x:f>
        <x:v>2</x:v>
      </x:c>
      <x:c r="H332" s="48" t="s">
        <x:v>66</x:v>
      </x:c>
      <x:c r="I332" s="48" t="s">
        <x:v>67</x:v>
      </x:c>
      <x:c r="J332" s="49"/>
      <x:c r="K332" s="50"/>
      <x:c r="L332" s="51"/>
      <x:c r="M332" s="45" t="s">
        <x:v>210</x:v>
      </x:c>
      <x:c r="N332" s="52">
        <x:v>257</x:v>
      </x:c>
      <x:c r="O332" s="44"/>
    </x:row>
    <x:row r="333" ht="23" customHeight="1">
      <x:c r="A333" s="24" t="s">
        <x:v>465</x:v>
      </x:c>
      <x:c r="B333" s="53" t="s">
        <x:v>465</x:v>
      </x:c>
      <x:c r="C333" s="53" t="s">
        <x:v>209</x:v>
      </x:c>
      <x:c r="D333" s="54">
        <x:v>42.733288264271</x:v>
      </x:c>
      <x:c r="E333" s="54">
        <x:v>-73.6784974949413</x:v>
      </x:c>
      <x:c r="F333" s="55" t="n">
        <x:f>_xlfn.COUNTIFS('Connections'!$B$6:$B$590,A333)+_xlfn.COUNTIFS('Connections'!$C$6:$C$590,A333)</x:f>
        <x:v>3</x:v>
      </x:c>
      <x:c r="G333" s="55" t="n">
        <x:f>_xlfn.COUNTIFS('Connections'!$B$6:$B$590,A333,'Connections'!$D$6:$D$590,"TRUE")+_xlfn.COUNTIFS('Connections'!$C$6:$C$590,A333,'Connections'!$D$6:$D$590,"TRUE")</x:f>
        <x:v>3</x:v>
      </x:c>
      <x:c r="H333" s="48" t="s">
        <x:v>66</x:v>
      </x:c>
      <x:c r="I333" s="48" t="s">
        <x:v>67</x:v>
      </x:c>
      <x:c r="J333" s="49"/>
      <x:c r="K333" s="50"/>
      <x:c r="L333" s="56"/>
      <x:c r="M333" s="53" t="s">
        <x:v>210</x:v>
      </x:c>
      <x:c r="N333" s="57">
        <x:v>258</x:v>
      </x:c>
      <x:c r="O333" s="44"/>
    </x:row>
    <x:row r="334" ht="23" customHeight="1">
      <x:c r="A334" s="21" t="s">
        <x:v>466</x:v>
      </x:c>
      <x:c r="B334" s="45" t="s">
        <x:v>466</x:v>
      </x:c>
      <x:c r="C334" s="45" t="s">
        <x:v>209</x:v>
      </x:c>
      <x:c r="D334" s="46">
        <x:v>42.7327847775221</x:v>
      </x:c>
      <x:c r="E334" s="46">
        <x:v>-73.67863119242701</x:v>
      </x:c>
      <x:c r="F334" s="47" t="n">
        <x:f>_xlfn.COUNTIFS('Connections'!$B$6:$B$590,A334)+_xlfn.COUNTIFS('Connections'!$C$6:$C$590,A334)</x:f>
        <x:v>3</x:v>
      </x:c>
      <x:c r="G334" s="47" t="n">
        <x:f>_xlfn.COUNTIFS('Connections'!$B$6:$B$590,A334,'Connections'!$D$6:$D$590,"TRUE")+_xlfn.COUNTIFS('Connections'!$C$6:$C$590,A334,'Connections'!$D$6:$D$590,"TRUE")</x:f>
        <x:v>3</x:v>
      </x:c>
      <x:c r="H334" s="48" t="s">
        <x:v>66</x:v>
      </x:c>
      <x:c r="I334" s="48" t="s">
        <x:v>67</x:v>
      </x:c>
      <x:c r="J334" s="49"/>
      <x:c r="K334" s="50"/>
      <x:c r="L334" s="51"/>
      <x:c r="M334" s="45" t="s">
        <x:v>210</x:v>
      </x:c>
      <x:c r="N334" s="52">
        <x:v>259</x:v>
      </x:c>
      <x:c r="O334" s="44"/>
    </x:row>
    <x:row r="335" ht="23" customHeight="1">
      <x:c r="A335" s="24" t="s">
        <x:v>467</x:v>
      </x:c>
      <x:c r="B335" s="53" t="s">
        <x:v>467</x:v>
      </x:c>
      <x:c r="C335" s="53" t="s">
        <x:v>209</x:v>
      </x:c>
      <x:c r="D335" s="54">
        <x:v>42.7328434026915</x:v>
      </x:c>
      <x:c r="E335" s="54">
        <x:v>-73.67904979288841</x:v>
      </x:c>
      <x:c r="F335" s="55" t="n">
        <x:f>_xlfn.COUNTIFS('Connections'!$B$6:$B$590,A335)+_xlfn.COUNTIFS('Connections'!$C$6:$C$590,A335)</x:f>
        <x:v>2</x:v>
      </x:c>
      <x:c r="G335" s="55" t="n">
        <x:f>_xlfn.COUNTIFS('Connections'!$B$6:$B$590,A335,'Connections'!$D$6:$D$590,"TRUE")+_xlfn.COUNTIFS('Connections'!$C$6:$C$590,A335,'Connections'!$D$6:$D$590,"TRUE")</x:f>
        <x:v>2</x:v>
      </x:c>
      <x:c r="H335" s="48" t="s">
        <x:v>66</x:v>
      </x:c>
      <x:c r="I335" s="48" t="s">
        <x:v>67</x:v>
      </x:c>
      <x:c r="J335" s="49"/>
      <x:c r="K335" s="50"/>
      <x:c r="L335" s="56"/>
      <x:c r="M335" s="53" t="s">
        <x:v>210</x:v>
      </x:c>
      <x:c r="N335" s="57">
        <x:v>260</x:v>
      </x:c>
      <x:c r="O335" s="44"/>
    </x:row>
    <x:row r="336" ht="23" customHeight="1">
      <x:c r="A336" s="21" t="s">
        <x:v>468</x:v>
      </x:c>
      <x:c r="B336" s="45" t="s">
        <x:v>468</x:v>
      </x:c>
      <x:c r="C336" s="45" t="s">
        <x:v>209</x:v>
      </x:c>
      <x:c r="D336" s="46">
        <x:v>42.7330066335553</x:v>
      </x:c>
      <x:c r="E336" s="46">
        <x:v>-73.6794333773416</x:v>
      </x:c>
      <x:c r="F336" s="47" t="n">
        <x:f>_xlfn.COUNTIFS('Connections'!$B$6:$B$590,A336)+_xlfn.COUNTIFS('Connections'!$C$6:$C$590,A336)</x:f>
        <x:v>3</x:v>
      </x:c>
      <x:c r="G336" s="47" t="n">
        <x:f>_xlfn.COUNTIFS('Connections'!$B$6:$B$590,A336,'Connections'!$D$6:$D$590,"TRUE")+_xlfn.COUNTIFS('Connections'!$C$6:$C$590,A336,'Connections'!$D$6:$D$590,"TRUE")</x:f>
        <x:v>3</x:v>
      </x:c>
      <x:c r="H336" s="48" t="s">
        <x:v>66</x:v>
      </x:c>
      <x:c r="I336" s="48" t="s">
        <x:v>67</x:v>
      </x:c>
      <x:c r="J336" s="49"/>
      <x:c r="K336" s="50"/>
      <x:c r="L336" s="51"/>
      <x:c r="M336" s="45" t="s">
        <x:v>210</x:v>
      </x:c>
      <x:c r="N336" s="52">
        <x:v>261</x:v>
      </x:c>
      <x:c r="O336" s="44"/>
    </x:row>
    <x:row r="337" ht="23" customHeight="1">
      <x:c r="A337" s="24" t="s">
        <x:v>469</x:v>
      </x:c>
      <x:c r="B337" s="53" t="s">
        <x:v>469</x:v>
      </x:c>
      <x:c r="C337" s="53" t="s">
        <x:v>209</x:v>
      </x:c>
      <x:c r="D337" s="54">
        <x:v>42.7327709833646</x:v>
      </x:c>
      <x:c r="E337" s="54">
        <x:v>-73.67931718785989</x:v>
      </x:c>
      <x:c r="F337" s="55" t="n">
        <x:f>_xlfn.COUNTIFS('Connections'!$B$6:$B$590,A337)+_xlfn.COUNTIFS('Connections'!$C$6:$C$590,A337)</x:f>
        <x:v>2</x:v>
      </x:c>
      <x:c r="G337" s="55" t="n">
        <x:f>_xlfn.COUNTIFS('Connections'!$B$6:$B$590,A337,'Connections'!$D$6:$D$590,"TRUE")+_xlfn.COUNTIFS('Connections'!$C$6:$C$590,A337,'Connections'!$D$6:$D$590,"TRUE")</x:f>
        <x:v>2</x:v>
      </x:c>
      <x:c r="H337" s="48" t="s">
        <x:v>66</x:v>
      </x:c>
      <x:c r="I337" s="48" t="s">
        <x:v>67</x:v>
      </x:c>
      <x:c r="J337" s="49"/>
      <x:c r="K337" s="50"/>
      <x:c r="L337" s="56"/>
      <x:c r="M337" s="53" t="s">
        <x:v>210</x:v>
      </x:c>
      <x:c r="N337" s="57">
        <x:v>262</x:v>
      </x:c>
      <x:c r="O337" s="44"/>
    </x:row>
    <x:row r="338" ht="23" customHeight="1">
      <x:c r="A338" s="21" t="s">
        <x:v>470</x:v>
      </x:c>
      <x:c r="B338" s="45" t="s">
        <x:v>470</x:v>
      </x:c>
      <x:c r="C338" s="45" t="s">
        <x:v>209</x:v>
      </x:c>
      <x:c r="D338" s="46">
        <x:v>42.7325778651595</x:v>
      </x:c>
      <x:c r="E338" s="46">
        <x:v>-73.6789686194149</x:v>
      </x:c>
      <x:c r="F338" s="47" t="n">
        <x:f>_xlfn.COUNTIFS('Connections'!$B$6:$B$590,A338)+_xlfn.COUNTIFS('Connections'!$C$6:$C$590,A338)</x:f>
        <x:v>3</x:v>
      </x:c>
      <x:c r="G338" s="47" t="n">
        <x:f>_xlfn.COUNTIFS('Connections'!$B$6:$B$590,A338,'Connections'!$D$6:$D$590,"TRUE")+_xlfn.COUNTIFS('Connections'!$C$6:$C$590,A338,'Connections'!$D$6:$D$590,"TRUE")</x:f>
        <x:v>3</x:v>
      </x:c>
      <x:c r="H338" s="48" t="s">
        <x:v>66</x:v>
      </x:c>
      <x:c r="I338" s="48" t="s">
        <x:v>67</x:v>
      </x:c>
      <x:c r="J338" s="49"/>
      <x:c r="K338" s="50"/>
      <x:c r="L338" s="51"/>
      <x:c r="M338" s="45" t="s">
        <x:v>210</x:v>
      </x:c>
      <x:c r="N338" s="52">
        <x:v>263</x:v>
      </x:c>
      <x:c r="O338" s="44"/>
    </x:row>
    <x:row r="339" ht="23" customHeight="1">
      <x:c r="A339" s="24" t="s">
        <x:v>471</x:v>
      </x:c>
      <x:c r="B339" s="53" t="s">
        <x:v>471</x:v>
      </x:c>
      <x:c r="C339" s="53" t="s">
        <x:v>209</x:v>
      </x:c>
      <x:c r="D339" s="54">
        <x:v>42.7328284590208</x:v>
      </x:c>
      <x:c r="E339" s="54">
        <x:v>-73.67892723685981</x:v>
      </x:c>
      <x:c r="F339" s="55" t="n">
        <x:f>_xlfn.COUNTIFS('Connections'!$B$6:$B$590,A339)+_xlfn.COUNTIFS('Connections'!$C$6:$C$590,A339)</x:f>
        <x:v>4</x:v>
      </x:c>
      <x:c r="G339" s="55" t="n">
        <x:f>_xlfn.COUNTIFS('Connections'!$B$6:$B$590,A339,'Connections'!$D$6:$D$590,"TRUE")+_xlfn.COUNTIFS('Connections'!$C$6:$C$590,A339,'Connections'!$D$6:$D$590,"TRUE")</x:f>
        <x:v>4</x:v>
      </x:c>
      <x:c r="H339" s="48" t="s">
        <x:v>66</x:v>
      </x:c>
      <x:c r="I339" s="48" t="s">
        <x:v>67</x:v>
      </x:c>
      <x:c r="J339" s="49"/>
      <x:c r="K339" s="50"/>
      <x:c r="L339" s="56"/>
      <x:c r="M339" s="53" t="s">
        <x:v>210</x:v>
      </x:c>
      <x:c r="N339" s="57">
        <x:v>264</x:v>
      </x:c>
      <x:c r="O339" s="44"/>
    </x:row>
    <x:row r="340" ht="23" customHeight="1">
      <x:c r="A340" s="21" t="s">
        <x:v>472</x:v>
      </x:c>
      <x:c r="B340" s="45" t="s">
        <x:v>472</x:v>
      </x:c>
      <x:c r="C340" s="45" t="s">
        <x:v>209</x:v>
      </x:c>
      <x:c r="D340" s="46">
        <x:v>42.7333457399272</x:v>
      </x:c>
      <x:c r="E340" s="46">
        <x:v>-73.6788158222883</x:v>
      </x:c>
      <x:c r="F340" s="47" t="n">
        <x:f>_xlfn.COUNTIFS('Connections'!$B$6:$B$590,A340)+_xlfn.COUNTIFS('Connections'!$C$6:$C$590,A340)</x:f>
        <x:v>3</x:v>
      </x:c>
      <x:c r="G340" s="47" t="n">
        <x:f>_xlfn.COUNTIFS('Connections'!$B$6:$B$590,A340,'Connections'!$D$6:$D$590,"TRUE")+_xlfn.COUNTIFS('Connections'!$C$6:$C$590,A340,'Connections'!$D$6:$D$590,"TRUE")</x:f>
        <x:v>3</x:v>
      </x:c>
      <x:c r="H340" s="48" t="s">
        <x:v>66</x:v>
      </x:c>
      <x:c r="I340" s="48" t="s">
        <x:v>67</x:v>
      </x:c>
      <x:c r="J340" s="49"/>
      <x:c r="K340" s="50"/>
      <x:c r="L340" s="51"/>
      <x:c r="M340" s="45" t="s">
        <x:v>210</x:v>
      </x:c>
      <x:c r="N340" s="52">
        <x:v>265</x:v>
      </x:c>
      <x:c r="O340" s="44"/>
    </x:row>
    <x:row r="341" ht="23" customHeight="1">
      <x:c r="A341" s="24" t="s">
        <x:v>473</x:v>
      </x:c>
      <x:c r="B341" s="53" t="s">
        <x:v>473</x:v>
      </x:c>
      <x:c r="C341" s="53" t="s">
        <x:v>209</x:v>
      </x:c>
      <x:c r="D341" s="54">
        <x:v>42.7331112392497</x:v>
      </x:c>
      <x:c r="E341" s="54">
        <x:v>-73.67976284614581</x:v>
      </x:c>
      <x:c r="F341" s="55" t="n">
        <x:f>_xlfn.COUNTIFS('Connections'!$B$6:$B$590,A341)+_xlfn.COUNTIFS('Connections'!$C$6:$C$590,A341)</x:f>
        <x:v>3</x:v>
      </x:c>
      <x:c r="G341" s="55" t="n">
        <x:f>_xlfn.COUNTIFS('Connections'!$B$6:$B$590,A341,'Connections'!$D$6:$D$590,"TRUE")+_xlfn.COUNTIFS('Connections'!$C$6:$C$590,A341,'Connections'!$D$6:$D$590,"TRUE")</x:f>
        <x:v>3</x:v>
      </x:c>
      <x:c r="H341" s="48" t="s">
        <x:v>66</x:v>
      </x:c>
      <x:c r="I341" s="48" t="s">
        <x:v>67</x:v>
      </x:c>
      <x:c r="J341" s="49"/>
      <x:c r="K341" s="50"/>
      <x:c r="L341" s="56"/>
      <x:c r="M341" s="53" t="s">
        <x:v>210</x:v>
      </x:c>
      <x:c r="N341" s="57">
        <x:v>266</x:v>
      </x:c>
      <x:c r="O341" s="44"/>
    </x:row>
    <x:row r="342" ht="23" customHeight="1">
      <x:c r="A342" s="21" t="s">
        <x:v>474</x:v>
      </x:c>
      <x:c r="B342" s="45" t="s">
        <x:v>474</x:v>
      </x:c>
      <x:c r="C342" s="45" t="s">
        <x:v>209</x:v>
      </x:c>
      <x:c r="D342" s="46">
        <x:v>42.7324951002145</x:v>
      </x:c>
      <x:c r="E342" s="46">
        <x:v>-73.67870440771679</x:v>
      </x:c>
      <x:c r="F342" s="47" t="n">
        <x:f>_xlfn.COUNTIFS('Connections'!$B$6:$B$590,A342)+_xlfn.COUNTIFS('Connections'!$C$6:$C$590,A342)</x:f>
        <x:v>3</x:v>
      </x:c>
      <x:c r="G342" s="47" t="n">
        <x:f>_xlfn.COUNTIFS('Connections'!$B$6:$B$590,A342,'Connections'!$D$6:$D$590,"TRUE")+_xlfn.COUNTIFS('Connections'!$C$6:$C$590,A342,'Connections'!$D$6:$D$590,"TRUE")</x:f>
        <x:v>3</x:v>
      </x:c>
      <x:c r="H342" s="48" t="s">
        <x:v>66</x:v>
      </x:c>
      <x:c r="I342" s="48" t="s">
        <x:v>67</x:v>
      </x:c>
      <x:c r="J342" s="49"/>
      <x:c r="K342" s="50"/>
      <x:c r="L342" s="51"/>
      <x:c r="M342" s="45" t="s">
        <x:v>210</x:v>
      </x:c>
      <x:c r="N342" s="52">
        <x:v>267</x:v>
      </x:c>
      <x:c r="O342" s="44"/>
    </x:row>
    <x:row r="343" ht="23" customHeight="1">
      <x:c r="A343" s="24" t="s">
        <x:v>475</x:v>
      </x:c>
      <x:c r="B343" s="53" t="s">
        <x:v>475</x:v>
      </x:c>
      <x:c r="C343" s="53" t="s">
        <x:v>209</x:v>
      </x:c>
      <x:c r="D343" s="54">
        <x:v>42.7324192323482</x:v>
      </x:c>
      <x:c r="E343" s="54">
        <x:v>-73.6777335093083</x:v>
      </x:c>
      <x:c r="F343" s="55" t="n">
        <x:f>_xlfn.COUNTIFS('Connections'!$B$6:$B$590,A343)+_xlfn.COUNTIFS('Connections'!$C$6:$C$590,A343)</x:f>
        <x:v>2</x:v>
      </x:c>
      <x:c r="G343" s="55" t="n">
        <x:f>_xlfn.COUNTIFS('Connections'!$B$6:$B$590,A343,'Connections'!$D$6:$D$590,"TRUE")+_xlfn.COUNTIFS('Connections'!$C$6:$C$590,A343,'Connections'!$D$6:$D$590,"TRUE")</x:f>
        <x:v>2</x:v>
      </x:c>
      <x:c r="H343" s="48" t="s">
        <x:v>66</x:v>
      </x:c>
      <x:c r="I343" s="48" t="s">
        <x:v>67</x:v>
      </x:c>
      <x:c r="J343" s="49"/>
      <x:c r="K343" s="50"/>
      <x:c r="L343" s="56"/>
      <x:c r="M343" s="53" t="s">
        <x:v>210</x:v>
      </x:c>
      <x:c r="N343" s="57">
        <x:v>268</x:v>
      </x:c>
      <x:c r="O343" s="44"/>
    </x:row>
    <x:row r="344" ht="23" customHeight="1">
      <x:c r="A344" s="21" t="s">
        <x:v>476</x:v>
      </x:c>
      <x:c r="B344" s="45" t="s">
        <x:v>476</x:v>
      </x:c>
      <x:c r="C344" s="45" t="s">
        <x:v>209</x:v>
      </x:c>
      <x:c r="D344" s="46">
        <x:v>42.7328744395459</x:v>
      </x:c>
      <x:c r="E344" s="46">
        <x:v>-73.67764437765121</x:v>
      </x:c>
      <x:c r="F344" s="47" t="n">
        <x:f>_xlfn.COUNTIFS('Connections'!$B$6:$B$590,A344)+_xlfn.COUNTIFS('Connections'!$C$6:$C$590,A344)</x:f>
        <x:v>3</x:v>
      </x:c>
      <x:c r="G344" s="47" t="n">
        <x:f>_xlfn.COUNTIFS('Connections'!$B$6:$B$590,A344,'Connections'!$D$6:$D$590,"TRUE")+_xlfn.COUNTIFS('Connections'!$C$6:$C$590,A344,'Connections'!$D$6:$D$590,"TRUE")</x:f>
        <x:v>3</x:v>
      </x:c>
      <x:c r="H344" s="48" t="s">
        <x:v>66</x:v>
      </x:c>
      <x:c r="I344" s="48" t="s">
        <x:v>67</x:v>
      </x:c>
      <x:c r="J344" s="49"/>
      <x:c r="K344" s="50"/>
      <x:c r="L344" s="51"/>
      <x:c r="M344" s="45" t="s">
        <x:v>210</x:v>
      </x:c>
      <x:c r="N344" s="52">
        <x:v>269</x:v>
      </x:c>
      <x:c r="O344" s="44"/>
    </x:row>
    <x:row r="345" ht="23" customHeight="1">
      <x:c r="A345" s="24" t="s">
        <x:v>477</x:v>
      </x:c>
      <x:c r="B345" s="53" t="s">
        <x:v>477</x:v>
      </x:c>
      <x:c r="C345" s="53" t="s">
        <x:v>209</x:v>
      </x:c>
      <x:c r="D345" s="54">
        <x:v>42.7331606683141</x:v>
      </x:c>
      <x:c r="E345" s="54">
        <x:v>-73.6775393296266</x:v>
      </x:c>
      <x:c r="F345" s="55" t="n">
        <x:f>_xlfn.COUNTIFS('Connections'!$B$6:$B$590,A345)+_xlfn.COUNTIFS('Connections'!$C$6:$C$590,A345)</x:f>
        <x:v>3</x:v>
      </x:c>
      <x:c r="G345" s="55" t="n">
        <x:f>_xlfn.COUNTIFS('Connections'!$B$6:$B$590,A345,'Connections'!$D$6:$D$590,"TRUE")+_xlfn.COUNTIFS('Connections'!$C$6:$C$590,A345,'Connections'!$D$6:$D$590,"TRUE")</x:f>
        <x:v>3</x:v>
      </x:c>
      <x:c r="H345" s="48" t="s">
        <x:v>66</x:v>
      </x:c>
      <x:c r="I345" s="48" t="s">
        <x:v>67</x:v>
      </x:c>
      <x:c r="J345" s="49"/>
      <x:c r="K345" s="50"/>
      <x:c r="L345" s="56"/>
      <x:c r="M345" s="53" t="s">
        <x:v>210</x:v>
      </x:c>
      <x:c r="N345" s="57">
        <x:v>270</x:v>
      </x:c>
      <x:c r="O345" s="44"/>
    </x:row>
    <x:row r="346" ht="23" customHeight="1">
      <x:c r="A346" s="21" t="s">
        <x:v>478</x:v>
      </x:c>
      <x:c r="B346" s="45" t="s">
        <x:v>478</x:v>
      </x:c>
      <x:c r="C346" s="45" t="s">
        <x:v>209</x:v>
      </x:c>
      <x:c r="D346" s="46">
        <x:v>42.7319663241769</x:v>
      </x:c>
      <x:c r="E346" s="46">
        <x:v>-73.6788317386557</x:v>
      </x:c>
      <x:c r="F346" s="47" t="n">
        <x:f>_xlfn.COUNTIFS('Connections'!$B$6:$B$590,A346)+_xlfn.COUNTIFS('Connections'!$C$6:$C$590,A346)</x:f>
        <x:v>2</x:v>
      </x:c>
      <x:c r="G346" s="47" t="n">
        <x:f>_xlfn.COUNTIFS('Connections'!$B$6:$B$590,A346,'Connections'!$D$6:$D$590,"TRUE")+_xlfn.COUNTIFS('Connections'!$C$6:$C$590,A346,'Connections'!$D$6:$D$590,"TRUE")</x:f>
        <x:v>2</x:v>
      </x:c>
      <x:c r="H346" s="48" t="s">
        <x:v>66</x:v>
      </x:c>
      <x:c r="I346" s="48" t="s">
        <x:v>67</x:v>
      </x:c>
      <x:c r="J346" s="49"/>
      <x:c r="K346" s="50"/>
      <x:c r="L346" s="51"/>
      <x:c r="M346" s="45" t="s">
        <x:v>210</x:v>
      </x:c>
      <x:c r="N346" s="52">
        <x:v>271</x:v>
      </x:c>
      <x:c r="O346" s="44"/>
    </x:row>
    <x:row r="347" ht="23" customHeight="1">
      <x:c r="A347" s="24" t="s">
        <x:v>479</x:v>
      </x:c>
      <x:c r="B347" s="53" t="s">
        <x:v>479</x:v>
      </x:c>
      <x:c r="C347" s="53" t="s">
        <x:v>209</x:v>
      </x:c>
      <x:c r="D347" s="54">
        <x:v>42.7318697650743</x:v>
      </x:c>
      <x:c r="E347" s="54">
        <x:v>-73.6798440196193</x:v>
      </x:c>
      <x:c r="F347" s="55" t="n">
        <x:f>_xlfn.COUNTIFS('Connections'!$B$6:$B$590,A347)+_xlfn.COUNTIFS('Connections'!$C$6:$C$590,A347)</x:f>
        <x:v>2</x:v>
      </x:c>
      <x:c r="G347" s="55" t="n">
        <x:f>_xlfn.COUNTIFS('Connections'!$B$6:$B$590,A347,'Connections'!$D$6:$D$590,"TRUE")+_xlfn.COUNTIFS('Connections'!$C$6:$C$590,A347,'Connections'!$D$6:$D$590,"TRUE")</x:f>
        <x:v>2</x:v>
      </x:c>
      <x:c r="H347" s="48" t="s">
        <x:v>66</x:v>
      </x:c>
      <x:c r="I347" s="48" t="s">
        <x:v>67</x:v>
      </x:c>
      <x:c r="J347" s="49"/>
      <x:c r="K347" s="50"/>
      <x:c r="L347" s="56"/>
      <x:c r="M347" s="53" t="s">
        <x:v>210</x:v>
      </x:c>
      <x:c r="N347" s="57">
        <x:v>272</x:v>
      </x:c>
      <x:c r="O347" s="44"/>
    </x:row>
    <x:row r="348" ht="23" customHeight="1">
      <x:c r="A348" s="21" t="s">
        <x:v>480</x:v>
      </x:c>
      <x:c r="B348" s="45" t="s">
        <x:v>480</x:v>
      </x:c>
      <x:c r="C348" s="45" t="s">
        <x:v>209</x:v>
      </x:c>
      <x:c r="D348" s="46">
        <x:v>42.7317938972081</x:v>
      </x:c>
      <x:c r="E348" s="46">
        <x:v>-73.6807735354727</x:v>
      </x:c>
      <x:c r="F348" s="47" t="n">
        <x:f>_xlfn.COUNTIFS('Connections'!$B$6:$B$590,A348)+_xlfn.COUNTIFS('Connections'!$C$6:$C$590,A348)</x:f>
        <x:v>2</x:v>
      </x:c>
      <x:c r="G348" s="47" t="n">
        <x:f>_xlfn.COUNTIFS('Connections'!$B$6:$B$590,A348,'Connections'!$D$6:$D$590,"TRUE")+_xlfn.COUNTIFS('Connections'!$C$6:$C$590,A348,'Connections'!$D$6:$D$590,"TRUE")</x:f>
        <x:v>2</x:v>
      </x:c>
      <x:c r="H348" s="48" t="s">
        <x:v>66</x:v>
      </x:c>
      <x:c r="I348" s="48" t="s">
        <x:v>67</x:v>
      </x:c>
      <x:c r="J348" s="49"/>
      <x:c r="K348" s="50"/>
      <x:c r="L348" s="51"/>
      <x:c r="M348" s="45" t="s">
        <x:v>210</x:v>
      </x:c>
      <x:c r="N348" s="52">
        <x:v>273</x:v>
      </x:c>
      <x:c r="O348" s="44"/>
    </x:row>
    <x:row r="349" ht="23" customHeight="1">
      <x:c r="A349" s="24" t="s">
        <x:v>481</x:v>
      </x:c>
      <x:c r="B349" s="53" t="s">
        <x:v>481</x:v>
      </x:c>
      <x:c r="C349" s="53" t="s">
        <x:v>209</x:v>
      </x:c>
      <x:c r="D349" s="54">
        <x:v>42.7306443840828</x:v>
      </x:c>
      <x:c r="E349" s="54">
        <x:v>-73.67208319889809</x:v>
      </x:c>
      <x:c r="F349" s="55" t="n">
        <x:f>_xlfn.COUNTIFS('Connections'!$B$6:$B$590,A349)+_xlfn.COUNTIFS('Connections'!$C$6:$C$590,A349)</x:f>
        <x:v>3</x:v>
      </x:c>
      <x:c r="G349" s="55" t="n">
        <x:f>_xlfn.COUNTIFS('Connections'!$B$6:$B$590,A349,'Connections'!$D$6:$D$590,"TRUE")+_xlfn.COUNTIFS('Connections'!$C$6:$C$590,A349,'Connections'!$D$6:$D$590,"TRUE")</x:f>
        <x:v>3</x:v>
      </x:c>
      <x:c r="H349" s="48" t="s">
        <x:v>66</x:v>
      </x:c>
      <x:c r="I349" s="48" t="s">
        <x:v>67</x:v>
      </x:c>
      <x:c r="J349" s="49"/>
      <x:c r="K349" s="50"/>
      <x:c r="L349" s="56"/>
      <x:c r="M349" s="53" t="s">
        <x:v>210</x:v>
      </x:c>
      <x:c r="N349" s="57">
        <x:v>274</x:v>
      </x:c>
      <x:c r="O349" s="44"/>
    </x:row>
    <x:row r="350" ht="23" customHeight="1">
      <x:c r="A350" s="21" t="s">
        <x:v>482</x:v>
      </x:c>
      <x:c r="B350" s="45" t="s">
        <x:v>482</x:v>
      </x:c>
      <x:c r="C350" s="45" t="s">
        <x:v>209</x:v>
      </x:c>
      <x:c r="D350" s="46">
        <x:v>42.7306443840828</x:v>
      </x:c>
      <x:c r="E350" s="46">
        <x:v>-73.671446544204</x:v>
      </x:c>
      <x:c r="F350" s="47" t="n">
        <x:f>_xlfn.COUNTIFS('Connections'!$B$6:$B$590,A350)+_xlfn.COUNTIFS('Connections'!$C$6:$C$590,A350)</x:f>
        <x:v>3</x:v>
      </x:c>
      <x:c r="G350" s="47" t="n">
        <x:f>_xlfn.COUNTIFS('Connections'!$B$6:$B$590,A350,'Connections'!$D$6:$D$590,"TRUE")+_xlfn.COUNTIFS('Connections'!$C$6:$C$590,A350,'Connections'!$D$6:$D$590,"TRUE")</x:f>
        <x:v>3</x:v>
      </x:c>
      <x:c r="H350" s="48" t="s">
        <x:v>66</x:v>
      </x:c>
      <x:c r="I350" s="48" t="s">
        <x:v>67</x:v>
      </x:c>
      <x:c r="J350" s="49"/>
      <x:c r="K350" s="50"/>
      <x:c r="L350" s="51"/>
      <x:c r="M350" s="45" t="s">
        <x:v>210</x:v>
      </x:c>
      <x:c r="N350" s="52">
        <x:v>275</x:v>
      </x:c>
      <x:c r="O350" s="44"/>
    </x:row>
    <x:row r="351" ht="23" customHeight="1">
      <x:c r="A351" s="24" t="s">
        <x:v>483</x:v>
      </x:c>
      <x:c r="B351" s="53" t="s">
        <x:v>483</x:v>
      </x:c>
      <x:c r="C351" s="53" t="s">
        <x:v>209</x:v>
      </x:c>
      <x:c r="D351" s="54">
        <x:v>42.7306754209371</x:v>
      </x:c>
      <x:c r="E351" s="54">
        <x:v>-73.6707382658569</x:v>
      </x:c>
      <x:c r="F351" s="55" t="n">
        <x:f>_xlfn.COUNTIFS('Connections'!$B$6:$B$590,A351)+_xlfn.COUNTIFS('Connections'!$C$6:$C$590,A351)</x:f>
        <x:v>2</x:v>
      </x:c>
      <x:c r="G351" s="55" t="n">
        <x:f>_xlfn.COUNTIFS('Connections'!$B$6:$B$590,A351,'Connections'!$D$6:$D$590,"TRUE")+_xlfn.COUNTIFS('Connections'!$C$6:$C$590,A351,'Connections'!$D$6:$D$590,"TRUE")</x:f>
        <x:v>2</x:v>
      </x:c>
      <x:c r="H351" s="48" t="s">
        <x:v>66</x:v>
      </x:c>
      <x:c r="I351" s="48" t="s">
        <x:v>67</x:v>
      </x:c>
      <x:c r="J351" s="49"/>
      <x:c r="K351" s="50"/>
      <x:c r="L351" s="56"/>
      <x:c r="M351" s="53" t="s">
        <x:v>210</x:v>
      </x:c>
      <x:c r="N351" s="57">
        <x:v>276</x:v>
      </x:c>
      <x:c r="O351" s="44"/>
    </x:row>
    <x:row r="352" ht="23" customHeight="1">
      <x:c r="A352" s="21" t="s">
        <x:v>484</x:v>
      </x:c>
      <x:c r="B352" s="45" t="s">
        <x:v>484</x:v>
      </x:c>
      <x:c r="C352" s="45" t="s">
        <x:v>209</x:v>
      </x:c>
      <x:c r="D352" s="46">
        <x:v>42.7308512964453</x:v>
      </x:c>
      <x:c r="E352" s="46">
        <x:v>-73.6705902436405</x:v>
      </x:c>
      <x:c r="F352" s="47" t="n">
        <x:f>_xlfn.COUNTIFS('Connections'!$B$6:$B$590,A352)+_xlfn.COUNTIFS('Connections'!$C$6:$C$590,A352)</x:f>
        <x:v>3</x:v>
      </x:c>
      <x:c r="G352" s="47" t="n">
        <x:f>_xlfn.COUNTIFS('Connections'!$B$6:$B$590,A352,'Connections'!$D$6:$D$590,"TRUE")+_xlfn.COUNTIFS('Connections'!$C$6:$C$590,A352,'Connections'!$D$6:$D$590,"TRUE")</x:f>
        <x:v>3</x:v>
      </x:c>
      <x:c r="H352" s="48" t="s">
        <x:v>66</x:v>
      </x:c>
      <x:c r="I352" s="48" t="s">
        <x:v>67</x:v>
      </x:c>
      <x:c r="J352" s="49"/>
      <x:c r="K352" s="50"/>
      <x:c r="L352" s="51"/>
      <x:c r="M352" s="45" t="s">
        <x:v>210</x:v>
      </x:c>
      <x:c r="N352" s="52">
        <x:v>277</x:v>
      </x:c>
      <x:c r="O352" s="44"/>
    </x:row>
    <x:row r="353" ht="23" customHeight="1">
      <x:c r="A353" s="24" t="s">
        <x:v>485</x:v>
      </x:c>
      <x:c r="B353" s="53" t="s">
        <x:v>485</x:v>
      </x:c>
      <x:c r="C353" s="53" t="s">
        <x:v>209</x:v>
      </x:c>
      <x:c r="D353" s="54">
        <x:v>42.7310007331516</x:v>
      </x:c>
      <x:c r="E353" s="54">
        <x:v>-73.6706029767344</x:v>
      </x:c>
      <x:c r="F353" s="55" t="n">
        <x:f>_xlfn.COUNTIFS('Connections'!$B$6:$B$590,A353)+_xlfn.COUNTIFS('Connections'!$C$6:$C$590,A353)</x:f>
        <x:v>3</x:v>
      </x:c>
      <x:c r="G353" s="55" t="n">
        <x:f>_xlfn.COUNTIFS('Connections'!$B$6:$B$590,A353,'Connections'!$D$6:$D$590,"TRUE")+_xlfn.COUNTIFS('Connections'!$C$6:$C$590,A353,'Connections'!$D$6:$D$590,"TRUE")</x:f>
        <x:v>3</x:v>
      </x:c>
      <x:c r="H353" s="48" t="s">
        <x:v>66</x:v>
      </x:c>
      <x:c r="I353" s="48" t="s">
        <x:v>67</x:v>
      </x:c>
      <x:c r="J353" s="49"/>
      <x:c r="K353" s="50"/>
      <x:c r="L353" s="56"/>
      <x:c r="M353" s="53" t="s">
        <x:v>210</x:v>
      </x:c>
      <x:c r="N353" s="57">
        <x:v>278</x:v>
      </x:c>
      <x:c r="O353" s="44"/>
    </x:row>
    <x:row r="354" ht="23" customHeight="1">
      <x:c r="A354" s="21" t="s">
        <x:v>486</x:v>
      </x:c>
      <x:c r="B354" s="45" t="s">
        <x:v>486</x:v>
      </x:c>
      <x:c r="C354" s="45" t="s">
        <x:v>209</x:v>
      </x:c>
      <x:c r="D354" s="46">
        <x:v>42.7314030627455</x:v>
      </x:c>
      <x:c r="E354" s="46">
        <x:v>-73.6704501796078</x:v>
      </x:c>
      <x:c r="F354" s="47" t="n">
        <x:f>_xlfn.COUNTIFS('Connections'!$B$6:$B$590,A354)+_xlfn.COUNTIFS('Connections'!$C$6:$C$590,A354)</x:f>
        <x:v>2</x:v>
      </x:c>
      <x:c r="G354" s="47" t="n">
        <x:f>_xlfn.COUNTIFS('Connections'!$B$6:$B$590,A354,'Connections'!$D$6:$D$590,"TRUE")+_xlfn.COUNTIFS('Connections'!$C$6:$C$590,A354,'Connections'!$D$6:$D$590,"TRUE")</x:f>
        <x:v>2</x:v>
      </x:c>
      <x:c r="H354" s="48" t="s">
        <x:v>66</x:v>
      </x:c>
      <x:c r="I354" s="48" t="s">
        <x:v>67</x:v>
      </x:c>
      <x:c r="J354" s="49"/>
      <x:c r="K354" s="50"/>
      <x:c r="L354" s="51"/>
      <x:c r="M354" s="45" t="s">
        <x:v>210</x:v>
      </x:c>
      <x:c r="N354" s="52">
        <x:v>279</x:v>
      </x:c>
      <x:c r="O354" s="44"/>
    </x:row>
    <x:row r="355" ht="23" customHeight="1">
      <x:c r="A355" s="24" t="s">
        <x:v>487</x:v>
      </x:c>
      <x:c r="B355" s="53" t="s">
        <x:v>487</x:v>
      </x:c>
      <x:c r="C355" s="53" t="s">
        <x:v>209</x:v>
      </x:c>
      <x:c r="D355" s="54">
        <x:v>42.7314697345067</x:v>
      </x:c>
      <x:c r="E355" s="54">
        <x:v>-73.6708210309671</x:v>
      </x:c>
      <x:c r="F355" s="55" t="n">
        <x:f>_xlfn.COUNTIFS('Connections'!$B$6:$B$590,A355)+_xlfn.COUNTIFS('Connections'!$C$6:$C$590,A355)</x:f>
        <x:v>2</x:v>
      </x:c>
      <x:c r="G355" s="55" t="n">
        <x:f>_xlfn.COUNTIFS('Connections'!$B$6:$B$590,A355,'Connections'!$D$6:$D$590,"TRUE")+_xlfn.COUNTIFS('Connections'!$C$6:$C$590,A355,'Connections'!$D$6:$D$590,"TRUE")</x:f>
        <x:v>2</x:v>
      </x:c>
      <x:c r="H355" s="48" t="s">
        <x:v>66</x:v>
      </x:c>
      <x:c r="I355" s="48" t="s">
        <x:v>67</x:v>
      </x:c>
      <x:c r="J355" s="49"/>
      <x:c r="K355" s="50"/>
      <x:c r="L355" s="56"/>
      <x:c r="M355" s="53" t="s">
        <x:v>210</x:v>
      </x:c>
      <x:c r="N355" s="57">
        <x:v>280</x:v>
      </x:c>
      <x:c r="O355" s="44"/>
    </x:row>
    <x:row r="356" ht="23" customHeight="1">
      <x:c r="A356" s="21" t="s">
        <x:v>488</x:v>
      </x:c>
      <x:c r="B356" s="45" t="s">
        <x:v>488</x:v>
      </x:c>
      <x:c r="C356" s="45" t="s">
        <x:v>209</x:v>
      </x:c>
      <x:c r="D356" s="46">
        <x:v>42.731563994583</x:v>
      </x:c>
      <x:c r="E356" s="46">
        <x:v>-73.6708894713467</x:v>
      </x:c>
      <x:c r="F356" s="47" t="n">
        <x:f>_xlfn.COUNTIFS('Connections'!$B$6:$B$590,A356)+_xlfn.COUNTIFS('Connections'!$C$6:$C$590,A356)</x:f>
        <x:v>3</x:v>
      </x:c>
      <x:c r="G356" s="47" t="n">
        <x:f>_xlfn.COUNTIFS('Connections'!$B$6:$B$590,A356,'Connections'!$D$6:$D$590,"TRUE")+_xlfn.COUNTIFS('Connections'!$C$6:$C$590,A356,'Connections'!$D$6:$D$590,"TRUE")</x:f>
        <x:v>3</x:v>
      </x:c>
      <x:c r="H356" s="48" t="s">
        <x:v>66</x:v>
      </x:c>
      <x:c r="I356" s="48" t="s">
        <x:v>67</x:v>
      </x:c>
      <x:c r="J356" s="49"/>
      <x:c r="K356" s="50"/>
      <x:c r="L356" s="51"/>
      <x:c r="M356" s="45" t="s">
        <x:v>210</x:v>
      </x:c>
      <x:c r="N356" s="52">
        <x:v>281</x:v>
      </x:c>
      <x:c r="O356" s="44"/>
    </x:row>
    <x:row r="357" ht="23" customHeight="1">
      <x:c r="A357" s="24" t="s">
        <x:v>489</x:v>
      </x:c>
      <x:c r="B357" s="53" t="s">
        <x:v>489</x:v>
      </x:c>
      <x:c r="C357" s="53" t="s">
        <x:v>209</x:v>
      </x:c>
      <x:c r="D357" s="54">
        <x:v>42.7316053770555</x:v>
      </x:c>
      <x:c r="E357" s="54">
        <x:v>-73.6704597294282</x:v>
      </x:c>
      <x:c r="F357" s="55" t="n">
        <x:f>_xlfn.COUNTIFS('Connections'!$B$6:$B$590,A357)+_xlfn.COUNTIFS('Connections'!$C$6:$C$590,A357)</x:f>
        <x:v>3</x:v>
      </x:c>
      <x:c r="G357" s="55" t="n">
        <x:f>_xlfn.COUNTIFS('Connections'!$B$6:$B$590,A357,'Connections'!$D$6:$D$590,"TRUE")+_xlfn.COUNTIFS('Connections'!$C$6:$C$590,A357,'Connections'!$D$6:$D$590,"TRUE")</x:f>
        <x:v>3</x:v>
      </x:c>
      <x:c r="H357" s="48" t="s">
        <x:v>66</x:v>
      </x:c>
      <x:c r="I357" s="48" t="s">
        <x:v>67</x:v>
      </x:c>
      <x:c r="J357" s="49"/>
      <x:c r="K357" s="50"/>
      <x:c r="L357" s="56"/>
      <x:c r="M357" s="53" t="s">
        <x:v>210</x:v>
      </x:c>
      <x:c r="N357" s="57">
        <x:v>282</x:v>
      </x:c>
      <x:c r="O357" s="44"/>
    </x:row>
    <x:row r="358" ht="23" customHeight="1">
      <x:c r="A358" s="21" t="s">
        <x:v>490</x:v>
      </x:c>
      <x:c r="B358" s="45" t="s">
        <x:v>490</x:v>
      </x:c>
      <x:c r="C358" s="45" t="s">
        <x:v>209</x:v>
      </x:c>
      <x:c r="D358" s="46">
        <x:v>42.7318605689693</x:v>
      </x:c>
      <x:c r="E358" s="46">
        <x:v>-73.6703053406649</x:v>
      </x:c>
      <x:c r="F358" s="47" t="n">
        <x:f>_xlfn.COUNTIFS('Connections'!$B$6:$B$590,A358)+_xlfn.COUNTIFS('Connections'!$C$6:$C$590,A358)</x:f>
        <x:v>4</x:v>
      </x:c>
      <x:c r="G358" s="47" t="n">
        <x:f>_xlfn.COUNTIFS('Connections'!$B$6:$B$590,A358,'Connections'!$D$6:$D$590,"TRUE")+_xlfn.COUNTIFS('Connections'!$C$6:$C$590,A358,'Connections'!$D$6:$D$590,"TRUE")</x:f>
        <x:v>4</x:v>
      </x:c>
      <x:c r="H358" s="48" t="s">
        <x:v>66</x:v>
      </x:c>
      <x:c r="I358" s="48" t="s">
        <x:v>67</x:v>
      </x:c>
      <x:c r="J358" s="49"/>
      <x:c r="K358" s="50"/>
      <x:c r="L358" s="51"/>
      <x:c r="M358" s="45" t="s">
        <x:v>210</x:v>
      </x:c>
      <x:c r="N358" s="52">
        <x:v>283</x:v>
      </x:c>
      <x:c r="O358" s="44"/>
    </x:row>
    <x:row r="359" ht="23" customHeight="1">
      <x:c r="A359" s="24" t="s">
        <x:v>491</x:v>
      </x:c>
      <x:c r="B359" s="53" t="s">
        <x:v>491</x:v>
      </x:c>
      <x:c r="C359" s="53" t="s">
        <x:v>209</x:v>
      </x:c>
      <x:c r="D359" s="54">
        <x:v>42.7320697803581</x:v>
      </x:c>
      <x:c r="E359" s="54">
        <x:v>-73.6706093432813</x:v>
      </x:c>
      <x:c r="F359" s="55" t="n">
        <x:f>_xlfn.COUNTIFS('Connections'!$B$6:$B$590,A359)+_xlfn.COUNTIFS('Connections'!$C$6:$C$590,A359)</x:f>
        <x:v>2</x:v>
      </x:c>
      <x:c r="G359" s="55" t="n">
        <x:f>_xlfn.COUNTIFS('Connections'!$B$6:$B$590,A359,'Connections'!$D$6:$D$590,"TRUE")+_xlfn.COUNTIFS('Connections'!$C$6:$C$590,A359,'Connections'!$D$6:$D$590,"TRUE")</x:f>
        <x:v>2</x:v>
      </x:c>
      <x:c r="H359" s="48" t="s">
        <x:v>66</x:v>
      </x:c>
      <x:c r="I359" s="48" t="s">
        <x:v>67</x:v>
      </x:c>
      <x:c r="J359" s="49"/>
      <x:c r="K359" s="50"/>
      <x:c r="L359" s="56"/>
      <x:c r="M359" s="53" t="s">
        <x:v>210</x:v>
      </x:c>
      <x:c r="N359" s="57">
        <x:v>284</x:v>
      </x:c>
      <x:c r="O359" s="44"/>
    </x:row>
    <x:row r="360" ht="23" customHeight="1">
      <x:c r="A360" s="21" t="s">
        <x:v>492</x:v>
      </x:c>
      <x:c r="B360" s="45" t="s">
        <x:v>492</x:v>
      </x:c>
      <x:c r="C360" s="45" t="s">
        <x:v>209</x:v>
      </x:c>
      <x:c r="D360" s="46">
        <x:v>42.7322870383388</x:v>
      </x:c>
      <x:c r="E360" s="46">
        <x:v>-73.67068574184459</x:v>
      </x:c>
      <x:c r="F360" s="47" t="n">
        <x:f>_xlfn.COUNTIFS('Connections'!$B$6:$B$590,A360)+_xlfn.COUNTIFS('Connections'!$C$6:$C$590,A360)</x:f>
        <x:v>3</x:v>
      </x:c>
      <x:c r="G360" s="47" t="n">
        <x:f>_xlfn.COUNTIFS('Connections'!$B$6:$B$590,A360,'Connections'!$D$6:$D$590,"TRUE")+_xlfn.COUNTIFS('Connections'!$C$6:$C$590,A360,'Connections'!$D$6:$D$590,"TRUE")</x:f>
        <x:v>3</x:v>
      </x:c>
      <x:c r="H360" s="48" t="s">
        <x:v>66</x:v>
      </x:c>
      <x:c r="I360" s="48" t="s">
        <x:v>67</x:v>
      </x:c>
      <x:c r="J360" s="49"/>
      <x:c r="K360" s="50"/>
      <x:c r="L360" s="51"/>
      <x:c r="M360" s="45" t="s">
        <x:v>210</x:v>
      </x:c>
      <x:c r="N360" s="52">
        <x:v>285</x:v>
      </x:c>
      <x:c r="O360" s="44"/>
    </x:row>
    <x:row r="361" ht="23" customHeight="1">
      <x:c r="A361" s="24" t="s">
        <x:v>493</x:v>
      </x:c>
      <x:c r="B361" s="53" t="s">
        <x:v>493</x:v>
      </x:c>
      <x:c r="C361" s="53" t="s">
        <x:v>209</x:v>
      </x:c>
      <x:c r="D361" s="54">
        <x:v>42.7321088638044</x:v>
      </x:c>
      <x:c r="E361" s="54">
        <x:v>-73.6712650976162</x:v>
      </x:c>
      <x:c r="F361" s="55" t="n">
        <x:f>_xlfn.COUNTIFS('Connections'!$B$6:$B$590,A361)+_xlfn.COUNTIFS('Connections'!$C$6:$C$590,A361)</x:f>
        <x:v>2</x:v>
      </x:c>
      <x:c r="G361" s="55" t="n">
        <x:f>_xlfn.COUNTIFS('Connections'!$B$6:$B$590,A361,'Connections'!$D$6:$D$590,"TRUE")+_xlfn.COUNTIFS('Connections'!$C$6:$C$590,A361,'Connections'!$D$6:$D$590,"TRUE")</x:f>
        <x:v>2</x:v>
      </x:c>
      <x:c r="H361" s="48" t="s">
        <x:v>66</x:v>
      </x:c>
      <x:c r="I361" s="48" t="s">
        <x:v>67</x:v>
      </x:c>
      <x:c r="J361" s="49"/>
      <x:c r="K361" s="50"/>
      <x:c r="L361" s="56"/>
      <x:c r="M361" s="53" t="s">
        <x:v>210</x:v>
      </x:c>
      <x:c r="N361" s="57">
        <x:v>286</x:v>
      </x:c>
      <x:c r="O361" s="44"/>
    </x:row>
    <x:row r="362" ht="23" customHeight="1">
      <x:c r="A362" s="21" t="s">
        <x:v>494</x:v>
      </x:c>
      <x:c r="B362" s="45" t="s">
        <x:v>494</x:v>
      </x:c>
      <x:c r="C362" s="45" t="s">
        <x:v>209</x:v>
      </x:c>
      <x:c r="D362" s="46">
        <x:v>42.7323376169163</x:v>
      </x:c>
      <x:c r="E362" s="46">
        <x:v>-73.6712014321468</x:v>
      </x:c>
      <x:c r="F362" s="47" t="n">
        <x:f>_xlfn.COUNTIFS('Connections'!$B$6:$B$590,A362)+_xlfn.COUNTIFS('Connections'!$C$6:$C$590,A362)</x:f>
        <x:v>3</x:v>
      </x:c>
      <x:c r="G362" s="47" t="n">
        <x:f>_xlfn.COUNTIFS('Connections'!$B$6:$B$590,A362,'Connections'!$D$6:$D$590,"TRUE")+_xlfn.COUNTIFS('Connections'!$C$6:$C$590,A362,'Connections'!$D$6:$D$590,"TRUE")</x:f>
        <x:v>3</x:v>
      </x:c>
      <x:c r="H362" s="48" t="s">
        <x:v>66</x:v>
      </x:c>
      <x:c r="I362" s="48" t="s">
        <x:v>67</x:v>
      </x:c>
      <x:c r="J362" s="49"/>
      <x:c r="K362" s="50"/>
      <x:c r="L362" s="51"/>
      <x:c r="M362" s="45" t="s">
        <x:v>210</x:v>
      </x:c>
      <x:c r="N362" s="52">
        <x:v>287</x:v>
      </x:c>
      <x:c r="O362" s="44"/>
    </x:row>
    <x:row r="363" ht="23" customHeight="1">
      <x:c r="A363" s="24" t="s">
        <x:v>495</x:v>
      </x:c>
      <x:c r="B363" s="53" t="s">
        <x:v>495</x:v>
      </x:c>
      <x:c r="C363" s="53" t="s">
        <x:v>209</x:v>
      </x:c>
      <x:c r="D363" s="54">
        <x:v>42.7321456482244</x:v>
      </x:c>
      <x:c r="E363" s="54">
        <x:v>-73.67166459843681</x:v>
      </x:c>
      <x:c r="F363" s="55" t="n">
        <x:f>_xlfn.COUNTIFS('Connections'!$B$6:$B$590,A363)+_xlfn.COUNTIFS('Connections'!$C$6:$C$590,A363)</x:f>
        <x:v>3</x:v>
      </x:c>
      <x:c r="G363" s="55" t="n">
        <x:f>_xlfn.COUNTIFS('Connections'!$B$6:$B$590,A363,'Connections'!$D$6:$D$590,"TRUE")+_xlfn.COUNTIFS('Connections'!$C$6:$C$590,A363,'Connections'!$D$6:$D$590,"TRUE")</x:f>
        <x:v>3</x:v>
      </x:c>
      <x:c r="H363" s="48" t="s">
        <x:v>66</x:v>
      </x:c>
      <x:c r="I363" s="48" t="s">
        <x:v>67</x:v>
      </x:c>
      <x:c r="J363" s="49"/>
      <x:c r="K363" s="50"/>
      <x:c r="L363" s="56"/>
      <x:c r="M363" s="53" t="s">
        <x:v>210</x:v>
      </x:c>
      <x:c r="N363" s="57">
        <x:v>288</x:v>
      </x:c>
      <x:c r="O363" s="44"/>
    </x:row>
    <x:row r="364" ht="23" customHeight="1">
      <x:c r="A364" s="21" t="s">
        <x:v>496</x:v>
      </x:c>
      <x:c r="B364" s="45" t="s">
        <x:v>496</x:v>
      </x:c>
      <x:c r="C364" s="45" t="s">
        <x:v>209</x:v>
      </x:c>
      <x:c r="D364" s="46">
        <x:v>42.7314605384017</x:v>
      </x:c>
      <x:c r="E364" s="46">
        <x:v>-73.67110275066921</x:v>
      </x:c>
      <x:c r="F364" s="47" t="n">
        <x:f>_xlfn.COUNTIFS('Connections'!$B$6:$B$590,A364)+_xlfn.COUNTIFS('Connections'!$C$6:$C$590,A364)</x:f>
        <x:v>3</x:v>
      </x:c>
      <x:c r="G364" s="47" t="n">
        <x:f>_xlfn.COUNTIFS('Connections'!$B$6:$B$590,A364,'Connections'!$D$6:$D$590,"TRUE")+_xlfn.COUNTIFS('Connections'!$C$6:$C$590,A364,'Connections'!$D$6:$D$590,"TRUE")</x:f>
        <x:v>3</x:v>
      </x:c>
      <x:c r="H364" s="48" t="s">
        <x:v>66</x:v>
      </x:c>
      <x:c r="I364" s="48" t="s">
        <x:v>67</x:v>
      </x:c>
      <x:c r="J364" s="49"/>
      <x:c r="K364" s="50"/>
      <x:c r="L364" s="51"/>
      <x:c r="M364" s="45" t="s">
        <x:v>210</x:v>
      </x:c>
      <x:c r="N364" s="52">
        <x:v>289</x:v>
      </x:c>
      <x:c r="O364" s="44"/>
    </x:row>
    <x:row r="365" ht="23" customHeight="1">
      <x:c r="A365" s="24" t="s">
        <x:v>497</x:v>
      </x:c>
      <x:c r="B365" s="53" t="s">
        <x:v>497</x:v>
      </x:c>
      <x:c r="C365" s="53" t="s">
        <x:v>209</x:v>
      </x:c>
      <x:c r="D365" s="54">
        <x:v>42.7315444528599</x:v>
      </x:c>
      <x:c r="E365" s="54">
        <x:v>-73.67183808684091</x:v>
      </x:c>
      <x:c r="F365" s="55" t="n">
        <x:f>_xlfn.COUNTIFS('Connections'!$B$6:$B$590,A365)+_xlfn.COUNTIFS('Connections'!$C$6:$C$590,A365)</x:f>
        <x:v>3</x:v>
      </x:c>
      <x:c r="G365" s="55" t="n">
        <x:f>_xlfn.COUNTIFS('Connections'!$B$6:$B$590,A365,'Connections'!$D$6:$D$590,"TRUE")+_xlfn.COUNTIFS('Connections'!$C$6:$C$590,A365,'Connections'!$D$6:$D$590,"TRUE")</x:f>
        <x:v>3</x:v>
      </x:c>
      <x:c r="H365" s="48" t="s">
        <x:v>66</x:v>
      </x:c>
      <x:c r="I365" s="48" t="s">
        <x:v>67</x:v>
      </x:c>
      <x:c r="J365" s="49"/>
      <x:c r="K365" s="50"/>
      <x:c r="L365" s="56"/>
      <x:c r="M365" s="53" t="s">
        <x:v>210</x:v>
      </x:c>
      <x:c r="N365" s="57">
        <x:v>290</x:v>
      </x:c>
      <x:c r="O365" s="44"/>
    </x:row>
    <x:row r="366" ht="23" customHeight="1">
      <x:c r="A366" s="21" t="s">
        <x:v>498</x:v>
      </x:c>
      <x:c r="B366" s="45" t="s">
        <x:v>498</x:v>
      </x:c>
      <x:c r="C366" s="45" t="s">
        <x:v>209</x:v>
      </x:c>
      <x:c r="D366" s="46">
        <x:v>42.7325410807395</x:v>
      </x:c>
      <x:c r="E366" s="46">
        <x:v>-73.670178009726</x:v>
      </x:c>
      <x:c r="F366" s="47" t="n">
        <x:f>_xlfn.COUNTIFS('Connections'!$B$6:$B$590,A366)+_xlfn.COUNTIFS('Connections'!$C$6:$C$590,A366)</x:f>
        <x:v>3</x:v>
      </x:c>
      <x:c r="G366" s="47" t="n">
        <x:f>_xlfn.COUNTIFS('Connections'!$B$6:$B$590,A366,'Connections'!$D$6:$D$590,"TRUE")+_xlfn.COUNTIFS('Connections'!$C$6:$C$590,A366,'Connections'!$D$6:$D$590,"TRUE")</x:f>
        <x:v>3</x:v>
      </x:c>
      <x:c r="H366" s="48" t="s">
        <x:v>66</x:v>
      </x:c>
      <x:c r="I366" s="48" t="s">
        <x:v>67</x:v>
      </x:c>
      <x:c r="J366" s="49"/>
      <x:c r="K366" s="50"/>
      <x:c r="L366" s="51"/>
      <x:c r="M366" s="45" t="s">
        <x:v>210</x:v>
      </x:c>
      <x:c r="N366" s="52">
        <x:v>291</x:v>
      </x:c>
      <x:c r="O366" s="44"/>
    </x:row>
    <x:row r="367" ht="23" customHeight="1">
      <x:c r="A367" s="24" t="s">
        <x:v>499</x:v>
      </x:c>
      <x:c r="B367" s="53" t="s">
        <x:v>499</x:v>
      </x:c>
      <x:c r="C367" s="53" t="s">
        <x:v>209</x:v>
      </x:c>
      <x:c r="D367" s="54">
        <x:v>42.7324767080045</x:v>
      </x:c>
      <x:c r="E367" s="54">
        <x:v>-73.6696066121381</x:v>
      </x:c>
      <x:c r="F367" s="55" t="n">
        <x:f>_xlfn.COUNTIFS('Connections'!$B$6:$B$590,A367)+_xlfn.COUNTIFS('Connections'!$C$6:$C$590,A367)</x:f>
        <x:v>3</x:v>
      </x:c>
      <x:c r="G367" s="55" t="n">
        <x:f>_xlfn.COUNTIFS('Connections'!$B$6:$B$590,A367,'Connections'!$D$6:$D$590,"TRUE")+_xlfn.COUNTIFS('Connections'!$C$6:$C$590,A367,'Connections'!$D$6:$D$590,"TRUE")</x:f>
        <x:v>3</x:v>
      </x:c>
      <x:c r="H367" s="48" t="s">
        <x:v>66</x:v>
      </x:c>
      <x:c r="I367" s="48" t="s">
        <x:v>67</x:v>
      </x:c>
      <x:c r="J367" s="49"/>
      <x:c r="K367" s="50"/>
      <x:c r="L367" s="56"/>
      <x:c r="M367" s="53" t="s">
        <x:v>210</x:v>
      </x:c>
      <x:c r="N367" s="57">
        <x:v>292</x:v>
      </x:c>
      <x:c r="O367" s="44"/>
    </x:row>
    <x:row r="368" ht="23" customHeight="1">
      <x:c r="A368" s="21" t="s">
        <x:v>500</x:v>
      </x:c>
      <x:c r="B368" s="45" t="s">
        <x:v>500</x:v>
      </x:c>
      <x:c r="C368" s="45" t="s">
        <x:v>209</x:v>
      </x:c>
      <x:c r="D368" s="46">
        <x:v>42.732315776167</x:v>
      </x:c>
      <x:c r="E368" s="46">
        <x:v>-73.6686293471826</x:v>
      </x:c>
      <x:c r="F368" s="47" t="n">
        <x:f>_xlfn.COUNTIFS('Connections'!$B$6:$B$590,A368)+_xlfn.COUNTIFS('Connections'!$C$6:$C$590,A368)</x:f>
        <x:v>3</x:v>
      </x:c>
      <x:c r="G368" s="47" t="n">
        <x:f>_xlfn.COUNTIFS('Connections'!$B$6:$B$590,A368,'Connections'!$D$6:$D$590,"TRUE")+_xlfn.COUNTIFS('Connections'!$C$6:$C$590,A368,'Connections'!$D$6:$D$590,"TRUE")</x:f>
        <x:v>3</x:v>
      </x:c>
      <x:c r="H368" s="48" t="s">
        <x:v>66</x:v>
      </x:c>
      <x:c r="I368" s="48" t="s">
        <x:v>67</x:v>
      </x:c>
      <x:c r="J368" s="49"/>
      <x:c r="K368" s="50"/>
      <x:c r="L368" s="51"/>
      <x:c r="M368" s="45" t="s">
        <x:v>210</x:v>
      </x:c>
      <x:c r="N368" s="52">
        <x:v>293</x:v>
      </x:c>
      <x:c r="O368" s="44"/>
    </x:row>
    <x:row r="369" ht="23" customHeight="1">
      <x:c r="A369" s="24" t="s">
        <x:v>501</x:v>
      </x:c>
      <x:c r="B369" s="53" t="s">
        <x:v>501</x:v>
      </x:c>
      <x:c r="C369" s="53" t="s">
        <x:v>209</x:v>
      </x:c>
      <x:c r="D369" s="54">
        <x:v>42.7317168798287</x:v>
      </x:c>
      <x:c r="E369" s="54">
        <x:v>-73.66882034359089</x:v>
      </x:c>
      <x:c r="F369" s="55" t="n">
        <x:f>_xlfn.COUNTIFS('Connections'!$B$6:$B$590,A369)+_xlfn.COUNTIFS('Connections'!$C$6:$C$590,A369)</x:f>
        <x:v>3</x:v>
      </x:c>
      <x:c r="G369" s="55" t="n">
        <x:f>_xlfn.COUNTIFS('Connections'!$B$6:$B$590,A369,'Connections'!$D$6:$D$590,"TRUE")+_xlfn.COUNTIFS('Connections'!$C$6:$C$590,A369,'Connections'!$D$6:$D$590,"TRUE")</x:f>
        <x:v>3</x:v>
      </x:c>
      <x:c r="H369" s="48" t="s">
        <x:v>66</x:v>
      </x:c>
      <x:c r="I369" s="48" t="s">
        <x:v>67</x:v>
      </x:c>
      <x:c r="J369" s="49"/>
      <x:c r="K369" s="50"/>
      <x:c r="L369" s="56"/>
      <x:c r="M369" s="53" t="s">
        <x:v>210</x:v>
      </x:c>
      <x:c r="N369" s="57">
        <x:v>294</x:v>
      </x:c>
      <x:c r="O369" s="44"/>
    </x:row>
    <x:row r="370" ht="23" customHeight="1">
      <x:c r="A370" s="21" t="s">
        <x:v>502</x:v>
      </x:c>
      <x:c r="B370" s="45" t="s">
        <x:v>502</x:v>
      </x:c>
      <x:c r="C370" s="45" t="s">
        <x:v>209</x:v>
      </x:c>
      <x:c r="D370" s="46">
        <x:v>42.7317732059718</x:v>
      </x:c>
      <x:c r="E370" s="46">
        <x:v>-73.66976418417489</x:v>
      </x:c>
      <x:c r="F370" s="47" t="n">
        <x:f>_xlfn.COUNTIFS('Connections'!$B$6:$B$590,A370)+_xlfn.COUNTIFS('Connections'!$C$6:$C$590,A370)</x:f>
        <x:v>3</x:v>
      </x:c>
      <x:c r="G370" s="47" t="n">
        <x:f>_xlfn.COUNTIFS('Connections'!$B$6:$B$590,A370,'Connections'!$D$6:$D$590,"TRUE")+_xlfn.COUNTIFS('Connections'!$C$6:$C$590,A370,'Connections'!$D$6:$D$590,"TRUE")</x:f>
        <x:v>3</x:v>
      </x:c>
      <x:c r="H370" s="48" t="s">
        <x:v>66</x:v>
      </x:c>
      <x:c r="I370" s="48" t="s">
        <x:v>67</x:v>
      </x:c>
      <x:c r="J370" s="49"/>
      <x:c r="K370" s="50"/>
      <x:c r="L370" s="51"/>
      <x:c r="M370" s="45" t="s">
        <x:v>210</x:v>
      </x:c>
      <x:c r="N370" s="52">
        <x:v>295</x:v>
      </x:c>
      <x:c r="O370" s="44"/>
    </x:row>
    <x:row r="371" ht="23" customHeight="1">
      <x:c r="A371" s="24" t="s">
        <x:v>503</x:v>
      </x:c>
      <x:c r="B371" s="53" t="s">
        <x:v>503</x:v>
      </x:c>
      <x:c r="C371" s="53" t="s">
        <x:v>209</x:v>
      </x:c>
      <x:c r="D371" s="54">
        <x:v>42.731361680273</x:v>
      </x:c>
      <x:c r="E371" s="54">
        <x:v>-73.6690590891012</x:v>
      </x:c>
      <x:c r="F371" s="55" t="n">
        <x:f>_xlfn.COUNTIFS('Connections'!$B$6:$B$590,A371)+_xlfn.COUNTIFS('Connections'!$C$6:$C$590,A371)</x:f>
        <x:v>2</x:v>
      </x:c>
      <x:c r="G371" s="55" t="n">
        <x:f>_xlfn.COUNTIFS('Connections'!$B$6:$B$590,A371,'Connections'!$D$6:$D$590,"TRUE")+_xlfn.COUNTIFS('Connections'!$C$6:$C$590,A371,'Connections'!$D$6:$D$590,"TRUE")</x:f>
        <x:v>2</x:v>
      </x:c>
      <x:c r="H371" s="48" t="s">
        <x:v>66</x:v>
      </x:c>
      <x:c r="I371" s="48" t="s">
        <x:v>67</x:v>
      </x:c>
      <x:c r="J371" s="49"/>
      <x:c r="K371" s="50"/>
      <x:c r="L371" s="56"/>
      <x:c r="M371" s="53" t="s">
        <x:v>210</x:v>
      </x:c>
      <x:c r="N371" s="57">
        <x:v>296</x:v>
      </x:c>
      <x:c r="O371" s="44"/>
    </x:row>
    <x:row r="372" ht="23" customHeight="1">
      <x:c r="A372" s="21" t="s">
        <x:v>504</x:v>
      </x:c>
      <x:c r="B372" s="45" t="s">
        <x:v>504</x:v>
      </x:c>
      <x:c r="C372" s="45" t="s">
        <x:v>209</x:v>
      </x:c>
      <x:c r="D372" s="46">
        <x:v>42.731490425743</x:v>
      </x:c>
      <x:c r="E372" s="46">
        <x:v>-73.6686707297378</x:v>
      </x:c>
      <x:c r="F372" s="47" t="n">
        <x:f>_xlfn.COUNTIFS('Connections'!$B$6:$B$590,A372)+_xlfn.COUNTIFS('Connections'!$C$6:$C$590,A372)</x:f>
        <x:v>4</x:v>
      </x:c>
      <x:c r="G372" s="47" t="n">
        <x:f>_xlfn.COUNTIFS('Connections'!$B$6:$B$590,A372,'Connections'!$D$6:$D$590,"TRUE")+_xlfn.COUNTIFS('Connections'!$C$6:$C$590,A372,'Connections'!$D$6:$D$590,"TRUE")</x:f>
        <x:v>4</x:v>
      </x:c>
      <x:c r="H372" s="48" t="s">
        <x:v>66</x:v>
      </x:c>
      <x:c r="I372" s="48" t="s">
        <x:v>67</x:v>
      </x:c>
      <x:c r="J372" s="49"/>
      <x:c r="K372" s="50"/>
      <x:c r="L372" s="51"/>
      <x:c r="M372" s="45" t="s">
        <x:v>210</x:v>
      </x:c>
      <x:c r="N372" s="52">
        <x:v>297</x:v>
      </x:c>
      <x:c r="O372" s="44"/>
    </x:row>
    <x:row r="373" ht="23" customHeight="1">
      <x:c r="A373" s="24" t="s">
        <x:v>505</x:v>
      </x:c>
      <x:c r="B373" s="53" t="s">
        <x:v>505</x:v>
      </x:c>
      <x:c r="C373" s="53" t="s">
        <x:v>209</x:v>
      </x:c>
      <x:c r="D373" s="54">
        <x:v>42.7315846858193</x:v>
      </x:c>
      <x:c r="E373" s="54">
        <x:v>-73.6688967421542</x:v>
      </x:c>
      <x:c r="F373" s="55" t="n">
        <x:f>_xlfn.COUNTIFS('Connections'!$B$6:$B$590,A373)+_xlfn.COUNTIFS('Connections'!$C$6:$C$590,A373)</x:f>
        <x:v>3</x:v>
      </x:c>
      <x:c r="G373" s="55" t="n">
        <x:f>_xlfn.COUNTIFS('Connections'!$B$6:$B$590,A373,'Connections'!$D$6:$D$590,"TRUE")+_xlfn.COUNTIFS('Connections'!$C$6:$C$590,A373,'Connections'!$D$6:$D$590,"TRUE")</x:f>
        <x:v>3</x:v>
      </x:c>
      <x:c r="H373" s="48" t="s">
        <x:v>66</x:v>
      </x:c>
      <x:c r="I373" s="48" t="s">
        <x:v>67</x:v>
      </x:c>
      <x:c r="J373" s="49"/>
      <x:c r="K373" s="50"/>
      <x:c r="L373" s="56"/>
      <x:c r="M373" s="53" t="s">
        <x:v>210</x:v>
      </x:c>
      <x:c r="N373" s="57">
        <x:v>298</x:v>
      </x:c>
      <x:c r="O373" s="44"/>
    </x:row>
    <x:row r="374" ht="23" customHeight="1">
      <x:c r="A374" s="21" t="s">
        <x:v>506</x:v>
      </x:c>
      <x:c r="B374" s="45" t="s">
        <x:v>506</x:v>
      </x:c>
      <x:c r="C374" s="45" t="s">
        <x:v>209</x:v>
      </x:c>
      <x:c r="D374" s="46">
        <x:v>42.7311202825166</x:v>
      </x:c>
      <x:c r="E374" s="46">
        <x:v>-73.6690368061869</x:v>
      </x:c>
      <x:c r="F374" s="47" t="n">
        <x:f>_xlfn.COUNTIFS('Connections'!$B$6:$B$590,A374)+_xlfn.COUNTIFS('Connections'!$C$6:$C$590,A374)</x:f>
        <x:v>3</x:v>
      </x:c>
      <x:c r="G374" s="47" t="n">
        <x:f>_xlfn.COUNTIFS('Connections'!$B$6:$B$590,A374,'Connections'!$D$6:$D$590,"TRUE")+_xlfn.COUNTIFS('Connections'!$C$6:$C$590,A374,'Connections'!$D$6:$D$590,"TRUE")</x:f>
        <x:v>3</x:v>
      </x:c>
      <x:c r="H374" s="48" t="s">
        <x:v>66</x:v>
      </x:c>
      <x:c r="I374" s="48" t="s">
        <x:v>67</x:v>
      </x:c>
      <x:c r="J374" s="49"/>
      <x:c r="K374" s="50"/>
      <x:c r="L374" s="51"/>
      <x:c r="M374" s="45" t="s">
        <x:v>210</x:v>
      </x:c>
      <x:c r="N374" s="52">
        <x:v>299</x:v>
      </x:c>
      <x:c r="O374" s="44"/>
    </x:row>
    <x:row r="375" ht="23" customHeight="1">
      <x:c r="A375" s="24" t="s">
        <x:v>507</x:v>
      </x:c>
      <x:c r="B375" s="53" t="s">
        <x:v>507</x:v>
      </x:c>
      <x:c r="C375" s="53" t="s">
        <x:v>209</x:v>
      </x:c>
      <x:c r="D375" s="54">
        <x:v>42.7312421309079</x:v>
      </x:c>
      <x:c r="E375" s="54">
        <x:v>-73.6695365801217</x:v>
      </x:c>
      <x:c r="F375" s="55" t="n">
        <x:f>_xlfn.COUNTIFS('Connections'!$B$6:$B$590,A375)+_xlfn.COUNTIFS('Connections'!$C$6:$C$590,A375)</x:f>
        <x:v>3</x:v>
      </x:c>
      <x:c r="G375" s="55" t="n">
        <x:f>_xlfn.COUNTIFS('Connections'!$B$6:$B$590,A375,'Connections'!$D$6:$D$590,"TRUE")+_xlfn.COUNTIFS('Connections'!$C$6:$C$590,A375,'Connections'!$D$6:$D$590,"TRUE")</x:f>
        <x:v>3</x:v>
      </x:c>
      <x:c r="H375" s="48" t="s">
        <x:v>66</x:v>
      </x:c>
      <x:c r="I375" s="48" t="s">
        <x:v>67</x:v>
      </x:c>
      <x:c r="J375" s="49"/>
      <x:c r="K375" s="50"/>
      <x:c r="L375" s="56"/>
      <x:c r="M375" s="53" t="s">
        <x:v>210</x:v>
      </x:c>
      <x:c r="N375" s="57">
        <x:v>300</x:v>
      </x:c>
      <x:c r="O375" s="44"/>
    </x:row>
    <x:row r="376" ht="23" customHeight="1">
      <x:c r="A376" s="21" t="s">
        <x:v>508</x:v>
      </x:c>
      <x:c r="B376" s="45" t="s">
        <x:v>508</x:v>
      </x:c>
      <x:c r="C376" s="45" t="s">
        <x:v>209</x:v>
      </x:c>
      <x:c r="D376" s="46">
        <x:v>42.7312766163017</x:v>
      </x:c>
      <x:c r="E376" s="46">
        <x:v>-73.6701334438975</x:v>
      </x:c>
      <x:c r="F376" s="47" t="n">
        <x:f>_xlfn.COUNTIFS('Connections'!$B$6:$B$590,A376)+_xlfn.COUNTIFS('Connections'!$C$6:$C$590,A376)</x:f>
        <x:v>2</x:v>
      </x:c>
      <x:c r="G376" s="47" t="n">
        <x:f>_xlfn.COUNTIFS('Connections'!$B$6:$B$590,A376,'Connections'!$D$6:$D$590,"TRUE")+_xlfn.COUNTIFS('Connections'!$C$6:$C$590,A376,'Connections'!$D$6:$D$590,"TRUE")</x:f>
        <x:v>2</x:v>
      </x:c>
      <x:c r="H376" s="48" t="s">
        <x:v>66</x:v>
      </x:c>
      <x:c r="I376" s="48" t="s">
        <x:v>67</x:v>
      </x:c>
      <x:c r="J376" s="49"/>
      <x:c r="K376" s="50"/>
      <x:c r="L376" s="51"/>
      <x:c r="M376" s="45" t="s">
        <x:v>210</x:v>
      </x:c>
      <x:c r="N376" s="52">
        <x:v>301</x:v>
      </x:c>
      <x:c r="O376" s="44"/>
    </x:row>
    <x:row r="377" ht="23" customHeight="1">
      <x:c r="A377" s="24" t="s">
        <x:v>509</x:v>
      </x:c>
      <x:c r="B377" s="53" t="s">
        <x:v>509</x:v>
      </x:c>
      <x:c r="C377" s="53" t="s">
        <x:v>209</x:v>
      </x:c>
      <x:c r="D377" s="54">
        <x:v>42.7308489974191</x:v>
      </x:c>
      <x:c r="E377" s="54">
        <x:v>-73.670184376273</x:v>
      </x:c>
      <x:c r="F377" s="55" t="n">
        <x:f>_xlfn.COUNTIFS('Connections'!$B$6:$B$590,A377)+_xlfn.COUNTIFS('Connections'!$C$6:$C$590,A377)</x:f>
        <x:v>2</x:v>
      </x:c>
      <x:c r="G377" s="55" t="n">
        <x:f>_xlfn.COUNTIFS('Connections'!$B$6:$B$590,A377,'Connections'!$D$6:$D$590,"TRUE")+_xlfn.COUNTIFS('Connections'!$C$6:$C$590,A377,'Connections'!$D$6:$D$590,"TRUE")</x:f>
        <x:v>2</x:v>
      </x:c>
      <x:c r="H377" s="48" t="s">
        <x:v>66</x:v>
      </x:c>
      <x:c r="I377" s="48" t="s">
        <x:v>67</x:v>
      </x:c>
      <x:c r="J377" s="49"/>
      <x:c r="K377" s="50"/>
      <x:c r="L377" s="56"/>
      <x:c r="M377" s="53" t="s">
        <x:v>210</x:v>
      </x:c>
      <x:c r="N377" s="57">
        <x:v>302</x:v>
      </x:c>
      <x:c r="O377" s="44"/>
    </x:row>
    <x:row r="378" ht="23" customHeight="1">
      <x:c r="A378" s="21" t="s">
        <x:v>510</x:v>
      </x:c>
      <x:c r="B378" s="45" t="s">
        <x:v>510</x:v>
      </x:c>
      <x:c r="C378" s="45" t="s">
        <x:v>209</x:v>
      </x:c>
      <x:c r="D378" s="46">
        <x:v>42.7309087721016</x:v>
      </x:c>
      <x:c r="E378" s="46">
        <x:v>-73.669132304391</x:v>
      </x:c>
      <x:c r="F378" s="47" t="n">
        <x:f>_xlfn.COUNTIFS('Connections'!$B$6:$B$590,A378)+_xlfn.COUNTIFS('Connections'!$C$6:$C$590,A378)</x:f>
        <x:v>2</x:v>
      </x:c>
      <x:c r="G378" s="47" t="n">
        <x:f>_xlfn.COUNTIFS('Connections'!$B$6:$B$590,A378,'Connections'!$D$6:$D$590,"TRUE")+_xlfn.COUNTIFS('Connections'!$C$6:$C$590,A378,'Connections'!$D$6:$D$590,"TRUE")</x:f>
        <x:v>2</x:v>
      </x:c>
      <x:c r="H378" s="48" t="s">
        <x:v>66</x:v>
      </x:c>
      <x:c r="I378" s="48" t="s">
        <x:v>67</x:v>
      </x:c>
      <x:c r="J378" s="49"/>
      <x:c r="K378" s="50"/>
      <x:c r="L378" s="51"/>
      <x:c r="M378" s="45" t="s">
        <x:v>210</x:v>
      </x:c>
      <x:c r="N378" s="52">
        <x:v>303</x:v>
      </x:c>
      <x:c r="O378" s="44"/>
    </x:row>
    <x:row r="379" ht="23" customHeight="1">
      <x:c r="A379" s="24" t="s">
        <x:v>511</x:v>
      </x:c>
      <x:c r="B379" s="53" t="s">
        <x:v>511</x:v>
      </x:c>
      <x:c r="C379" s="53" t="s">
        <x:v>209</x:v>
      </x:c>
      <x:c r="D379" s="54">
        <x:v>42.7305294327702</x:v>
      </x:c>
      <x:c r="E379" s="54">
        <x:v>-73.66858159808061</x:v>
      </x:c>
      <x:c r="F379" s="55" t="n">
        <x:f>_xlfn.COUNTIFS('Connections'!$B$6:$B$590,A379)+_xlfn.COUNTIFS('Connections'!$C$6:$C$590,A379)</x:f>
        <x:v>2</x:v>
      </x:c>
      <x:c r="G379" s="55" t="n">
        <x:f>_xlfn.COUNTIFS('Connections'!$B$6:$B$590,A379,'Connections'!$D$6:$D$590,"TRUE")+_xlfn.COUNTIFS('Connections'!$C$6:$C$590,A379,'Connections'!$D$6:$D$590,"TRUE")</x:f>
        <x:v>2</x:v>
      </x:c>
      <x:c r="H379" s="48" t="s">
        <x:v>66</x:v>
      </x:c>
      <x:c r="I379" s="48" t="s">
        <x:v>67</x:v>
      </x:c>
      <x:c r="J379" s="49"/>
      <x:c r="K379" s="50"/>
      <x:c r="L379" s="56"/>
      <x:c r="M379" s="53" t="s">
        <x:v>210</x:v>
      </x:c>
      <x:c r="N379" s="57">
        <x:v>304</x:v>
      </x:c>
      <x:c r="O379" s="44"/>
    </x:row>
    <x:row r="380" ht="23" customHeight="1">
      <x:c r="A380" s="21" t="s">
        <x:v>512</x:v>
      </x:c>
      <x:c r="B380" s="45" t="s">
        <x:v>512</x:v>
      </x:c>
      <x:c r="C380" s="45" t="s">
        <x:v>209</x:v>
      </x:c>
      <x:c r="D380" s="46">
        <x:v>42.7307076073047</x:v>
      </x:c>
      <x:c r="E380" s="46">
        <x:v>-73.66829987837841</x:v>
      </x:c>
      <x:c r="F380" s="47" t="n">
        <x:f>_xlfn.COUNTIFS('Connections'!$B$6:$B$590,A380)+_xlfn.COUNTIFS('Connections'!$C$6:$C$590,A380)</x:f>
        <x:v>2</x:v>
      </x:c>
      <x:c r="G380" s="47" t="n">
        <x:f>_xlfn.COUNTIFS('Connections'!$B$6:$B$590,A380,'Connections'!$D$6:$D$590,"TRUE")+_xlfn.COUNTIFS('Connections'!$C$6:$C$590,A380,'Connections'!$D$6:$D$590,"TRUE")</x:f>
        <x:v>2</x:v>
      </x:c>
      <x:c r="H380" s="48" t="s">
        <x:v>66</x:v>
      </x:c>
      <x:c r="I380" s="48" t="s">
        <x:v>67</x:v>
      </x:c>
      <x:c r="J380" s="49"/>
      <x:c r="K380" s="50"/>
      <x:c r="L380" s="51"/>
      <x:c r="M380" s="45" t="s">
        <x:v>210</x:v>
      </x:c>
      <x:c r="N380" s="52">
        <x:v>305</x:v>
      </x:c>
      <x:c r="O380" s="44"/>
    </x:row>
    <x:row r="381" ht="23" customHeight="1">
      <x:c r="A381" s="24" t="s">
        <x:v>513</x:v>
      </x:c>
      <x:c r="B381" s="53" t="s">
        <x:v>513</x:v>
      </x:c>
      <x:c r="C381" s="53" t="s">
        <x:v>209</x:v>
      </x:c>
      <x:c r="D381" s="54">
        <x:v>42.7312536260392</x:v>
      </x:c>
      <x:c r="E381" s="54">
        <x:v>-73.66808341578241</x:v>
      </x:c>
      <x:c r="F381" s="55" t="n">
        <x:f>_xlfn.COUNTIFS('Connections'!$B$6:$B$590,A381)+_xlfn.COUNTIFS('Connections'!$C$6:$C$590,A381)</x:f>
        <x:v>4</x:v>
      </x:c>
      <x:c r="G381" s="55" t="n">
        <x:f>_xlfn.COUNTIFS('Connections'!$B$6:$B$590,A381,'Connections'!$D$6:$D$590,"TRUE")+_xlfn.COUNTIFS('Connections'!$C$6:$C$590,A381,'Connections'!$D$6:$D$590,"TRUE")</x:f>
        <x:v>4</x:v>
      </x:c>
      <x:c r="H381" s="48" t="s">
        <x:v>66</x:v>
      </x:c>
      <x:c r="I381" s="48" t="s">
        <x:v>67</x:v>
      </x:c>
      <x:c r="J381" s="49"/>
      <x:c r="K381" s="50"/>
      <x:c r="L381" s="56"/>
      <x:c r="M381" s="53" t="s">
        <x:v>210</x:v>
      </x:c>
      <x:c r="N381" s="57">
        <x:v>306</x:v>
      </x:c>
      <x:c r="O381" s="44"/>
    </x:row>
    <x:row r="382" ht="23" customHeight="1">
      <x:c r="A382" s="21" t="s">
        <x:v>514</x:v>
      </x:c>
      <x:c r="B382" s="45" t="s">
        <x:v>514</x:v>
      </x:c>
      <x:c r="C382" s="45" t="s">
        <x:v>209</x:v>
      </x:c>
      <x:c r="D382" s="46">
        <x:v>42.7321801336182</x:v>
      </x:c>
      <x:c r="E382" s="46">
        <x:v>-73.6681900554437</x:v>
      </x:c>
      <x:c r="F382" s="47" t="n">
        <x:f>_xlfn.COUNTIFS('Connections'!$B$6:$B$590,A382)+_xlfn.COUNTIFS('Connections'!$C$6:$C$590,A382)</x:f>
        <x:v>2</x:v>
      </x:c>
      <x:c r="G382" s="47" t="n">
        <x:f>_xlfn.COUNTIFS('Connections'!$B$6:$B$590,A382,'Connections'!$D$6:$D$590,"TRUE")+_xlfn.COUNTIFS('Connections'!$C$6:$C$590,A382,'Connections'!$D$6:$D$590,"TRUE")</x:f>
        <x:v>2</x:v>
      </x:c>
      <x:c r="H382" s="48" t="s">
        <x:v>66</x:v>
      </x:c>
      <x:c r="I382" s="48" t="s">
        <x:v>67</x:v>
      </x:c>
      <x:c r="J382" s="49"/>
      <x:c r="K382" s="50"/>
      <x:c r="L382" s="51"/>
      <x:c r="M382" s="45" t="s">
        <x:v>210</x:v>
      </x:c>
      <x:c r="N382" s="52">
        <x:v>307</x:v>
      </x:c>
      <x:c r="O382" s="44"/>
    </x:row>
    <x:row r="383" ht="23" customHeight="1">
      <x:c r="A383" s="24" t="s">
        <x:v>515</x:v>
      </x:c>
      <x:c r="B383" s="53" t="s">
        <x:v>515</x:v>
      </x:c>
      <x:c r="C383" s="53" t="s">
        <x:v>209</x:v>
      </x:c>
      <x:c r="D383" s="54">
        <x:v>42.7323778498757</x:v>
      </x:c>
      <x:c r="E383" s="54">
        <x:v>-73.66813593979469</x:v>
      </x:c>
      <x:c r="F383" s="55" t="n">
        <x:f>_xlfn.COUNTIFS('Connections'!$B$6:$B$590,A383)+_xlfn.COUNTIFS('Connections'!$C$6:$C$590,A383)</x:f>
        <x:v>4</x:v>
      </x:c>
      <x:c r="G383" s="55" t="n">
        <x:f>_xlfn.COUNTIFS('Connections'!$B$6:$B$590,A383,'Connections'!$D$6:$D$590,"TRUE")+_xlfn.COUNTIFS('Connections'!$C$6:$C$590,A383,'Connections'!$D$6:$D$590,"TRUE")</x:f>
        <x:v>4</x:v>
      </x:c>
      <x:c r="H383" s="48" t="s">
        <x:v>66</x:v>
      </x:c>
      <x:c r="I383" s="48" t="s">
        <x:v>67</x:v>
      </x:c>
      <x:c r="J383" s="49"/>
      <x:c r="K383" s="50"/>
      <x:c r="L383" s="56"/>
      <x:c r="M383" s="53" t="s">
        <x:v>210</x:v>
      </x:c>
      <x:c r="N383" s="57">
        <x:v>308</x:v>
      </x:c>
      <x:c r="O383" s="44"/>
    </x:row>
    <x:row r="384" ht="23" customHeight="1">
      <x:c r="A384" s="21" t="s">
        <x:v>516</x:v>
      </x:c>
      <x:c r="B384" s="45" t="s">
        <x:v>516</x:v>
      </x:c>
      <x:c r="C384" s="45" t="s">
        <x:v>209</x:v>
      </x:c>
      <x:c r="D384" s="46">
        <x:v>42.732426129427</x:v>
      </x:c>
      <x:c r="E384" s="46">
        <x:v>-73.6685147493377</x:v>
      </x:c>
      <x:c r="F384" s="47" t="n">
        <x:f>_xlfn.COUNTIFS('Connections'!$B$6:$B$590,A384)+_xlfn.COUNTIFS('Connections'!$C$6:$C$590,A384)</x:f>
        <x:v>3</x:v>
      </x:c>
      <x:c r="G384" s="47" t="n">
        <x:f>_xlfn.COUNTIFS('Connections'!$B$6:$B$590,A384,'Connections'!$D$6:$D$590,"TRUE")+_xlfn.COUNTIFS('Connections'!$C$6:$C$590,A384,'Connections'!$D$6:$D$590,"TRUE")</x:f>
        <x:v>3</x:v>
      </x:c>
      <x:c r="H384" s="48" t="s">
        <x:v>66</x:v>
      </x:c>
      <x:c r="I384" s="48" t="s">
        <x:v>67</x:v>
      </x:c>
      <x:c r="J384" s="49"/>
      <x:c r="K384" s="50"/>
      <x:c r="L384" s="51"/>
      <x:c r="M384" s="45" t="s">
        <x:v>210</x:v>
      </x:c>
      <x:c r="N384" s="52">
        <x:v>309</x:v>
      </x:c>
      <x:c r="O384" s="44"/>
    </x:row>
    <x:row r="385" ht="23" customHeight="1">
      <x:c r="A385" s="24" t="s">
        <x:v>517</x:v>
      </x:c>
      <x:c r="B385" s="53" t="s">
        <x:v>517</x:v>
      </x:c>
      <x:c r="C385" s="53" t="s">
        <x:v>209</x:v>
      </x:c>
      <x:c r="D385" s="54">
        <x:v>42.7308432498534</x:v>
      </x:c>
      <x:c r="E385" s="54">
        <x:v>-73.6670424853576</x:v>
      </x:c>
      <x:c r="F385" s="55" t="n">
        <x:f>_xlfn.COUNTIFS('Connections'!$B$6:$B$590,A385)+_xlfn.COUNTIFS('Connections'!$C$6:$C$590,A385)</x:f>
        <x:v>3</x:v>
      </x:c>
      <x:c r="G385" s="55" t="n">
        <x:f>_xlfn.COUNTIFS('Connections'!$B$6:$B$590,A385,'Connections'!$D$6:$D$590,"TRUE")+_xlfn.COUNTIFS('Connections'!$C$6:$C$590,A385,'Connections'!$D$6:$D$590,"TRUE")</x:f>
        <x:v>3</x:v>
      </x:c>
      <x:c r="H385" s="48" t="s">
        <x:v>66</x:v>
      </x:c>
      <x:c r="I385" s="48" t="s">
        <x:v>67</x:v>
      </x:c>
      <x:c r="J385" s="49"/>
      <x:c r="K385" s="50"/>
      <x:c r="L385" s="56"/>
      <x:c r="M385" s="53" t="s">
        <x:v>210</x:v>
      </x:c>
      <x:c r="N385" s="57">
        <x:v>310</x:v>
      </x:c>
      <x:c r="O385" s="44"/>
    </x:row>
    <x:row r="386" ht="23" customHeight="1">
      <x:c r="A386" s="21" t="s">
        <x:v>518</x:v>
      </x:c>
      <x:c r="B386" s="45" t="s">
        <x:v>518</x:v>
      </x:c>
      <x:c r="C386" s="45" t="s">
        <x:v>209</x:v>
      </x:c>
      <x:c r="D386" s="46">
        <x:v>42.7297650065419</x:v>
      </x:c>
      <x:c r="E386" s="46">
        <x:v>-73.66749291855361</x:v>
      </x:c>
      <x:c r="F386" s="47" t="n">
        <x:f>_xlfn.COUNTIFS('Connections'!$B$6:$B$590,A386)+_xlfn.COUNTIFS('Connections'!$C$6:$C$590,A386)</x:f>
        <x:v>2</x:v>
      </x:c>
      <x:c r="G386" s="47" t="n">
        <x:f>_xlfn.COUNTIFS('Connections'!$B$6:$B$590,A386,'Connections'!$D$6:$D$590,"TRUE")+_xlfn.COUNTIFS('Connections'!$C$6:$C$590,A386,'Connections'!$D$6:$D$590,"TRUE")</x:f>
        <x:v>2</x:v>
      </x:c>
      <x:c r="H386" s="48" t="s">
        <x:v>66</x:v>
      </x:c>
      <x:c r="I386" s="48" t="s">
        <x:v>67</x:v>
      </x:c>
      <x:c r="J386" s="49"/>
      <x:c r="K386" s="50"/>
      <x:c r="L386" s="51"/>
      <x:c r="M386" s="45" t="s">
        <x:v>210</x:v>
      </x:c>
      <x:c r="N386" s="52">
        <x:v>311</x:v>
      </x:c>
      <x:c r="O386" s="44"/>
    </x:row>
    <x:row r="387" ht="23" customHeight="1">
      <x:c r="A387" s="24" t="s">
        <x:v>519</x:v>
      </x:c>
      <x:c r="B387" s="53" t="s">
        <x:v>519</x:v>
      </x:c>
      <x:c r="C387" s="53" t="s">
        <x:v>209</x:v>
      </x:c>
      <x:c r="D387" s="54">
        <x:v>42.7290189725236</x:v>
      </x:c>
      <x:c r="E387" s="54">
        <x:v>-73.6680881906926</x:v>
      </x:c>
      <x:c r="F387" s="55" t="n">
        <x:f>_xlfn.COUNTIFS('Connections'!$B$6:$B$590,A387)+_xlfn.COUNTIFS('Connections'!$C$6:$C$590,A387)</x:f>
        <x:v>2</x:v>
      </x:c>
      <x:c r="G387" s="55" t="n">
        <x:f>_xlfn.COUNTIFS('Connections'!$B$6:$B$590,A387,'Connections'!$D$6:$D$590,"TRUE")+_xlfn.COUNTIFS('Connections'!$C$6:$C$590,A387,'Connections'!$D$6:$D$590,"TRUE")</x:f>
        <x:v>2</x:v>
      </x:c>
      <x:c r="H387" s="48" t="s">
        <x:v>66</x:v>
      </x:c>
      <x:c r="I387" s="48" t="s">
        <x:v>67</x:v>
      </x:c>
      <x:c r="J387" s="49"/>
      <x:c r="K387" s="50"/>
      <x:c r="L387" s="56"/>
      <x:c r="M387" s="53" t="s">
        <x:v>210</x:v>
      </x:c>
      <x:c r="N387" s="57">
        <x:v>312</x:v>
      </x:c>
      <x:c r="O387" s="44"/>
    </x:row>
    <x:row r="388" ht="23" customHeight="1">
      <x:c r="A388" s="21" t="s">
        <x:v>520</x:v>
      </x:c>
      <x:c r="B388" s="45" t="s">
        <x:v>520</x:v>
      </x:c>
      <x:c r="C388" s="45" t="s">
        <x:v>209</x:v>
      </x:c>
      <x:c r="D388" s="46">
        <x:v>42.728885629001</x:v>
      </x:c>
      <x:c r="E388" s="46">
        <x:v>-73.6680881906926</x:v>
      </x:c>
      <x:c r="F388" s="47" t="n">
        <x:f>_xlfn.COUNTIFS('Connections'!$B$6:$B$590,A388)+_xlfn.COUNTIFS('Connections'!$C$6:$C$590,A388)</x:f>
        <x:v>2</x:v>
      </x:c>
      <x:c r="G388" s="47" t="n">
        <x:f>_xlfn.COUNTIFS('Connections'!$B$6:$B$590,A388,'Connections'!$D$6:$D$590,"TRUE")+_xlfn.COUNTIFS('Connections'!$C$6:$C$590,A388,'Connections'!$D$6:$D$590,"TRUE")</x:f>
        <x:v>2</x:v>
      </x:c>
      <x:c r="H388" s="48" t="s">
        <x:v>66</x:v>
      </x:c>
      <x:c r="I388" s="48" t="s">
        <x:v>67</x:v>
      </x:c>
      <x:c r="J388" s="49"/>
      <x:c r="K388" s="50"/>
      <x:c r="L388" s="51"/>
      <x:c r="M388" s="45" t="s">
        <x:v>210</x:v>
      </x:c>
      <x:c r="N388" s="52">
        <x:v>313</x:v>
      </x:c>
      <x:c r="O388" s="44"/>
    </x:row>
    <x:row r="389" ht="23" customHeight="1">
      <x:c r="A389" s="24" t="s">
        <x:v>521</x:v>
      </x:c>
      <x:c r="B389" s="53" t="s">
        <x:v>521</x:v>
      </x:c>
      <x:c r="C389" s="53" t="s">
        <x:v>209</x:v>
      </x:c>
      <x:c r="D389" s="54">
        <x:v>42.7309271643116</x:v>
      </x:c>
      <x:c r="E389" s="54">
        <x:v>-73.6668196562146</x:v>
      </x:c>
      <x:c r="F389" s="55" t="n">
        <x:f>_xlfn.COUNTIFS('Connections'!$B$6:$B$590,A389)+_xlfn.COUNTIFS('Connections'!$C$6:$C$590,A389)</x:f>
        <x:v>4</x:v>
      </x:c>
      <x:c r="G389" s="55" t="n">
        <x:f>_xlfn.COUNTIFS('Connections'!$B$6:$B$590,A389,'Connections'!$D$6:$D$590,"TRUE")+_xlfn.COUNTIFS('Connections'!$C$6:$C$590,A389,'Connections'!$D$6:$D$590,"TRUE")</x:f>
        <x:v>4</x:v>
      </x:c>
      <x:c r="H389" s="48" t="s">
        <x:v>66</x:v>
      </x:c>
      <x:c r="I389" s="48" t="s">
        <x:v>67</x:v>
      </x:c>
      <x:c r="J389" s="49"/>
      <x:c r="K389" s="50"/>
      <x:c r="L389" s="56"/>
      <x:c r="M389" s="53" t="s">
        <x:v>210</x:v>
      </x:c>
      <x:c r="N389" s="57">
        <x:v>314</x:v>
      </x:c>
      <x:c r="O389" s="44"/>
    </x:row>
    <x:row r="390" ht="23" customHeight="1">
      <x:c r="A390" s="21" t="s">
        <x:v>522</x:v>
      </x:c>
      <x:c r="B390" s="45" t="s">
        <x:v>522</x:v>
      </x:c>
      <x:c r="C390" s="45" t="s">
        <x:v>209</x:v>
      </x:c>
      <x:c r="D390" s="46">
        <x:v>42.7307363451328</x:v>
      </x:c>
      <x:c r="E390" s="46">
        <x:v>-73.6663803644757</x:v>
      </x:c>
      <x:c r="F390" s="47" t="n">
        <x:f>_xlfn.COUNTIFS('Connections'!$B$6:$B$590,A390)+_xlfn.COUNTIFS('Connections'!$C$6:$C$590,A390)</x:f>
        <x:v>2</x:v>
      </x:c>
      <x:c r="G390" s="47" t="n">
        <x:f>_xlfn.COUNTIFS('Connections'!$B$6:$B$590,A390,'Connections'!$D$6:$D$590,"TRUE")+_xlfn.COUNTIFS('Connections'!$C$6:$C$590,A390,'Connections'!$D$6:$D$590,"TRUE")</x:f>
        <x:v>2</x:v>
      </x:c>
      <x:c r="H390" s="48" t="s">
        <x:v>66</x:v>
      </x:c>
      <x:c r="I390" s="48" t="s">
        <x:v>67</x:v>
      </x:c>
      <x:c r="J390" s="49"/>
      <x:c r="K390" s="50"/>
      <x:c r="L390" s="51"/>
      <x:c r="M390" s="45" t="s">
        <x:v>210</x:v>
      </x:c>
      <x:c r="N390" s="52">
        <x:v>315</x:v>
      </x:c>
      <x:c r="O390" s="44"/>
    </x:row>
    <x:row r="391" ht="23" customHeight="1">
      <x:c r="A391" s="24" t="s">
        <x:v>523</x:v>
      </x:c>
      <x:c r="B391" s="53" t="s">
        <x:v>523</x:v>
      </x:c>
      <x:c r="C391" s="53" t="s">
        <x:v>209</x:v>
      </x:c>
      <x:c r="D391" s="54">
        <x:v>42.7305236852046</x:v>
      </x:c>
      <x:c r="E391" s="54">
        <x:v>-73.66641378884719</x:v>
      </x:c>
      <x:c r="F391" s="55" t="n">
        <x:f>_xlfn.COUNTIFS('Connections'!$B$6:$B$590,A391)+_xlfn.COUNTIFS('Connections'!$C$6:$C$590,A391)</x:f>
        <x:v>1</x:v>
      </x:c>
      <x:c r="G391" s="55" t="n">
        <x:f>_xlfn.COUNTIFS('Connections'!$B$6:$B$590,A391,'Connections'!$D$6:$D$590,"TRUE")+_xlfn.COUNTIFS('Connections'!$C$6:$C$590,A391,'Connections'!$D$6:$D$590,"TRUE")</x:f>
        <x:v>1</x:v>
      </x:c>
      <x:c r="H391" s="48" t="s">
        <x:v>66</x:v>
      </x:c>
      <x:c r="I391" s="48" t="s">
        <x:v>67</x:v>
      </x:c>
      <x:c r="J391" s="49"/>
      <x:c r="K391" s="50"/>
      <x:c r="L391" s="56"/>
      <x:c r="M391" s="53" t="s">
        <x:v>210</x:v>
      </x:c>
      <x:c r="N391" s="57">
        <x:v>316</x:v>
      </x:c>
      <x:c r="O391" s="44"/>
    </x:row>
    <x:row r="392" ht="23" customHeight="1">
      <x:c r="A392" s="21" t="s">
        <x:v>524</x:v>
      </x:c>
      <x:c r="B392" s="45" t="s">
        <x:v>524</x:v>
      </x:c>
      <x:c r="C392" s="45" t="s">
        <x:v>209</x:v>
      </x:c>
      <x:c r="D392" s="46">
        <x:v>42.7314180064161</x:v>
      </x:c>
      <x:c r="E392" s="46">
        <x:v>-73.6663214739165</x:v>
      </x:c>
      <x:c r="F392" s="47" t="n">
        <x:f>_xlfn.COUNTIFS('Connections'!$B$6:$B$590,A392)+_xlfn.COUNTIFS('Connections'!$C$6:$C$590,A392)</x:f>
        <x:v>3</x:v>
      </x:c>
      <x:c r="G392" s="47" t="n">
        <x:f>_xlfn.COUNTIFS('Connections'!$B$6:$B$590,A392,'Connections'!$D$6:$D$590,"TRUE")+_xlfn.COUNTIFS('Connections'!$C$6:$C$590,A392,'Connections'!$D$6:$D$590,"TRUE")</x:f>
        <x:v>3</x:v>
      </x:c>
      <x:c r="H392" s="48" t="s">
        <x:v>66</x:v>
      </x:c>
      <x:c r="I392" s="48" t="s">
        <x:v>67</x:v>
      </x:c>
      <x:c r="J392" s="49"/>
      <x:c r="K392" s="50"/>
      <x:c r="L392" s="51"/>
      <x:c r="M392" s="45" t="s">
        <x:v>210</x:v>
      </x:c>
      <x:c r="N392" s="52">
        <x:v>317</x:v>
      </x:c>
      <x:c r="O392" s="44"/>
    </x:row>
    <x:row r="393" ht="23" customHeight="1">
      <x:c r="A393" s="24" t="s">
        <x:v>525</x:v>
      </x:c>
      <x:c r="B393" s="53" t="s">
        <x:v>525</x:v>
      </x:c>
      <x:c r="C393" s="53" t="s">
        <x:v>209</x:v>
      </x:c>
      <x:c r="D393" s="54">
        <x:v>42.7320008095706</x:v>
      </x:c>
      <x:c r="E393" s="54">
        <x:v>-73.66773803061091</x:v>
      </x:c>
      <x:c r="F393" s="55" t="n">
        <x:f>_xlfn.COUNTIFS('Connections'!$B$6:$B$590,A393)+_xlfn.COUNTIFS('Connections'!$C$6:$C$590,A393)</x:f>
        <x:v>2</x:v>
      </x:c>
      <x:c r="G393" s="55" t="n">
        <x:f>_xlfn.COUNTIFS('Connections'!$B$6:$B$590,A393,'Connections'!$D$6:$D$590,"TRUE")+_xlfn.COUNTIFS('Connections'!$C$6:$C$590,A393,'Connections'!$D$6:$D$590,"TRUE")</x:f>
        <x:v>2</x:v>
      </x:c>
      <x:c r="H393" s="48" t="s">
        <x:v>66</x:v>
      </x:c>
      <x:c r="I393" s="48" t="s">
        <x:v>67</x:v>
      </x:c>
      <x:c r="J393" s="49"/>
      <x:c r="K393" s="50"/>
      <x:c r="L393" s="56"/>
      <x:c r="M393" s="53" t="s">
        <x:v>210</x:v>
      </x:c>
      <x:c r="N393" s="57">
        <x:v>318</x:v>
      </x:c>
      <x:c r="O393" s="44"/>
    </x:row>
    <x:row r="394" ht="23" customHeight="1">
      <x:c r="A394" s="21" t="s">
        <x:v>526</x:v>
      </x:c>
      <x:c r="B394" s="45" t="s">
        <x:v>526</x:v>
      </x:c>
      <x:c r="C394" s="45" t="s">
        <x:v>209</x:v>
      </x:c>
      <x:c r="D394" s="46">
        <x:v>42.7313605307598</x:v>
      </x:c>
      <x:c r="E394" s="46">
        <x:v>-73.66827918710089</x:v>
      </x:c>
      <x:c r="F394" s="47" t="n">
        <x:f>_xlfn.COUNTIFS('Connections'!$B$6:$B$590,A394)+_xlfn.COUNTIFS('Connections'!$C$6:$C$590,A394)</x:f>
        <x:v>3</x:v>
      </x:c>
      <x:c r="G394" s="47" t="n">
        <x:f>_xlfn.COUNTIFS('Connections'!$B$6:$B$590,A394,'Connections'!$D$6:$D$590,"TRUE")+_xlfn.COUNTIFS('Connections'!$C$6:$C$590,A394,'Connections'!$D$6:$D$590,"TRUE")</x:f>
        <x:v>3</x:v>
      </x:c>
      <x:c r="H394" s="48" t="s">
        <x:v>66</x:v>
      </x:c>
      <x:c r="I394" s="48" t="s">
        <x:v>67</x:v>
      </x:c>
      <x:c r="J394" s="49"/>
      <x:c r="K394" s="50"/>
      <x:c r="L394" s="51"/>
      <x:c r="M394" s="45" t="s">
        <x:v>210</x:v>
      </x:c>
      <x:c r="N394" s="52">
        <x:v>319</x:v>
      </x:c>
      <x:c r="O394" s="44"/>
    </x:row>
    <x:row r="395" ht="23" customHeight="1">
      <x:c r="A395" s="24" t="s">
        <x:v>527</x:v>
      </x:c>
      <x:c r="B395" s="53" t="s">
        <x:v>527</x:v>
      </x:c>
      <x:c r="C395" s="53" t="s">
        <x:v>209</x:v>
      </x:c>
      <x:c r="D395" s="54">
        <x:v>42.7313030551036</x:v>
      </x:c>
      <x:c r="E395" s="54">
        <x:v>-73.6678160208109</x:v>
      </x:c>
      <x:c r="F395" s="55" t="n">
        <x:f>_xlfn.COUNTIFS('Connections'!$B$6:$B$590,A395)+_xlfn.COUNTIFS('Connections'!$C$6:$C$590,A395)</x:f>
        <x:v>2</x:v>
      </x:c>
      <x:c r="G395" s="55" t="n">
        <x:f>_xlfn.COUNTIFS('Connections'!$B$6:$B$590,A395,'Connections'!$D$6:$D$590,"TRUE")+_xlfn.COUNTIFS('Connections'!$C$6:$C$590,A395,'Connections'!$D$6:$D$590,"TRUE")</x:f>
        <x:v>2</x:v>
      </x:c>
      <x:c r="H395" s="48" t="s">
        <x:v>66</x:v>
      </x:c>
      <x:c r="I395" s="48" t="s">
        <x:v>67</x:v>
      </x:c>
      <x:c r="J395" s="49"/>
      <x:c r="K395" s="50"/>
      <x:c r="L395" s="56"/>
      <x:c r="M395" s="53" t="s">
        <x:v>210</x:v>
      </x:c>
      <x:c r="N395" s="57">
        <x:v>320</x:v>
      </x:c>
      <x:c r="O395" s="44"/>
    </x:row>
    <x:row r="396" ht="23" customHeight="1">
      <x:c r="A396" s="21" t="s">
        <x:v>528</x:v>
      </x:c>
      <x:c r="B396" s="45" t="s">
        <x:v>528</x:v>
      </x:c>
      <x:c r="C396" s="45" t="s">
        <x:v>209</x:v>
      </x:c>
      <x:c r="D396" s="46">
        <x:v>42.7318053923393</x:v>
      </x:c>
      <x:c r="E396" s="46">
        <x:v>-73.6672875974148</x:v>
      </x:c>
      <x:c r="F396" s="47" t="n">
        <x:f>_xlfn.COUNTIFS('Connections'!$B$6:$B$590,A396)+_xlfn.COUNTIFS('Connections'!$C$6:$C$590,A396)</x:f>
        <x:v>3</x:v>
      </x:c>
      <x:c r="G396" s="47" t="n">
        <x:f>_xlfn.COUNTIFS('Connections'!$B$6:$B$590,A396,'Connections'!$D$6:$D$590,"TRUE")+_xlfn.COUNTIFS('Connections'!$C$6:$C$590,A396,'Connections'!$D$6:$D$590,"TRUE")</x:f>
        <x:v>3</x:v>
      </x:c>
      <x:c r="H396" s="48" t="s">
        <x:v>66</x:v>
      </x:c>
      <x:c r="I396" s="48" t="s">
        <x:v>67</x:v>
      </x:c>
      <x:c r="J396" s="49"/>
      <x:c r="K396" s="50"/>
      <x:c r="L396" s="51"/>
      <x:c r="M396" s="45" t="s">
        <x:v>210</x:v>
      </x:c>
      <x:c r="N396" s="52">
        <x:v>321</x:v>
      </x:c>
      <x:c r="O396" s="44"/>
    </x:row>
    <x:row r="397" ht="23" customHeight="1">
      <x:c r="A397" s="24" t="s">
        <x:v>529</x:v>
      </x:c>
      <x:c r="B397" s="53" t="s">
        <x:v>529</x:v>
      </x:c>
      <x:c r="C397" s="53" t="s">
        <x:v>209</x:v>
      </x:c>
      <x:c r="D397" s="54">
        <x:v>42.7313168492611</x:v>
      </x:c>
      <x:c r="E397" s="54">
        <x:v>-73.6669151544188</x:v>
      </x:c>
      <x:c r="F397" s="55" t="n">
        <x:f>_xlfn.COUNTIFS('Connections'!$B$6:$B$590,A397)+_xlfn.COUNTIFS('Connections'!$C$6:$C$590,A397)</x:f>
        <x:v>1</x:v>
      </x:c>
      <x:c r="G397" s="55" t="n">
        <x:f>_xlfn.COUNTIFS('Connections'!$B$6:$B$590,A397,'Connections'!$D$6:$D$590,"TRUE")+_xlfn.COUNTIFS('Connections'!$C$6:$C$590,A397,'Connections'!$D$6:$D$590,"TRUE")</x:f>
        <x:v>1</x:v>
      </x:c>
      <x:c r="H397" s="48" t="s">
        <x:v>66</x:v>
      </x:c>
      <x:c r="I397" s="48" t="s">
        <x:v>67</x:v>
      </x:c>
      <x:c r="J397" s="49"/>
      <x:c r="K397" s="50"/>
      <x:c r="L397" s="56"/>
      <x:c r="M397" s="53" t="s">
        <x:v>210</x:v>
      </x:c>
      <x:c r="N397" s="57">
        <x:v>322</x:v>
      </x:c>
      <x:c r="O397" s="44"/>
    </x:row>
    <x:row r="398" ht="23" customHeight="1">
      <x:c r="A398" s="21" t="s">
        <x:v>530</x:v>
      </x:c>
      <x:c r="B398" s="45" t="s">
        <x:v>530</x:v>
      </x:c>
      <x:c r="C398" s="45" t="s">
        <x:v>209</x:v>
      </x:c>
      <x:c r="D398" s="46">
        <x:v>42.7338342830055</x:v>
      </x:c>
      <x:c r="E398" s="46">
        <x:v>-73.6676870982354</x:v>
      </x:c>
      <x:c r="F398" s="47" t="n">
        <x:f>_xlfn.COUNTIFS('Connections'!$B$6:$B$590,A398)+_xlfn.COUNTIFS('Connections'!$C$6:$C$590,A398)</x:f>
        <x:v>3</x:v>
      </x:c>
      <x:c r="G398" s="47" t="n">
        <x:f>_xlfn.COUNTIFS('Connections'!$B$6:$B$590,A398,'Connections'!$D$6:$D$590,"TRUE")+_xlfn.COUNTIFS('Connections'!$C$6:$C$590,A398,'Connections'!$D$6:$D$590,"TRUE")</x:f>
        <x:v>3</x:v>
      </x:c>
      <x:c r="H398" s="48" t="s">
        <x:v>66</x:v>
      </x:c>
      <x:c r="I398" s="48" t="s">
        <x:v>67</x:v>
      </x:c>
      <x:c r="J398" s="49"/>
      <x:c r="K398" s="50"/>
      <x:c r="L398" s="51"/>
      <x:c r="M398" s="45" t="s">
        <x:v>210</x:v>
      </x:c>
      <x:c r="N398" s="52">
        <x:v>323</x:v>
      </x:c>
      <x:c r="O398" s="44"/>
    </x:row>
    <x:row r="399" ht="23" customHeight="1">
      <x:c r="A399" s="24" t="s">
        <x:v>531</x:v>
      </x:c>
      <x:c r="B399" s="53" t="s">
        <x:v>531</x:v>
      </x:c>
      <x:c r="C399" s="53" t="s">
        <x:v>209</x:v>
      </x:c>
      <x:c r="D399" s="54">
        <x:v>42.7337515180605</x:v>
      </x:c>
      <x:c r="E399" s="54">
        <x:v>-73.6671968741209</x:v>
      </x:c>
      <x:c r="F399" s="55" t="n">
        <x:f>_xlfn.COUNTIFS('Connections'!$B$6:$B$590,A399)+_xlfn.COUNTIFS('Connections'!$C$6:$C$590,A399)</x:f>
        <x:v>4</x:v>
      </x:c>
      <x:c r="G399" s="55" t="n">
        <x:f>_xlfn.COUNTIFS('Connections'!$B$6:$B$590,A399,'Connections'!$D$6:$D$590,"TRUE")+_xlfn.COUNTIFS('Connections'!$C$6:$C$590,A399,'Connections'!$D$6:$D$590,"TRUE")</x:f>
        <x:v>4</x:v>
      </x:c>
      <x:c r="H399" s="48" t="s">
        <x:v>66</x:v>
      </x:c>
      <x:c r="I399" s="48" t="s">
        <x:v>67</x:v>
      </x:c>
      <x:c r="J399" s="49"/>
      <x:c r="K399" s="50"/>
      <x:c r="L399" s="56"/>
      <x:c r="M399" s="53" t="s">
        <x:v>210</x:v>
      </x:c>
      <x:c r="N399" s="57">
        <x:v>324</x:v>
      </x:c>
      <x:c r="O399" s="44"/>
    </x:row>
    <x:row r="400" ht="23" customHeight="1">
      <x:c r="A400" s="21" t="s">
        <x:v>532</x:v>
      </x:c>
      <x:c r="B400" s="45" t="s">
        <x:v>532</x:v>
      </x:c>
      <x:c r="C400" s="45" t="s">
        <x:v>209</x:v>
      </x:c>
      <x:c r="D400" s="46">
        <x:v>42.7326824708539</x:v>
      </x:c>
      <x:c r="E400" s="46">
        <x:v>-73.6674563109087</x:v>
      </x:c>
      <x:c r="F400" s="47" t="n">
        <x:f>_xlfn.COUNTIFS('Connections'!$B$6:$B$590,A400)+_xlfn.COUNTIFS('Connections'!$C$6:$C$590,A400)</x:f>
        <x:v>3</x:v>
      </x:c>
      <x:c r="G400" s="47" t="n">
        <x:f>_xlfn.COUNTIFS('Connections'!$B$6:$B$590,A400,'Connections'!$D$6:$D$590,"TRUE")+_xlfn.COUNTIFS('Connections'!$C$6:$C$590,A400,'Connections'!$D$6:$D$590,"TRUE")</x:f>
        <x:v>3</x:v>
      </x:c>
      <x:c r="H400" s="48" t="s">
        <x:v>66</x:v>
      </x:c>
      <x:c r="I400" s="48" t="s">
        <x:v>67</x:v>
      </x:c>
      <x:c r="J400" s="49"/>
      <x:c r="K400" s="50"/>
      <x:c r="L400" s="51"/>
      <x:c r="M400" s="45" t="s">
        <x:v>210</x:v>
      </x:c>
      <x:c r="N400" s="52">
        <x:v>325</x:v>
      </x:c>
      <x:c r="O400" s="44"/>
    </x:row>
    <x:row r="401" ht="23" customHeight="1">
      <x:c r="A401" s="24" t="s">
        <x:v>533</x:v>
      </x:c>
      <x:c r="B401" s="53" t="s">
        <x:v>533</x:v>
      </x:c>
      <x:c r="C401" s="53" t="s">
        <x:v>209</x:v>
      </x:c>
      <x:c r="D401" s="54">
        <x:v>42.7325249875558</x:v>
      </x:c>
      <x:c r="E401" s="54">
        <x:v>-73.6665124703247</x:v>
      </x:c>
      <x:c r="F401" s="55" t="n">
        <x:f>_xlfn.COUNTIFS('Connections'!$B$6:$B$590,A401)+_xlfn.COUNTIFS('Connections'!$C$6:$C$590,A401)</x:f>
        <x:v>5</x:v>
      </x:c>
      <x:c r="G401" s="55" t="n">
        <x:f>_xlfn.COUNTIFS('Connections'!$B$6:$B$590,A401,'Connections'!$D$6:$D$590,"TRUE")+_xlfn.COUNTIFS('Connections'!$C$6:$C$590,A401,'Connections'!$D$6:$D$590,"TRUE")</x:f>
        <x:v>5</x:v>
      </x:c>
      <x:c r="H401" s="48" t="s">
        <x:v>66</x:v>
      </x:c>
      <x:c r="I401" s="48" t="s">
        <x:v>67</x:v>
      </x:c>
      <x:c r="J401" s="49"/>
      <x:c r="K401" s="50"/>
      <x:c r="L401" s="56"/>
      <x:c r="M401" s="53" t="s">
        <x:v>210</x:v>
      </x:c>
      <x:c r="N401" s="57">
        <x:v>326</x:v>
      </x:c>
      <x:c r="O401" s="44"/>
    </x:row>
    <x:row r="402" ht="23" customHeight="1">
      <x:c r="A402" s="21" t="s">
        <x:v>534</x:v>
      </x:c>
      <x:c r="B402" s="45" t="s">
        <x:v>534</x:v>
      </x:c>
      <x:c r="C402" s="45" t="s">
        <x:v>209</x:v>
      </x:c>
      <x:c r="D402" s="46">
        <x:v>42.7336032308673</x:v>
      </x:c>
      <x:c r="E402" s="46">
        <x:v>-73.6661575353328</x:v>
      </x:c>
      <x:c r="F402" s="47" t="n">
        <x:f>_xlfn.COUNTIFS('Connections'!$B$6:$B$590,A402)+_xlfn.COUNTIFS('Connections'!$C$6:$C$590,A402)</x:f>
        <x:v>4</x:v>
      </x:c>
      <x:c r="G402" s="47" t="n">
        <x:f>_xlfn.COUNTIFS('Connections'!$B$6:$B$590,A402,'Connections'!$D$6:$D$590,"TRUE")+_xlfn.COUNTIFS('Connections'!$C$6:$C$590,A402,'Connections'!$D$6:$D$590,"TRUE")</x:f>
        <x:v>4</x:v>
      </x:c>
      <x:c r="H402" s="48" t="s">
        <x:v>66</x:v>
      </x:c>
      <x:c r="I402" s="48" t="s">
        <x:v>67</x:v>
      </x:c>
      <x:c r="J402" s="49"/>
      <x:c r="K402" s="50"/>
      <x:c r="L402" s="51"/>
      <x:c r="M402" s="45" t="s">
        <x:v>210</x:v>
      </x:c>
      <x:c r="N402" s="52">
        <x:v>327</x:v>
      </x:c>
      <x:c r="O402" s="44"/>
    </x:row>
    <x:row r="403" ht="23" customHeight="1">
      <x:c r="A403" s="24" t="s">
        <x:v>535</x:v>
      </x:c>
      <x:c r="B403" s="53" t="s">
        <x:v>535</x:v>
      </x:c>
      <x:c r="C403" s="53" t="s">
        <x:v>209</x:v>
      </x:c>
      <x:c r="D403" s="54">
        <x:v>42.7316502080674</x:v>
      </x:c>
      <x:c r="E403" s="54">
        <x:v>-73.6667925983901</x:v>
      </x:c>
      <x:c r="F403" s="55" t="n">
        <x:f>_xlfn.COUNTIFS('Connections'!$B$6:$B$590,A403)+_xlfn.COUNTIFS('Connections'!$C$6:$C$590,A403)</x:f>
        <x:v>3</x:v>
      </x:c>
      <x:c r="G403" s="55" t="n">
        <x:f>_xlfn.COUNTIFS('Connections'!$B$6:$B$590,A403,'Connections'!$D$6:$D$590,"TRUE")+_xlfn.COUNTIFS('Connections'!$C$6:$C$590,A403,'Connections'!$D$6:$D$590,"TRUE")</x:f>
        <x:v>3</x:v>
      </x:c>
      <x:c r="H403" s="48" t="s">
        <x:v>66</x:v>
      </x:c>
      <x:c r="I403" s="48" t="s">
        <x:v>67</x:v>
      </x:c>
      <x:c r="J403" s="49"/>
      <x:c r="K403" s="50"/>
      <x:c r="L403" s="56"/>
      <x:c r="M403" s="53" t="s">
        <x:v>210</x:v>
      </x:c>
      <x:c r="N403" s="57">
        <x:v>328</x:v>
      </x:c>
      <x:c r="O403" s="44"/>
    </x:row>
    <x:row r="404" ht="23" customHeight="1">
      <x:c r="A404" s="21" t="s">
        <x:v>536</x:v>
      </x:c>
      <x:c r="B404" s="45" t="s">
        <x:v>536</x:v>
      </x:c>
      <x:c r="C404" s="45" t="s">
        <x:v>209</x:v>
      </x:c>
      <x:c r="D404" s="46">
        <x:v>42.7321502462769</x:v>
      </x:c>
      <x:c r="E404" s="46">
        <x:v>-73.665597279202</x:v>
      </x:c>
      <x:c r="F404" s="47" t="n">
        <x:f>_xlfn.COUNTIFS('Connections'!$B$6:$B$590,A404)+_xlfn.COUNTIFS('Connections'!$C$6:$C$590,A404)</x:f>
        <x:v>2</x:v>
      </x:c>
      <x:c r="G404" s="47" t="n">
        <x:f>_xlfn.COUNTIFS('Connections'!$B$6:$B$590,A404,'Connections'!$D$6:$D$590,"TRUE")+_xlfn.COUNTIFS('Connections'!$C$6:$C$590,A404,'Connections'!$D$6:$D$590,"TRUE")</x:f>
        <x:v>2</x:v>
      </x:c>
      <x:c r="H404" s="48" t="s">
        <x:v>66</x:v>
      </x:c>
      <x:c r="I404" s="48" t="s">
        <x:v>67</x:v>
      </x:c>
      <x:c r="J404" s="49"/>
      <x:c r="K404" s="50"/>
      <x:c r="L404" s="51"/>
      <x:c r="M404" s="45" t="s">
        <x:v>210</x:v>
      </x:c>
      <x:c r="N404" s="52">
        <x:v>329</x:v>
      </x:c>
      <x:c r="O404" s="44"/>
    </x:row>
    <x:row r="405" ht="23" customHeight="1">
      <x:c r="A405" s="24" t="s">
        <x:v>537</x:v>
      </x:c>
      <x:c r="B405" s="53" t="s">
        <x:v>537</x:v>
      </x:c>
      <x:c r="C405" s="53" t="s">
        <x:v>209</x:v>
      </x:c>
      <x:c r="D405" s="54">
        <x:v>42.7328284590208</x:v>
      </x:c>
      <x:c r="E405" s="54">
        <x:v>-73.6647616699159</x:v>
      </x:c>
      <x:c r="F405" s="55" t="n">
        <x:f>_xlfn.COUNTIFS('Connections'!$B$6:$B$590,A405)+_xlfn.COUNTIFS('Connections'!$C$6:$C$590,A405)</x:f>
        <x:v>3</x:v>
      </x:c>
      <x:c r="G405" s="55" t="n">
        <x:f>_xlfn.COUNTIFS('Connections'!$B$6:$B$590,A405,'Connections'!$D$6:$D$590,"TRUE")+_xlfn.COUNTIFS('Connections'!$C$6:$C$590,A405,'Connections'!$D$6:$D$590,"TRUE")</x:f>
        <x:v>3</x:v>
      </x:c>
      <x:c r="H405" s="48" t="s">
        <x:v>66</x:v>
      </x:c>
      <x:c r="I405" s="48" t="s">
        <x:v>67</x:v>
      </x:c>
      <x:c r="J405" s="49"/>
      <x:c r="K405" s="50"/>
      <x:c r="L405" s="56"/>
      <x:c r="M405" s="53" t="s">
        <x:v>210</x:v>
      </x:c>
      <x:c r="N405" s="57">
        <x:v>330</x:v>
      </x:c>
      <x:c r="O405" s="44"/>
    </x:row>
    <x:row r="406" ht="23" customHeight="1">
      <x:c r="A406" s="21" t="s">
        <x:v>538</x:v>
      </x:c>
      <x:c r="B406" s="45" t="s">
        <x:v>538</x:v>
      </x:c>
      <x:c r="C406" s="45" t="s">
        <x:v>209</x:v>
      </x:c>
      <x:c r="D406" s="46">
        <x:v>42.7329204200709</x:v>
      </x:c>
      <x:c r="E406" s="46">
        <x:v>-73.665350575508</x:v>
      </x:c>
      <x:c r="F406" s="47" t="n">
        <x:f>_xlfn.COUNTIFS('Connections'!$B$6:$B$590,A406)+_xlfn.COUNTIFS('Connections'!$C$6:$C$590,A406)</x:f>
        <x:v>2</x:v>
      </x:c>
      <x:c r="G406" s="47" t="n">
        <x:f>_xlfn.COUNTIFS('Connections'!$B$6:$B$590,A406,'Connections'!$D$6:$D$590,"TRUE")+_xlfn.COUNTIFS('Connections'!$C$6:$C$590,A406,'Connections'!$D$6:$D$590,"TRUE")</x:f>
        <x:v>2</x:v>
      </x:c>
      <x:c r="H406" s="48" t="s">
        <x:v>66</x:v>
      </x:c>
      <x:c r="I406" s="48" t="s">
        <x:v>67</x:v>
      </x:c>
      <x:c r="J406" s="49"/>
      <x:c r="K406" s="50"/>
      <x:c r="L406" s="51"/>
      <x:c r="M406" s="45" t="s">
        <x:v>210</x:v>
      </x:c>
      <x:c r="N406" s="52">
        <x:v>331</x:v>
      </x:c>
      <x:c r="O406" s="44"/>
    </x:row>
    <x:row r="407" ht="23" customHeight="1">
      <x:c r="A407" s="24" t="s">
        <x:v>539</x:v>
      </x:c>
      <x:c r="B407" s="53" t="s">
        <x:v>539</x:v>
      </x:c>
      <x:c r="C407" s="53" t="s">
        <x:v>209</x:v>
      </x:c>
      <x:c r="D407" s="54">
        <x:v>42.7330123811209</x:v>
      </x:c>
      <x:c r="E407" s="54">
        <x:v>-73.6656880024959</x:v>
      </x:c>
      <x:c r="F407" s="55" t="n">
        <x:f>_xlfn.COUNTIFS('Connections'!$B$6:$B$590,A407)+_xlfn.COUNTIFS('Connections'!$C$6:$C$590,A407)</x:f>
        <x:v>3</x:v>
      </x:c>
      <x:c r="G407" s="55" t="n">
        <x:f>_xlfn.COUNTIFS('Connections'!$B$6:$B$590,A407,'Connections'!$D$6:$D$590,"TRUE")+_xlfn.COUNTIFS('Connections'!$C$6:$C$590,A407,'Connections'!$D$6:$D$590,"TRUE")</x:f>
        <x:v>3</x:v>
      </x:c>
      <x:c r="H407" s="48" t="s">
        <x:v>66</x:v>
      </x:c>
      <x:c r="I407" s="48" t="s">
        <x:v>67</x:v>
      </x:c>
      <x:c r="J407" s="49"/>
      <x:c r="K407" s="50"/>
      <x:c r="L407" s="56"/>
      <x:c r="M407" s="53" t="s">
        <x:v>210</x:v>
      </x:c>
      <x:c r="N407" s="57">
        <x:v>332</x:v>
      </x:c>
      <x:c r="O407" s="44"/>
    </x:row>
    <x:row r="408" ht="23" customHeight="1">
      <x:c r="A408" s="21" t="s">
        <x:v>540</x:v>
      </x:c>
      <x:c r="B408" s="45" t="s">
        <x:v>540</x:v>
      </x:c>
      <x:c r="C408" s="45" t="s">
        <x:v>209</x:v>
      </x:c>
      <x:c r="D408" s="46">
        <x:v>42.7330491655409</x:v>
      </x:c>
      <x:c r="E408" s="46">
        <x:v>-73.6659617640143</x:v>
      </x:c>
      <x:c r="F408" s="47" t="n">
        <x:f>_xlfn.COUNTIFS('Connections'!$B$6:$B$590,A408)+_xlfn.COUNTIFS('Connections'!$C$6:$C$590,A408)</x:f>
        <x:v>3</x:v>
      </x:c>
      <x:c r="G408" s="47" t="n">
        <x:f>_xlfn.COUNTIFS('Connections'!$B$6:$B$590,A408,'Connections'!$D$6:$D$590,"TRUE")+_xlfn.COUNTIFS('Connections'!$C$6:$C$590,A408,'Connections'!$D$6:$D$590,"TRUE")</x:f>
        <x:v>3</x:v>
      </x:c>
      <x:c r="H408" s="48" t="s">
        <x:v>66</x:v>
      </x:c>
      <x:c r="I408" s="48" t="s">
        <x:v>67</x:v>
      </x:c>
      <x:c r="J408" s="49"/>
      <x:c r="K408" s="50"/>
      <x:c r="L408" s="51"/>
      <x:c r="M408" s="45" t="s">
        <x:v>210</x:v>
      </x:c>
      <x:c r="N408" s="52">
        <x:v>333</x:v>
      </x:c>
      <x:c r="O408" s="44"/>
    </x:row>
    <x:row r="409" ht="23" customHeight="1">
      <x:c r="A409" s="24" t="s">
        <x:v>541</x:v>
      </x:c>
      <x:c r="B409" s="53" t="s">
        <x:v>541</x:v>
      </x:c>
      <x:c r="C409" s="53" t="s">
        <x:v>209</x:v>
      </x:c>
      <x:c r="D409" s="54">
        <x:v>42.7330376704096</x:v>
      </x:c>
      <x:c r="E409" s="54">
        <x:v>-73.6660827284062</x:v>
      </x:c>
      <x:c r="F409" s="55" t="n">
        <x:f>_xlfn.COUNTIFS('Connections'!$B$6:$B$590,A409)+_xlfn.COUNTIFS('Connections'!$C$6:$C$590,A409)</x:f>
        <x:v>2</x:v>
      </x:c>
      <x:c r="G409" s="55" t="n">
        <x:f>_xlfn.COUNTIFS('Connections'!$B$6:$B$590,A409,'Connections'!$D$6:$D$590,"TRUE")+_xlfn.COUNTIFS('Connections'!$C$6:$C$590,A409,'Connections'!$D$6:$D$590,"TRUE")</x:f>
        <x:v>2</x:v>
      </x:c>
      <x:c r="H409" s="48" t="s">
        <x:v>66</x:v>
      </x:c>
      <x:c r="I409" s="48" t="s">
        <x:v>67</x:v>
      </x:c>
      <x:c r="J409" s="49"/>
      <x:c r="K409" s="50"/>
      <x:c r="L409" s="56"/>
      <x:c r="M409" s="53" t="s">
        <x:v>210</x:v>
      </x:c>
      <x:c r="N409" s="57">
        <x:v>334</x:v>
      </x:c>
      <x:c r="O409" s="44"/>
    </x:row>
    <x:row r="410" ht="23" customHeight="1">
      <x:c r="A410" s="21" t="s">
        <x:v>542</x:v>
      </x:c>
      <x:c r="B410" s="45" t="s">
        <x:v>542</x:v>
      </x:c>
      <x:c r="C410" s="45" t="s">
        <x:v>209</x:v>
      </x:c>
      <x:c r="D410" s="46">
        <x:v>42.7324951002145</x:v>
      </x:c>
      <x:c r="E410" s="46">
        <x:v>-73.6662450753532</x:v>
      </x:c>
      <x:c r="F410" s="47" t="n">
        <x:f>_xlfn.COUNTIFS('Connections'!$B$6:$B$590,A410)+_xlfn.COUNTIFS('Connections'!$C$6:$C$590,A410)</x:f>
        <x:v>2</x:v>
      </x:c>
      <x:c r="G410" s="47" t="n">
        <x:f>_xlfn.COUNTIFS('Connections'!$B$6:$B$590,A410,'Connections'!$D$6:$D$590,"TRUE")+_xlfn.COUNTIFS('Connections'!$C$6:$C$590,A410,'Connections'!$D$6:$D$590,"TRUE")</x:f>
        <x:v>2</x:v>
      </x:c>
      <x:c r="H410" s="48" t="s">
        <x:v>66</x:v>
      </x:c>
      <x:c r="I410" s="48" t="s">
        <x:v>67</x:v>
      </x:c>
      <x:c r="J410" s="49"/>
      <x:c r="K410" s="50"/>
      <x:c r="L410" s="51"/>
      <x:c r="M410" s="45" t="s">
        <x:v>210</x:v>
      </x:c>
      <x:c r="N410" s="52">
        <x:v>335</x:v>
      </x:c>
      <x:c r="O410" s="44"/>
    </x:row>
    <x:row r="411" ht="23" customHeight="1">
      <x:c r="A411" s="24" t="s">
        <x:v>543</x:v>
      </x:c>
      <x:c r="B411" s="53" t="s">
        <x:v>543</x:v>
      </x:c>
      <x:c r="C411" s="53" t="s">
        <x:v>209</x:v>
      </x:c>
      <x:c r="D411" s="54">
        <x:v>42.7335997823279</x:v>
      </x:c>
      <x:c r="E411" s="54">
        <x:v>-73.6658598992633</x:v>
      </x:c>
      <x:c r="F411" s="55" t="n">
        <x:f>_xlfn.COUNTIFS('Connections'!$B$6:$B$590,A411)+_xlfn.COUNTIFS('Connections'!$C$6:$C$590,A411)</x:f>
        <x:v>3</x:v>
      </x:c>
      <x:c r="G411" s="55" t="n">
        <x:f>_xlfn.COUNTIFS('Connections'!$B$6:$B$590,A411,'Connections'!$D$6:$D$590,"TRUE")+_xlfn.COUNTIFS('Connections'!$C$6:$C$590,A411,'Connections'!$D$6:$D$590,"TRUE")</x:f>
        <x:v>3</x:v>
      </x:c>
      <x:c r="H411" s="48" t="s">
        <x:v>66</x:v>
      </x:c>
      <x:c r="I411" s="48" t="s">
        <x:v>67</x:v>
      </x:c>
      <x:c r="J411" s="49"/>
      <x:c r="K411" s="50"/>
      <x:c r="L411" s="56"/>
      <x:c r="M411" s="53" t="s">
        <x:v>210</x:v>
      </x:c>
      <x:c r="N411" s="57">
        <x:v>336</x:v>
      </x:c>
      <x:c r="O411" s="44"/>
    </x:row>
    <x:row r="412" ht="23" customHeight="1">
      <x:c r="A412" s="21" t="s">
        <x:v>544</x:v>
      </x:c>
      <x:c r="B412" s="45" t="s">
        <x:v>544</x:v>
      </x:c>
      <x:c r="C412" s="45" t="s">
        <x:v>209</x:v>
      </x:c>
      <x:c r="D412" s="46">
        <x:v>42.7339273935686</x:v>
      </x:c>
      <x:c r="E412" s="46">
        <x:v>-73.6634040037808</x:v>
      </x:c>
      <x:c r="F412" s="47" t="n">
        <x:f>_xlfn.COUNTIFS('Connections'!$B$6:$B$590,A412)+_xlfn.COUNTIFS('Connections'!$C$6:$C$590,A412)</x:f>
        <x:v>2</x:v>
      </x:c>
      <x:c r="G412" s="47" t="n">
        <x:f>_xlfn.COUNTIFS('Connections'!$B$6:$B$590,A412,'Connections'!$D$6:$D$590,"TRUE")+_xlfn.COUNTIFS('Connections'!$C$6:$C$590,A412,'Connections'!$D$6:$D$590,"TRUE")</x:f>
        <x:v>2</x:v>
      </x:c>
      <x:c r="H412" s="48" t="s">
        <x:v>66</x:v>
      </x:c>
      <x:c r="I412" s="48" t="s">
        <x:v>67</x:v>
      </x:c>
      <x:c r="J412" s="49"/>
      <x:c r="K412" s="50"/>
      <x:c r="L412" s="51"/>
      <x:c r="M412" s="45" t="s">
        <x:v>210</x:v>
      </x:c>
      <x:c r="N412" s="52">
        <x:v>337</x:v>
      </x:c>
      <x:c r="O412" s="44"/>
    </x:row>
    <x:row r="413" ht="23" customHeight="1">
      <x:c r="A413" s="24" t="s">
        <x:v>545</x:v>
      </x:c>
      <x:c r="B413" s="53" t="s">
        <x:v>545</x:v>
      </x:c>
      <x:c r="C413" s="53" t="s">
        <x:v>209</x:v>
      </x:c>
      <x:c r="D413" s="54">
        <x:v>42.7334032155835</x:v>
      </x:c>
      <x:c r="E413" s="54">
        <x:v>-73.66507999726301</x:v>
      </x:c>
      <x:c r="F413" s="55" t="n">
        <x:f>_xlfn.COUNTIFS('Connections'!$B$6:$B$590,A413)+_xlfn.COUNTIFS('Connections'!$C$6:$C$590,A413)</x:f>
        <x:v>2</x:v>
      </x:c>
      <x:c r="G413" s="55" t="n">
        <x:f>_xlfn.COUNTIFS('Connections'!$B$6:$B$590,A413,'Connections'!$D$6:$D$590,"TRUE")+_xlfn.COUNTIFS('Connections'!$C$6:$C$590,A413,'Connections'!$D$6:$D$590,"TRUE")</x:f>
        <x:v>2</x:v>
      </x:c>
      <x:c r="H413" s="48" t="s">
        <x:v>66</x:v>
      </x:c>
      <x:c r="I413" s="48" t="s">
        <x:v>67</x:v>
      </x:c>
      <x:c r="J413" s="49"/>
      <x:c r="K413" s="50"/>
      <x:c r="L413" s="56"/>
      <x:c r="M413" s="53" t="s">
        <x:v>210</x:v>
      </x:c>
      <x:c r="N413" s="57">
        <x:v>338</x:v>
      </x:c>
      <x:c r="O413" s="44"/>
    </x:row>
    <x:row r="414" ht="23" customHeight="1">
      <x:c r="A414" s="21" t="s">
        <x:v>546</x:v>
      </x:c>
      <x:c r="B414" s="45" t="s">
        <x:v>546</x:v>
      </x:c>
      <x:c r="C414" s="45" t="s">
        <x:v>209</x:v>
      </x:c>
      <x:c r="D414" s="46">
        <x:v>42.7339319916211</x:v>
      </x:c>
      <x:c r="E414" s="46">
        <x:v>-73.6649558495976</x:v>
      </x:c>
      <x:c r="F414" s="47" t="n">
        <x:f>_xlfn.COUNTIFS('Connections'!$B$6:$B$590,A414)+_xlfn.COUNTIFS('Connections'!$C$6:$C$590,A414)</x:f>
        <x:v>2</x:v>
      </x:c>
      <x:c r="G414" s="47" t="n">
        <x:f>_xlfn.COUNTIFS('Connections'!$B$6:$B$590,A414,'Connections'!$D$6:$D$590,"TRUE")+_xlfn.COUNTIFS('Connections'!$C$6:$C$590,A414,'Connections'!$D$6:$D$590,"TRUE")</x:f>
        <x:v>2</x:v>
      </x:c>
      <x:c r="H414" s="48" t="s">
        <x:v>66</x:v>
      </x:c>
      <x:c r="I414" s="48" t="s">
        <x:v>67</x:v>
      </x:c>
      <x:c r="J414" s="49"/>
      <x:c r="K414" s="50"/>
      <x:c r="L414" s="51"/>
      <x:c r="M414" s="45" t="s">
        <x:v>210</x:v>
      </x:c>
      <x:c r="N414" s="52">
        <x:v>339</x:v>
      </x:c>
      <x:c r="O414" s="44"/>
    </x:row>
    <x:row r="415" ht="23" customHeight="1">
      <x:c r="A415" s="24" t="s">
        <x:v>547</x:v>
      </x:c>
      <x:c r="B415" s="53" t="s">
        <x:v>547</x:v>
      </x:c>
      <x:c r="C415" s="53" t="s">
        <x:v>209</x:v>
      </x:c>
      <x:c r="D415" s="54">
        <x:v>42.734260752375</x:v>
      </x:c>
      <x:c r="E415" s="54">
        <x:v>-73.6644863167607</x:v>
      </x:c>
      <x:c r="F415" s="55" t="n">
        <x:f>_xlfn.COUNTIFS('Connections'!$B$6:$B$590,A415)+_xlfn.COUNTIFS('Connections'!$C$6:$C$590,A415)</x:f>
        <x:v>2</x:v>
      </x:c>
      <x:c r="G415" s="55" t="n">
        <x:f>_xlfn.COUNTIFS('Connections'!$B$6:$B$590,A415,'Connections'!$D$6:$D$590,"TRUE")+_xlfn.COUNTIFS('Connections'!$C$6:$C$590,A415,'Connections'!$D$6:$D$590,"TRUE")</x:f>
        <x:v>2</x:v>
      </x:c>
      <x:c r="H415" s="48" t="s">
        <x:v>66</x:v>
      </x:c>
      <x:c r="I415" s="48" t="s">
        <x:v>67</x:v>
      </x:c>
      <x:c r="J415" s="49"/>
      <x:c r="K415" s="50"/>
      <x:c r="L415" s="56"/>
      <x:c r="M415" s="53" t="s">
        <x:v>210</x:v>
      </x:c>
      <x:c r="N415" s="57">
        <x:v>340</x:v>
      </x:c>
      <x:c r="O415" s="44"/>
    </x:row>
    <x:row r="416" ht="23" customHeight="1">
      <x:c r="A416" s="21" t="s">
        <x:v>548</x:v>
      </x:c>
      <x:c r="B416" s="45" t="s">
        <x:v>548</x:v>
      </x:c>
      <x:c r="C416" s="45" t="s">
        <x:v>209</x:v>
      </x:c>
      <x:c r="D416" s="46">
        <x:v>42.7346527363507</x:v>
      </x:c>
      <x:c r="E416" s="46">
        <x:v>-73.66439559346681</x:v>
      </x:c>
      <x:c r="F416" s="47" t="n">
        <x:f>_xlfn.COUNTIFS('Connections'!$B$6:$B$590,A416)+_xlfn.COUNTIFS('Connections'!$C$6:$C$590,A416)</x:f>
        <x:v>4</x:v>
      </x:c>
      <x:c r="G416" s="47" t="n">
        <x:f>_xlfn.COUNTIFS('Connections'!$B$6:$B$590,A416,'Connections'!$D$6:$D$590,"TRUE")+_xlfn.COUNTIFS('Connections'!$C$6:$C$590,A416,'Connections'!$D$6:$D$590,"TRUE")</x:f>
        <x:v>4</x:v>
      </x:c>
      <x:c r="H416" s="48" t="s">
        <x:v>66</x:v>
      </x:c>
      <x:c r="I416" s="48" t="s">
        <x:v>67</x:v>
      </x:c>
      <x:c r="J416" s="49"/>
      <x:c r="K416" s="50"/>
      <x:c r="L416" s="51"/>
      <x:c r="M416" s="45" t="s">
        <x:v>210</x:v>
      </x:c>
      <x:c r="N416" s="52">
        <x:v>341</x:v>
      </x:c>
      <x:c r="O416" s="44"/>
    </x:row>
    <x:row r="417" ht="23" customHeight="1">
      <x:c r="A417" s="24" t="s">
        <x:v>549</x:v>
      </x:c>
      <x:c r="B417" s="53" t="s">
        <x:v>549</x:v>
      </x:c>
      <x:c r="C417" s="53" t="s">
        <x:v>209</x:v>
      </x:c>
      <x:c r="D417" s="54">
        <x:v>42.734481458895</x:v>
      </x:c>
      <x:c r="E417" s="54">
        <x:v>-73.6631875411848</x:v>
      </x:c>
      <x:c r="F417" s="55" t="n">
        <x:f>_xlfn.COUNTIFS('Connections'!$B$6:$B$590,A417)+_xlfn.COUNTIFS('Connections'!$C$6:$C$590,A417)</x:f>
        <x:v>3</x:v>
      </x:c>
      <x:c r="G417" s="55" t="n">
        <x:f>_xlfn.COUNTIFS('Connections'!$B$6:$B$590,A417,'Connections'!$D$6:$D$590,"TRUE")+_xlfn.COUNTIFS('Connections'!$C$6:$C$590,A417,'Connections'!$D$6:$D$590,"TRUE")</x:f>
        <x:v>3</x:v>
      </x:c>
      <x:c r="H417" s="48" t="s">
        <x:v>66</x:v>
      </x:c>
      <x:c r="I417" s="48" t="s">
        <x:v>67</x:v>
      </x:c>
      <x:c r="J417" s="49"/>
      <x:c r="K417" s="50"/>
      <x:c r="L417" s="56"/>
      <x:c r="M417" s="53" t="s">
        <x:v>210</x:v>
      </x:c>
      <x:c r="N417" s="57">
        <x:v>342</x:v>
      </x:c>
      <x:c r="O417" s="44"/>
    </x:row>
    <x:row r="418" ht="23" customHeight="1">
      <x:c r="A418" s="21" t="s">
        <x:v>550</x:v>
      </x:c>
      <x:c r="B418" s="45" t="s">
        <x:v>550</x:v>
      </x:c>
      <x:c r="C418" s="45" t="s">
        <x:v>209</x:v>
      </x:c>
      <x:c r="D418" s="46">
        <x:v>42.7355872905216</x:v>
      </x:c>
      <x:c r="E418" s="46">
        <x:v>-73.6642841788954</x:v>
      </x:c>
      <x:c r="F418" s="47" t="n">
        <x:f>_xlfn.COUNTIFS('Connections'!$B$6:$B$590,A418)+_xlfn.COUNTIFS('Connections'!$C$6:$C$590,A418)</x:f>
        <x:v>3</x:v>
      </x:c>
      <x:c r="G418" s="47" t="n">
        <x:f>_xlfn.COUNTIFS('Connections'!$B$6:$B$590,A418,'Connections'!$D$6:$D$590,"TRUE")+_xlfn.COUNTIFS('Connections'!$C$6:$C$590,A418,'Connections'!$D$6:$D$590,"TRUE")</x:f>
        <x:v>3</x:v>
      </x:c>
      <x:c r="H418" s="48" t="s">
        <x:v>66</x:v>
      </x:c>
      <x:c r="I418" s="48" t="s">
        <x:v>67</x:v>
      </x:c>
      <x:c r="J418" s="49"/>
      <x:c r="K418" s="50"/>
      <x:c r="L418" s="51"/>
      <x:c r="M418" s="45" t="s">
        <x:v>210</x:v>
      </x:c>
      <x:c r="N418" s="52">
        <x:v>343</x:v>
      </x:c>
      <x:c r="O418" s="44"/>
    </x:row>
    <x:row r="419" ht="23" customHeight="1">
      <x:c r="A419" s="24" t="s">
        <x:v>551</x:v>
      </x:c>
      <x:c r="B419" s="53" t="s">
        <x:v>551</x:v>
      </x:c>
      <x:c r="C419" s="53" t="s">
        <x:v>209</x:v>
      </x:c>
      <x:c r="D419" s="54">
        <x:v>42.7355148711947</x:v>
      </x:c>
      <x:c r="E419" s="54">
        <x:v>-73.6635201932624</x:v>
      </x:c>
      <x:c r="F419" s="55" t="n">
        <x:f>_xlfn.COUNTIFS('Connections'!$B$6:$B$590,A419)+_xlfn.COUNTIFS('Connections'!$C$6:$C$590,A419)</x:f>
        <x:v>3</x:v>
      </x:c>
      <x:c r="G419" s="55" t="n">
        <x:f>_xlfn.COUNTIFS('Connections'!$B$6:$B$590,A419,'Connections'!$D$6:$D$590,"TRUE")+_xlfn.COUNTIFS('Connections'!$C$6:$C$590,A419,'Connections'!$D$6:$D$590,"TRUE")</x:f>
        <x:v>3</x:v>
      </x:c>
      <x:c r="H419" s="48" t="s">
        <x:v>66</x:v>
      </x:c>
      <x:c r="I419" s="48" t="s">
        <x:v>67</x:v>
      </x:c>
      <x:c r="J419" s="49"/>
      <x:c r="K419" s="50"/>
      <x:c r="L419" s="56"/>
      <x:c r="M419" s="53" t="s">
        <x:v>210</x:v>
      </x:c>
      <x:c r="N419" s="57">
        <x:v>344</x:v>
      </x:c>
      <x:c r="O419" s="44"/>
    </x:row>
    <x:row r="420" ht="23" customHeight="1">
      <x:c r="A420" s="21" t="s">
        <x:v>552</x:v>
      </x:c>
      <x:c r="B420" s="45" t="s">
        <x:v>552</x:v>
      </x:c>
      <x:c r="C420" s="45" t="s">
        <x:v>209</x:v>
      </x:c>
      <x:c r="D420" s="46">
        <x:v>42.7355298148653</x:v>
      </x:c>
      <x:c r="E420" s="46">
        <x:v>-73.6638305624258</x:v>
      </x:c>
      <x:c r="F420" s="47" t="n">
        <x:f>_xlfn.COUNTIFS('Connections'!$B$6:$B$590,A420)+_xlfn.COUNTIFS('Connections'!$C$6:$C$590,A420)</x:f>
        <x:v>3</x:v>
      </x:c>
      <x:c r="G420" s="47" t="n">
        <x:f>_xlfn.COUNTIFS('Connections'!$B$6:$B$590,A420,'Connections'!$D$6:$D$590,"TRUE")+_xlfn.COUNTIFS('Connections'!$C$6:$C$590,A420,'Connections'!$D$6:$D$590,"TRUE")</x:f>
        <x:v>3</x:v>
      </x:c>
      <x:c r="H420" s="48" t="s">
        <x:v>66</x:v>
      </x:c>
      <x:c r="I420" s="48" t="s">
        <x:v>67</x:v>
      </x:c>
      <x:c r="J420" s="49"/>
      <x:c r="K420" s="50"/>
      <x:c r="L420" s="51"/>
      <x:c r="M420" s="45" t="s">
        <x:v>210</x:v>
      </x:c>
      <x:c r="N420" s="52">
        <x:v>345</x:v>
      </x:c>
      <x:c r="O420" s="44"/>
    </x:row>
    <x:row r="421" ht="23" customHeight="1">
      <x:c r="A421" s="24" t="s">
        <x:v>553</x:v>
      </x:c>
      <x:c r="B421" s="53" t="s">
        <x:v>553</x:v>
      </x:c>
      <x:c r="C421" s="53" t="s">
        <x:v>209</x:v>
      </x:c>
      <x:c r="D421" s="54">
        <x:v>42.7353780791328</x:v>
      </x:c>
      <x:c r="E421" s="54">
        <x:v>-73.66385443697681</x:v>
      </x:c>
      <x:c r="F421" s="55" t="n">
        <x:f>_xlfn.COUNTIFS('Connections'!$B$6:$B$590,A421)+_xlfn.COUNTIFS('Connections'!$C$6:$C$590,A421)</x:f>
        <x:v>2</x:v>
      </x:c>
      <x:c r="G421" s="55" t="n">
        <x:f>_xlfn.COUNTIFS('Connections'!$B$6:$B$590,A421,'Connections'!$D$6:$D$590,"TRUE")+_xlfn.COUNTIFS('Connections'!$C$6:$C$590,A421,'Connections'!$D$6:$D$590,"TRUE")</x:f>
        <x:v>2</x:v>
      </x:c>
      <x:c r="H421" s="48" t="s">
        <x:v>66</x:v>
      </x:c>
      <x:c r="I421" s="48" t="s">
        <x:v>67</x:v>
      </x:c>
      <x:c r="J421" s="49"/>
      <x:c r="K421" s="50"/>
      <x:c r="L421" s="56"/>
      <x:c r="M421" s="53" t="s">
        <x:v>210</x:v>
      </x:c>
      <x:c r="N421" s="57">
        <x:v>346</x:v>
      </x:c>
      <x:c r="O421" s="44"/>
    </x:row>
    <x:row r="422" ht="23" customHeight="1">
      <x:c r="A422" s="21" t="s">
        <x:v>554</x:v>
      </x:c>
      <x:c r="B422" s="45" t="s">
        <x:v>554</x:v>
      </x:c>
      <x:c r="C422" s="45" t="s">
        <x:v>209</x:v>
      </x:c>
      <x:c r="D422" s="46">
        <x:v>42.7354378538153</x:v>
      </x:c>
      <x:c r="E422" s="46">
        <x:v>-73.6632177822827</x:v>
      </x:c>
      <x:c r="F422" s="47" t="n">
        <x:f>_xlfn.COUNTIFS('Connections'!$B$6:$B$590,A422)+_xlfn.COUNTIFS('Connections'!$C$6:$C$590,A422)</x:f>
        <x:v>3</x:v>
      </x:c>
      <x:c r="G422" s="47" t="n">
        <x:f>_xlfn.COUNTIFS('Connections'!$B$6:$B$590,A422,'Connections'!$D$6:$D$590,"TRUE")+_xlfn.COUNTIFS('Connections'!$C$6:$C$590,A422,'Connections'!$D$6:$D$590,"TRUE")</x:f>
        <x:v>3</x:v>
      </x:c>
      <x:c r="H422" s="48" t="s">
        <x:v>66</x:v>
      </x:c>
      <x:c r="I422" s="48" t="s">
        <x:v>67</x:v>
      </x:c>
      <x:c r="J422" s="49"/>
      <x:c r="K422" s="50"/>
      <x:c r="L422" s="51"/>
      <x:c r="M422" s="45" t="s">
        <x:v>210</x:v>
      </x:c>
      <x:c r="N422" s="52">
        <x:v>347</x:v>
      </x:c>
      <x:c r="O422" s="44"/>
    </x:row>
    <x:row r="423" ht="23" customHeight="1">
      <x:c r="A423" s="24" t="s">
        <x:v>555</x:v>
      </x:c>
      <x:c r="B423" s="53" t="s">
        <x:v>555</x:v>
      </x:c>
      <x:c r="C423" s="53" t="s">
        <x:v>209</x:v>
      </x:c>
      <x:c r="D423" s="54">
        <x:v>42.7352918656484</x:v>
      </x:c>
      <x:c r="E423" s="54">
        <x:v>-73.6632384735603</x:v>
      </x:c>
      <x:c r="F423" s="55" t="n">
        <x:f>_xlfn.COUNTIFS('Connections'!$B$6:$B$590,A423)+_xlfn.COUNTIFS('Connections'!$C$6:$C$590,A423)</x:f>
        <x:v>2</x:v>
      </x:c>
      <x:c r="G423" s="55" t="n">
        <x:f>_xlfn.COUNTIFS('Connections'!$B$6:$B$590,A423,'Connections'!$D$6:$D$590,"TRUE")+_xlfn.COUNTIFS('Connections'!$C$6:$C$590,A423,'Connections'!$D$6:$D$590,"TRUE")</x:f>
        <x:v>2</x:v>
      </x:c>
      <x:c r="H423" s="48" t="s">
        <x:v>66</x:v>
      </x:c>
      <x:c r="I423" s="48" t="s">
        <x:v>67</x:v>
      </x:c>
      <x:c r="J423" s="49"/>
      <x:c r="K423" s="50"/>
      <x:c r="L423" s="56"/>
      <x:c r="M423" s="53" t="s">
        <x:v>210</x:v>
      </x:c>
      <x:c r="N423" s="57">
        <x:v>348</x:v>
      </x:c>
      <x:c r="O423" s="44"/>
    </x:row>
    <x:row r="424" ht="23" customHeight="1">
      <x:c r="A424" s="21" t="s">
        <x:v>556</x:v>
      </x:c>
      <x:c r="B424" s="45" t="s">
        <x:v>556</x:v>
      </x:c>
      <x:c r="C424" s="45" t="s">
        <x:v>209</x:v>
      </x:c>
      <x:c r="D424" s="46">
        <x:v>42.7353389956865</x:v>
      </x:c>
      <x:c r="E424" s="46">
        <x:v>-73.6635615758176</x:v>
      </x:c>
      <x:c r="F424" s="47" t="n">
        <x:f>_xlfn.COUNTIFS('Connections'!$B$6:$B$590,A424)+_xlfn.COUNTIFS('Connections'!$C$6:$C$590,A424)</x:f>
        <x:v>1</x:v>
      </x:c>
      <x:c r="G424" s="47" t="n">
        <x:f>_xlfn.COUNTIFS('Connections'!$B$6:$B$590,A424,'Connections'!$D$6:$D$590,"TRUE")+_xlfn.COUNTIFS('Connections'!$C$6:$C$590,A424,'Connections'!$D$6:$D$590,"TRUE")</x:f>
        <x:v>1</x:v>
      </x:c>
      <x:c r="H424" s="48" t="s">
        <x:v>66</x:v>
      </x:c>
      <x:c r="I424" s="48" t="s">
        <x:v>67</x:v>
      </x:c>
      <x:c r="J424" s="49"/>
      <x:c r="K424" s="50"/>
      <x:c r="L424" s="51"/>
      <x:c r="M424" s="45" t="s">
        <x:v>210</x:v>
      </x:c>
      <x:c r="N424" s="52">
        <x:v>349</x:v>
      </x:c>
      <x:c r="O424" s="44"/>
    </x:row>
    <x:row r="425" ht="23" customHeight="1">
      <x:c r="A425" s="24" t="s">
        <x:v>557</x:v>
      </x:c>
      <x:c r="B425" s="53" t="s">
        <x:v>557</x:v>
      </x:c>
      <x:c r="C425" s="53" t="s">
        <x:v>209</x:v>
      </x:c>
      <x:c r="D425" s="54">
        <x:v>42.7349665534339</x:v>
      </x:c>
      <x:c r="E425" s="54">
        <x:v>-73.6633642128624</x:v>
      </x:c>
      <x:c r="F425" s="55" t="n">
        <x:f>_xlfn.COUNTIFS('Connections'!$B$6:$B$590,A425)+_xlfn.COUNTIFS('Connections'!$C$6:$C$590,A425)</x:f>
        <x:v>2</x:v>
      </x:c>
      <x:c r="G425" s="55" t="n">
        <x:f>_xlfn.COUNTIFS('Connections'!$B$6:$B$590,A425,'Connections'!$D$6:$D$590,"TRUE")+_xlfn.COUNTIFS('Connections'!$C$6:$C$590,A425,'Connections'!$D$6:$D$590,"TRUE")</x:f>
        <x:v>2</x:v>
      </x:c>
      <x:c r="H425" s="48" t="s">
        <x:v>66</x:v>
      </x:c>
      <x:c r="I425" s="48" t="s">
        <x:v>67</x:v>
      </x:c>
      <x:c r="J425" s="49"/>
      <x:c r="K425" s="50"/>
      <x:c r="L425" s="56"/>
      <x:c r="M425" s="53" t="s">
        <x:v>210</x:v>
      </x:c>
      <x:c r="N425" s="57">
        <x:v>350</x:v>
      </x:c>
      <x:c r="O425" s="44"/>
    </x:row>
    <x:row r="426" ht="23" customHeight="1">
      <x:c r="A426" s="21" t="s">
        <x:v>558</x:v>
      </x:c>
      <x:c r="B426" s="45" t="s">
        <x:v>558</x:v>
      </x:c>
      <x:c r="C426" s="45" t="s">
        <x:v>209</x:v>
      </x:c>
      <x:c r="D426" s="46">
        <x:v>42.7351010464696</x:v>
      </x:c>
      <x:c r="E426" s="46">
        <x:v>-73.6638974111687</x:v>
      </x:c>
      <x:c r="F426" s="47" t="n">
        <x:f>_xlfn.COUNTIFS('Connections'!$B$6:$B$590,A426)+_xlfn.COUNTIFS('Connections'!$C$6:$C$590,A426)</x:f>
        <x:v>3</x:v>
      </x:c>
      <x:c r="G426" s="47" t="n">
        <x:f>_xlfn.COUNTIFS('Connections'!$B$6:$B$590,A426,'Connections'!$D$6:$D$590,"TRUE")+_xlfn.COUNTIFS('Connections'!$C$6:$C$590,A426,'Connections'!$D$6:$D$590,"TRUE")</x:f>
        <x:v>3</x:v>
      </x:c>
      <x:c r="H426" s="48" t="s">
        <x:v>66</x:v>
      </x:c>
      <x:c r="I426" s="48" t="s">
        <x:v>67</x:v>
      </x:c>
      <x:c r="J426" s="49"/>
      <x:c r="K426" s="50"/>
      <x:c r="L426" s="51"/>
      <x:c r="M426" s="45" t="s">
        <x:v>210</x:v>
      </x:c>
      <x:c r="N426" s="52">
        <x:v>351</x:v>
      </x:c>
      <x:c r="O426" s="44"/>
    </x:row>
    <x:row r="427" ht="23" customHeight="1">
      <x:c r="A427" s="24" t="s">
        <x:v>559</x:v>
      </x:c>
      <x:c r="B427" s="53" t="s">
        <x:v>559</x:v>
      </x:c>
      <x:c r="C427" s="53" t="s">
        <x:v>209</x:v>
      </x:c>
      <x:c r="D427" s="54">
        <x:v>42.7354033684215</x:v>
      </x:c>
      <x:c r="E427" s="54">
        <x:v>-73.66292492112341</x:v>
      </x:c>
      <x:c r="F427" s="55" t="n">
        <x:f>_xlfn.COUNTIFS('Connections'!$B$6:$B$590,A427)+_xlfn.COUNTIFS('Connections'!$C$6:$C$590,A427)</x:f>
        <x:v>2</x:v>
      </x:c>
      <x:c r="G427" s="55" t="n">
        <x:f>_xlfn.COUNTIFS('Connections'!$B$6:$B$590,A427,'Connections'!$D$6:$D$590,"TRUE")+_xlfn.COUNTIFS('Connections'!$C$6:$C$590,A427,'Connections'!$D$6:$D$590,"TRUE")</x:f>
        <x:v>2</x:v>
      </x:c>
      <x:c r="H427" s="48" t="s">
        <x:v>66</x:v>
      </x:c>
      <x:c r="I427" s="48" t="s">
        <x:v>67</x:v>
      </x:c>
      <x:c r="J427" s="49"/>
      <x:c r="K427" s="50"/>
      <x:c r="L427" s="56"/>
      <x:c r="M427" s="53" t="s">
        <x:v>210</x:v>
      </x:c>
      <x:c r="N427" s="57">
        <x:v>352</x:v>
      </x:c>
      <x:c r="O427" s="44"/>
    </x:row>
    <x:row r="428" ht="23" customHeight="1">
      <x:c r="A428" s="21" t="s">
        <x:v>560</x:v>
      </x:c>
      <x:c r="B428" s="45" t="s">
        <x:v>560</x:v>
      </x:c>
      <x:c r="C428" s="45" t="s">
        <x:v>209</x:v>
      </x:c>
      <x:c r="D428" s="46">
        <x:v>42.7327433950496</x:v>
      </x:c>
      <x:c r="E428" s="46">
        <x:v>-73.6683269362029</x:v>
      </x:c>
      <x:c r="F428" s="47" t="n">
        <x:f>_xlfn.COUNTIFS('Connections'!$B$6:$B$590,A428)+_xlfn.COUNTIFS('Connections'!$C$6:$C$590,A428)</x:f>
        <x:v>2</x:v>
      </x:c>
      <x:c r="G428" s="47" t="n">
        <x:f>_xlfn.COUNTIFS('Connections'!$B$6:$B$590,A428,'Connections'!$D$6:$D$590,"TRUE")+_xlfn.COUNTIFS('Connections'!$C$6:$C$590,A428,'Connections'!$D$6:$D$590,"TRUE")</x:f>
        <x:v>2</x:v>
      </x:c>
      <x:c r="H428" s="48" t="s">
        <x:v>66</x:v>
      </x:c>
      <x:c r="I428" s="48" t="s">
        <x:v>67</x:v>
      </x:c>
      <x:c r="J428" s="49"/>
      <x:c r="K428" s="50"/>
      <x:c r="L428" s="51"/>
      <x:c r="M428" s="45" t="s">
        <x:v>210</x:v>
      </x:c>
      <x:c r="N428" s="52">
        <x:v>353</x:v>
      </x:c>
      <x:c r="O428" s="44"/>
    </x:row>
    <x:row r="429" ht="23" customHeight="1">
      <x:c r="A429" s="24" t="s">
        <x:v>561</x:v>
      </x:c>
      <x:c r="B429" s="53" t="s">
        <x:v>561</x:v>
      </x:c>
      <x:c r="C429" s="53" t="s">
        <x:v>209</x:v>
      </x:c>
      <x:c r="D429" s="54">
        <x:v>42.7339319916211</x:v>
      </x:c>
      <x:c r="E429" s="54">
        <x:v>-73.6657325683245</x:v>
      </x:c>
      <x:c r="F429" s="55" t="n">
        <x:f>_xlfn.COUNTIFS('Connections'!$B$6:$B$590,A429)+_xlfn.COUNTIFS('Connections'!$C$6:$C$590,A429)</x:f>
        <x:v>3</x:v>
      </x:c>
      <x:c r="G429" s="55" t="n">
        <x:f>_xlfn.COUNTIFS('Connections'!$B$6:$B$590,A429,'Connections'!$D$6:$D$590,"TRUE")+_xlfn.COUNTIFS('Connections'!$C$6:$C$590,A429,'Connections'!$D$6:$D$590,"TRUE")</x:f>
        <x:v>3</x:v>
      </x:c>
      <x:c r="H429" s="48" t="s">
        <x:v>66</x:v>
      </x:c>
      <x:c r="I429" s="48" t="s">
        <x:v>67</x:v>
      </x:c>
      <x:c r="J429" s="49"/>
      <x:c r="K429" s="50"/>
      <x:c r="L429" s="56"/>
      <x:c r="M429" s="53" t="s">
        <x:v>210</x:v>
      </x:c>
      <x:c r="N429" s="57">
        <x:v>354</x:v>
      </x:c>
      <x:c r="O429" s="44"/>
    </x:row>
    <x:row r="430" ht="23" customHeight="1">
      <x:c r="A430" s="21" t="s">
        <x:v>562</x:v>
      </x:c>
      <x:c r="B430" s="45" t="s">
        <x:v>562</x:v>
      </x:c>
      <x:c r="C430" s="45" t="s">
        <x:v>209</x:v>
      </x:c>
      <x:c r="D430" s="46">
        <x:v>42.7339986633824</x:v>
      </x:c>
      <x:c r="E430" s="46">
        <x:v>-73.6661718600634</x:v>
      </x:c>
      <x:c r="F430" s="47" t="n">
        <x:f>_xlfn.COUNTIFS('Connections'!$B$6:$B$590,A430)+_xlfn.COUNTIFS('Connections'!$C$6:$C$590,A430)</x:f>
        <x:v>2</x:v>
      </x:c>
      <x:c r="G430" s="47" t="n">
        <x:f>_xlfn.COUNTIFS('Connections'!$B$6:$B$590,A430,'Connections'!$D$6:$D$590,"TRUE")+_xlfn.COUNTIFS('Connections'!$C$6:$C$590,A430,'Connections'!$D$6:$D$590,"TRUE")</x:f>
        <x:v>2</x:v>
      </x:c>
      <x:c r="H430" s="48" t="s">
        <x:v>66</x:v>
      </x:c>
      <x:c r="I430" s="48" t="s">
        <x:v>67</x:v>
      </x:c>
      <x:c r="J430" s="49"/>
      <x:c r="K430" s="50"/>
      <x:c r="L430" s="51"/>
      <x:c r="M430" s="45" t="s">
        <x:v>210</x:v>
      </x:c>
      <x:c r="N430" s="52">
        <x:v>355</x:v>
      </x:c>
      <x:c r="O430" s="44"/>
    </x:row>
    <x:row r="431" ht="23" customHeight="1">
      <x:c r="A431" s="24" t="s">
        <x:v>563</x:v>
      </x:c>
      <x:c r="B431" s="53" t="s">
        <x:v>563</x:v>
      </x:c>
      <x:c r="C431" s="53" t="s">
        <x:v>209</x:v>
      </x:c>
      <x:c r="D431" s="54">
        <x:v>42.7348860875151</x:v>
      </x:c>
      <x:c r="E431" s="54">
        <x:v>-73.6659553974674</x:v>
      </x:c>
      <x:c r="F431" s="55" t="n">
        <x:f>_xlfn.COUNTIFS('Connections'!$B$6:$B$590,A431)+_xlfn.COUNTIFS('Connections'!$C$6:$C$590,A431)</x:f>
        <x:v>4</x:v>
      </x:c>
      <x:c r="G431" s="55" t="n">
        <x:f>_xlfn.COUNTIFS('Connections'!$B$6:$B$590,A431,'Connections'!$D$6:$D$590,"TRUE")+_xlfn.COUNTIFS('Connections'!$C$6:$C$590,A431,'Connections'!$D$6:$D$590,"TRUE")</x:f>
        <x:v>4</x:v>
      </x:c>
      <x:c r="H431" s="48" t="s">
        <x:v>66</x:v>
      </x:c>
      <x:c r="I431" s="48" t="s">
        <x:v>67</x:v>
      </x:c>
      <x:c r="J431" s="49"/>
      <x:c r="K431" s="50"/>
      <x:c r="L431" s="56"/>
      <x:c r="M431" s="53" t="s">
        <x:v>210</x:v>
      </x:c>
      <x:c r="N431" s="57">
        <x:v>356</x:v>
      </x:c>
      <x:c r="O431" s="44"/>
    </x:row>
    <x:row r="432" ht="23" customHeight="1">
      <x:c r="A432" s="21" t="s">
        <x:v>564</x:v>
      </x:c>
      <x:c r="B432" s="45" t="s">
        <x:v>564</x:v>
      </x:c>
      <x:c r="C432" s="45" t="s">
        <x:v>209</x:v>
      </x:c>
      <x:c r="D432" s="46">
        <x:v>42.7357884553185</x:v>
      </x:c>
      <x:c r="E432" s="46">
        <x:v>-73.66570073558979</x:v>
      </x:c>
      <x:c r="F432" s="47" t="n">
        <x:f>_xlfn.COUNTIFS('Connections'!$B$6:$B$590,A432)+_xlfn.COUNTIFS('Connections'!$C$6:$C$590,A432)</x:f>
        <x:v>3</x:v>
      </x:c>
      <x:c r="G432" s="47" t="n">
        <x:f>_xlfn.COUNTIFS('Connections'!$B$6:$B$590,A432,'Connections'!$D$6:$D$590,"TRUE")+_xlfn.COUNTIFS('Connections'!$C$6:$C$590,A432,'Connections'!$D$6:$D$590,"TRUE")</x:f>
        <x:v>3</x:v>
      </x:c>
      <x:c r="H432" s="48" t="s">
        <x:v>66</x:v>
      </x:c>
      <x:c r="I432" s="48" t="s">
        <x:v>67</x:v>
      </x:c>
      <x:c r="J432" s="49"/>
      <x:c r="K432" s="50"/>
      <x:c r="L432" s="51"/>
      <x:c r="M432" s="45" t="s">
        <x:v>210</x:v>
      </x:c>
      <x:c r="N432" s="52">
        <x:v>357</x:v>
      </x:c>
      <x:c r="O432" s="44"/>
    </x:row>
    <x:row r="433" ht="23" customHeight="1">
      <x:c r="A433" s="24" t="s">
        <x:v>565</x:v>
      </x:c>
      <x:c r="B433" s="53" t="s">
        <x:v>565</x:v>
      </x:c>
      <x:c r="C433" s="53" t="s">
        <x:v>209</x:v>
      </x:c>
      <x:c r="D433" s="54">
        <x:v>42.735958583261</x:v>
      </x:c>
      <x:c r="E433" s="54">
        <x:v>-73.6669422122433</x:v>
      </x:c>
      <x:c r="F433" s="55" t="n">
        <x:f>_xlfn.COUNTIFS('Connections'!$B$6:$B$590,A433)+_xlfn.COUNTIFS('Connections'!$C$6:$C$590,A433)</x:f>
        <x:v>4</x:v>
      </x:c>
      <x:c r="G433" s="55" t="n">
        <x:f>_xlfn.COUNTIFS('Connections'!$B$6:$B$590,A433,'Connections'!$D$6:$D$590,"TRUE")+_xlfn.COUNTIFS('Connections'!$C$6:$C$590,A433,'Connections'!$D$6:$D$590,"TRUE")</x:f>
        <x:v>4</x:v>
      </x:c>
      <x:c r="H433" s="48" t="s">
        <x:v>66</x:v>
      </x:c>
      <x:c r="I433" s="48" t="s">
        <x:v>67</x:v>
      </x:c>
      <x:c r="J433" s="49"/>
      <x:c r="K433" s="50"/>
      <x:c r="L433" s="56"/>
      <x:c r="M433" s="53" t="s">
        <x:v>210</x:v>
      </x:c>
      <x:c r="N433" s="57">
        <x:v>358</x:v>
      </x:c>
      <x:c r="O433" s="44"/>
    </x:row>
    <x:row r="434" ht="23" customHeight="1">
      <x:c r="A434" s="21" t="s">
        <x:v>566</x:v>
      </x:c>
      <x:c r="B434" s="45" t="s">
        <x:v>566</x:v>
      </x:c>
      <x:c r="C434" s="45" t="s">
        <x:v>209</x:v>
      </x:c>
      <x:c r="D434" s="46">
        <x:v>42.7350746076677</x:v>
      </x:c>
      <x:c r="E434" s="46">
        <x:v>-73.66720483230461</x:v>
      </x:c>
      <x:c r="F434" s="47" t="n">
        <x:f>_xlfn.COUNTIFS('Connections'!$B$6:$B$590,A434)+_xlfn.COUNTIFS('Connections'!$C$6:$C$590,A434)</x:f>
        <x:v>3</x:v>
      </x:c>
      <x:c r="G434" s="47" t="n">
        <x:f>_xlfn.COUNTIFS('Connections'!$B$6:$B$590,A434,'Connections'!$D$6:$D$590,"TRUE")+_xlfn.COUNTIFS('Connections'!$C$6:$C$590,A434,'Connections'!$D$6:$D$590,"TRUE")</x:f>
        <x:v>3</x:v>
      </x:c>
      <x:c r="H434" s="48" t="s">
        <x:v>66</x:v>
      </x:c>
      <x:c r="I434" s="48" t="s">
        <x:v>67</x:v>
      </x:c>
      <x:c r="J434" s="49"/>
      <x:c r="K434" s="50"/>
      <x:c r="L434" s="51"/>
      <x:c r="M434" s="45" t="s">
        <x:v>210</x:v>
      </x:c>
      <x:c r="N434" s="52">
        <x:v>359</x:v>
      </x:c>
      <x:c r="O434" s="44"/>
    </x:row>
    <x:row r="435" ht="23" customHeight="1">
      <x:c r="A435" s="24" t="s">
        <x:v>567</x:v>
      </x:c>
      <x:c r="B435" s="53" t="s">
        <x:v>567</x:v>
      </x:c>
      <x:c r="C435" s="53" t="s">
        <x:v>209</x:v>
      </x:c>
      <x:c r="D435" s="54">
        <x:v>42.7348171167276</x:v>
      </x:c>
      <x:c r="E435" s="54">
        <x:v>-73.66548427299379</x:v>
      </x:c>
      <x:c r="F435" s="55" t="n">
        <x:f>_xlfn.COUNTIFS('Connections'!$B$6:$B$590,A435)+_xlfn.COUNTIFS('Connections'!$C$6:$C$590,A435)</x:f>
        <x:v>2</x:v>
      </x:c>
      <x:c r="G435" s="55" t="n">
        <x:f>_xlfn.COUNTIFS('Connections'!$B$6:$B$590,A435,'Connections'!$D$6:$D$590,"TRUE")+_xlfn.COUNTIFS('Connections'!$C$6:$C$590,A435,'Connections'!$D$6:$D$590,"TRUE")</x:f>
        <x:v>2</x:v>
      </x:c>
      <x:c r="H435" s="48" t="s">
        <x:v>66</x:v>
      </x:c>
      <x:c r="I435" s="48" t="s">
        <x:v>67</x:v>
      </x:c>
      <x:c r="J435" s="49"/>
      <x:c r="K435" s="50"/>
      <x:c r="L435" s="56"/>
      <x:c r="M435" s="53" t="s">
        <x:v>210</x:v>
      </x:c>
      <x:c r="N435" s="57">
        <x:v>360</x:v>
      </x:c>
      <x:c r="O435" s="44"/>
    </x:row>
    <x:row r="436" ht="23" customHeight="1">
      <x:c r="A436" s="21" t="s">
        <x:v>568</x:v>
      </x:c>
      <x:c r="B436" s="45" t="s">
        <x:v>568</x:v>
      </x:c>
      <x:c r="C436" s="45" t="s">
        <x:v>209</x:v>
      </x:c>
      <x:c r="D436" s="46">
        <x:v>42.7338975062274</x:v>
      </x:c>
      <x:c r="E436" s="46">
        <x:v>-73.66531874277329</x:v>
      </x:c>
      <x:c r="F436" s="47" t="n">
        <x:f>_xlfn.COUNTIFS('Connections'!$B$6:$B$590,A436)+_xlfn.COUNTIFS('Connections'!$C$6:$C$590,A436)</x:f>
        <x:v>3</x:v>
      </x:c>
      <x:c r="G436" s="47" t="n">
        <x:f>_xlfn.COUNTIFS('Connections'!$B$6:$B$590,A436,'Connections'!$D$6:$D$590,"TRUE")+_xlfn.COUNTIFS('Connections'!$C$6:$C$590,A436,'Connections'!$D$6:$D$590,"TRUE")</x:f>
        <x:v>3</x:v>
      </x:c>
      <x:c r="H436" s="48" t="s">
        <x:v>66</x:v>
      </x:c>
      <x:c r="I436" s="48" t="s">
        <x:v>67</x:v>
      </x:c>
      <x:c r="J436" s="49"/>
      <x:c r="K436" s="50"/>
      <x:c r="L436" s="51"/>
      <x:c r="M436" s="45" t="s">
        <x:v>210</x:v>
      </x:c>
      <x:c r="N436" s="52">
        <x:v>361</x:v>
      </x:c>
      <x:c r="O436" s="44"/>
    </x:row>
    <x:row r="437" ht="23" customHeight="1">
      <x:c r="A437" s="24" t="s">
        <x:v>569</x:v>
      </x:c>
      <x:c r="B437" s="53" t="s">
        <x:v>569</x:v>
      </x:c>
      <x:c r="C437" s="53" t="s">
        <x:v>209</x:v>
      </x:c>
      <x:c r="D437" s="54">
        <x:v>42.7346159519307</x:v>
      </x:c>
      <x:c r="E437" s="54">
        <x:v>-73.66494948305071</x:v>
      </x:c>
      <x:c r="F437" s="55" t="n">
        <x:f>_xlfn.COUNTIFS('Connections'!$B$6:$B$590,A437)+_xlfn.COUNTIFS('Connections'!$C$6:$C$590,A437)</x:f>
        <x:v>2</x:v>
      </x:c>
      <x:c r="G437" s="55" t="n">
        <x:f>_xlfn.COUNTIFS('Connections'!$B$6:$B$590,A437,'Connections'!$D$6:$D$590,"TRUE")+_xlfn.COUNTIFS('Connections'!$C$6:$C$590,A437,'Connections'!$D$6:$D$590,"TRUE")</x:f>
        <x:v>2</x:v>
      </x:c>
      <x:c r="H437" s="48" t="s">
        <x:v>66</x:v>
      </x:c>
      <x:c r="I437" s="48" t="s">
        <x:v>67</x:v>
      </x:c>
      <x:c r="J437" s="49"/>
      <x:c r="K437" s="50"/>
      <x:c r="L437" s="56"/>
      <x:c r="M437" s="53" t="s">
        <x:v>210</x:v>
      </x:c>
      <x:c r="N437" s="57">
        <x:v>362</x:v>
      </x:c>
      <x:c r="O437" s="44"/>
    </x:row>
    <x:row r="438" ht="23" customHeight="1">
      <x:c r="A438" s="21" t="s">
        <x:v>570</x:v>
      </x:c>
      <x:c r="B438" s="45" t="s">
        <x:v>570</x:v>
      </x:c>
      <x:c r="C438" s="45" t="s">
        <x:v>209</x:v>
      </x:c>
      <x:c r="D438" s="46">
        <x:v>42.7356620088747</x:v>
      </x:c>
      <x:c r="E438" s="46">
        <x:v>-73.66493674995679</x:v>
      </x:c>
      <x:c r="F438" s="47" t="n">
        <x:f>_xlfn.COUNTIFS('Connections'!$B$6:$B$590,A438)+_xlfn.COUNTIFS('Connections'!$C$6:$C$590,A438)</x:f>
        <x:v>4</x:v>
      </x:c>
      <x:c r="G438" s="47" t="n">
        <x:f>_xlfn.COUNTIFS('Connections'!$B$6:$B$590,A438,'Connections'!$D$6:$D$590,"TRUE")+_xlfn.COUNTIFS('Connections'!$C$6:$C$590,A438,'Connections'!$D$6:$D$590,"TRUE")</x:f>
        <x:v>4</x:v>
      </x:c>
      <x:c r="H438" s="48" t="s">
        <x:v>66</x:v>
      </x:c>
      <x:c r="I438" s="48" t="s">
        <x:v>67</x:v>
      </x:c>
      <x:c r="J438" s="49"/>
      <x:c r="K438" s="50"/>
      <x:c r="L438" s="51"/>
      <x:c r="M438" s="45" t="s">
        <x:v>210</x:v>
      </x:c>
      <x:c r="N438" s="52">
        <x:v>363</x:v>
      </x:c>
      <x:c r="O438" s="44"/>
    </x:row>
    <x:row r="439" ht="23" customHeight="1">
      <x:c r="A439" s="24" t="s">
        <x:v>571</x:v>
      </x:c>
      <x:c r="B439" s="53" t="s">
        <x:v>571</x:v>
      </x:c>
      <x:c r="C439" s="53" t="s">
        <x:v>209</x:v>
      </x:c>
      <x:c r="D439" s="54">
        <x:v>42.736224120793</x:v>
      </x:c>
      <x:c r="E439" s="54">
        <x:v>-73.6638146460585</x:v>
      </x:c>
      <x:c r="F439" s="55" t="n">
        <x:f>_xlfn.COUNTIFS('Connections'!$B$6:$B$590,A439)+_xlfn.COUNTIFS('Connections'!$C$6:$C$590,A439)</x:f>
        <x:v>2</x:v>
      </x:c>
      <x:c r="G439" s="55" t="n">
        <x:f>_xlfn.COUNTIFS('Connections'!$B$6:$B$590,A439,'Connections'!$D$6:$D$590,"TRUE")+_xlfn.COUNTIFS('Connections'!$C$6:$C$590,A439,'Connections'!$D$6:$D$590,"TRUE")</x:f>
        <x:v>2</x:v>
      </x:c>
      <x:c r="H439" s="48" t="s">
        <x:v>66</x:v>
      </x:c>
      <x:c r="I439" s="48" t="s">
        <x:v>67</x:v>
      </x:c>
      <x:c r="J439" s="49"/>
      <x:c r="K439" s="50"/>
      <x:c r="L439" s="56"/>
      <x:c r="M439" s="53" t="s">
        <x:v>210</x:v>
      </x:c>
      <x:c r="N439" s="57">
        <x:v>364</x:v>
      </x:c>
      <x:c r="O439" s="44"/>
    </x:row>
    <x:row r="440" ht="23" customHeight="1">
      <x:c r="A440" s="21" t="s">
        <x:v>572</x:v>
      </x:c>
      <x:c r="B440" s="45" t="s">
        <x:v>572</x:v>
      </x:c>
      <x:c r="C440" s="45" t="s">
        <x:v>209</x:v>
      </x:c>
      <x:c r="D440" s="46">
        <x:v>42.7366678328594</x:v>
      </x:c>
      <x:c r="E440" s="46">
        <x:v>-73.6633928623236</x:v>
      </x:c>
      <x:c r="F440" s="47" t="n">
        <x:f>_xlfn.COUNTIFS('Connections'!$B$6:$B$590,A440)+_xlfn.COUNTIFS('Connections'!$C$6:$C$590,A440)</x:f>
        <x:v>1</x:v>
      </x:c>
      <x:c r="G440" s="47" t="n">
        <x:f>_xlfn.COUNTIFS('Connections'!$B$6:$B$590,A440,'Connections'!$D$6:$D$590,"TRUE")+_xlfn.COUNTIFS('Connections'!$C$6:$C$590,A440,'Connections'!$D$6:$D$590,"TRUE")</x:f>
        <x:v>1</x:v>
      </x:c>
      <x:c r="H440" s="48" t="s">
        <x:v>66</x:v>
      </x:c>
      <x:c r="I440" s="48" t="s">
        <x:v>67</x:v>
      </x:c>
      <x:c r="J440" s="49"/>
      <x:c r="K440" s="50"/>
      <x:c r="L440" s="51"/>
      <x:c r="M440" s="45" t="s">
        <x:v>210</x:v>
      </x:c>
      <x:c r="N440" s="52">
        <x:v>365</x:v>
      </x:c>
      <x:c r="O440" s="44"/>
    </x:row>
    <x:row r="441" ht="23" customHeight="1">
      <x:c r="A441" s="24" t="s">
        <x:v>573</x:v>
      </x:c>
      <x:c r="B441" s="53" t="s">
        <x:v>573</x:v>
      </x:c>
      <x:c r="C441" s="53" t="s">
        <x:v>209</x:v>
      </x:c>
      <x:c r="D441" s="54">
        <x:v>42.7377368800659</x:v>
      </x:c>
      <x:c r="E441" s="54">
        <x:v>-73.66645676303899</x:v>
      </x:c>
      <x:c r="F441" s="55" t="n">
        <x:f>_xlfn.COUNTIFS('Connections'!$B$6:$B$590,A441)+_xlfn.COUNTIFS('Connections'!$C$6:$C$590,A441)</x:f>
        <x:v>2</x:v>
      </x:c>
      <x:c r="G441" s="55" t="n">
        <x:f>_xlfn.COUNTIFS('Connections'!$B$6:$B$590,A441,'Connections'!$D$6:$D$590,"TRUE")+_xlfn.COUNTIFS('Connections'!$C$6:$C$590,A441,'Connections'!$D$6:$D$590,"TRUE")</x:f>
        <x:v>2</x:v>
      </x:c>
      <x:c r="H441" s="48" t="s">
        <x:v>66</x:v>
      </x:c>
      <x:c r="I441" s="48" t="s">
        <x:v>67</x:v>
      </x:c>
      <x:c r="J441" s="49"/>
      <x:c r="K441" s="50"/>
      <x:c r="L441" s="56"/>
      <x:c r="M441" s="53" t="s">
        <x:v>210</x:v>
      </x:c>
      <x:c r="N441" s="57">
        <x:v>366</x:v>
      </x:c>
      <x:c r="O441" s="44"/>
    </x:row>
    <x:row r="442" ht="23" customHeight="1">
      <x:c r="A442" s="21" t="s">
        <x:v>574</x:v>
      </x:c>
      <x:c r="B442" s="45" t="s">
        <x:v>574</x:v>
      </x:c>
      <x:c r="C442" s="45" t="s">
        <x:v>209</x:v>
      </x:c>
      <x:c r="D442" s="46">
        <x:v>42.7382311707098</x:v>
      </x:c>
      <x:c r="E442" s="46">
        <x:v>-73.67002998750969</x:v>
      </x:c>
      <x:c r="F442" s="47" t="n">
        <x:f>_xlfn.COUNTIFS('Connections'!$B$6:$B$590,A442)+_xlfn.COUNTIFS('Connections'!$C$6:$C$590,A442)</x:f>
        <x:v>3</x:v>
      </x:c>
      <x:c r="G442" s="47" t="n">
        <x:f>_xlfn.COUNTIFS('Connections'!$B$6:$B$590,A442,'Connections'!$D$6:$D$590,"TRUE")+_xlfn.COUNTIFS('Connections'!$C$6:$C$590,A442,'Connections'!$D$6:$D$590,"TRUE")</x:f>
        <x:v>3</x:v>
      </x:c>
      <x:c r="H442" s="48" t="s">
        <x:v>66</x:v>
      </x:c>
      <x:c r="I442" s="48" t="s">
        <x:v>67</x:v>
      </x:c>
      <x:c r="J442" s="49"/>
      <x:c r="K442" s="50"/>
      <x:c r="L442" s="51"/>
      <x:c r="M442" s="45" t="s">
        <x:v>210</x:v>
      </x:c>
      <x:c r="N442" s="52">
        <x:v>367</x:v>
      </x:c>
      <x:c r="O442" s="44"/>
    </x:row>
    <x:row r="443" ht="23" customHeight="1">
      <x:c r="A443" s="24" t="s">
        <x:v>575</x:v>
      </x:c>
      <x:c r="B443" s="53" t="s">
        <x:v>575</x:v>
      </x:c>
      <x:c r="C443" s="53" t="s">
        <x:v>209</x:v>
      </x:c>
      <x:c r="D443" s="54">
        <x:v>42.7368057744344</x:v>
      </x:c>
      <x:c r="E443" s="54">
        <x:v>-73.6703960639588</x:v>
      </x:c>
      <x:c r="F443" s="55" t="n">
        <x:f>_xlfn.COUNTIFS('Connections'!$B$6:$B$590,A443)+_xlfn.COUNTIFS('Connections'!$C$6:$C$590,A443)</x:f>
        <x:v>3</x:v>
      </x:c>
      <x:c r="G443" s="55" t="n">
        <x:f>_xlfn.COUNTIFS('Connections'!$B$6:$B$590,A443,'Connections'!$D$6:$D$590,"TRUE")+_xlfn.COUNTIFS('Connections'!$C$6:$C$590,A443,'Connections'!$D$6:$D$590,"TRUE")</x:f>
        <x:v>3</x:v>
      </x:c>
      <x:c r="H443" s="48" t="s">
        <x:v>66</x:v>
      </x:c>
      <x:c r="I443" s="48" t="s">
        <x:v>67</x:v>
      </x:c>
      <x:c r="J443" s="49"/>
      <x:c r="K443" s="50"/>
      <x:c r="L443" s="56"/>
      <x:c r="M443" s="53" t="s">
        <x:v>210</x:v>
      </x:c>
      <x:c r="N443" s="57">
        <x:v>368</x:v>
      </x:c>
      <x:c r="O443" s="44"/>
    </x:row>
    <x:row r="444" ht="23" customHeight="1">
      <x:c r="A444" s="21" t="s">
        <x:v>576</x:v>
      </x:c>
      <x:c r="B444" s="45" t="s">
        <x:v>576</x:v>
      </x:c>
      <x:c r="C444" s="45" t="s">
        <x:v>209</x:v>
      </x:c>
      <x:c r="D444" s="46">
        <x:v>42.7364183885112</x:v>
      </x:c>
      <x:c r="E444" s="46">
        <x:v>-73.67054886108539</x:v>
      </x:c>
      <x:c r="F444" s="47" t="n">
        <x:f>_xlfn.COUNTIFS('Connections'!$B$6:$B$590,A444)+_xlfn.COUNTIFS('Connections'!$C$6:$C$590,A444)</x:f>
        <x:v>3</x:v>
      </x:c>
      <x:c r="G444" s="47" t="n">
        <x:f>_xlfn.COUNTIFS('Connections'!$B$6:$B$590,A444,'Connections'!$D$6:$D$590,"TRUE")+_xlfn.COUNTIFS('Connections'!$C$6:$C$590,A444,'Connections'!$D$6:$D$590,"TRUE")</x:f>
        <x:v>3</x:v>
      </x:c>
      <x:c r="H444" s="48" t="s">
        <x:v>66</x:v>
      </x:c>
      <x:c r="I444" s="48" t="s">
        <x:v>67</x:v>
      </x:c>
      <x:c r="J444" s="49"/>
      <x:c r="K444" s="50"/>
      <x:c r="L444" s="51"/>
      <x:c r="M444" s="45" t="s">
        <x:v>210</x:v>
      </x:c>
      <x:c r="N444" s="52">
        <x:v>369</x:v>
      </x:c>
      <x:c r="O444" s="44"/>
    </x:row>
    <x:row r="445" ht="23" customHeight="1">
      <x:c r="A445" s="24" t="s">
        <x:v>577</x:v>
      </x:c>
      <x:c r="B445" s="53" t="s">
        <x:v>577</x:v>
      </x:c>
      <x:c r="C445" s="53" t="s">
        <x:v>209</x:v>
      </x:c>
      <x:c r="D445" s="54">
        <x:v>42.7345757189713</x:v>
      </x:c>
      <x:c r="E445" s="54">
        <x:v>-73.6710422684733</x:v>
      </x:c>
      <x:c r="F445" s="55" t="n">
        <x:f>_xlfn.COUNTIFS('Connections'!$B$6:$B$590,A445)+_xlfn.COUNTIFS('Connections'!$C$6:$C$590,A445)</x:f>
        <x:v>3</x:v>
      </x:c>
      <x:c r="G445" s="55" t="n">
        <x:f>_xlfn.COUNTIFS('Connections'!$B$6:$B$590,A445,'Connections'!$D$6:$D$590,"TRUE")+_xlfn.COUNTIFS('Connections'!$C$6:$C$590,A445,'Connections'!$D$6:$D$590,"TRUE")</x:f>
        <x:v>3</x:v>
      </x:c>
      <x:c r="H445" s="48" t="s">
        <x:v>66</x:v>
      </x:c>
      <x:c r="I445" s="48" t="s">
        <x:v>67</x:v>
      </x:c>
      <x:c r="J445" s="49"/>
      <x:c r="K445" s="50"/>
      <x:c r="L445" s="56"/>
      <x:c r="M445" s="53" t="s">
        <x:v>210</x:v>
      </x:c>
      <x:c r="N445" s="57">
        <x:v>370</x:v>
      </x:c>
      <x:c r="O445" s="44"/>
    </x:row>
    <x:row r="446" ht="23" customHeight="1">
      <x:c r="A446" s="21" t="s">
        <x:v>578</x:v>
      </x:c>
      <x:c r="B446" s="45" t="s">
        <x:v>578</x:v>
      </x:c>
      <x:c r="C446" s="45" t="s">
        <x:v>209</x:v>
      </x:c>
      <x:c r="D446" s="46">
        <x:v>42.7350125339589</x:v>
      </x:c>
      <x:c r="E446" s="46">
        <x:v>-73.67399316298049</x:v>
      </x:c>
      <x:c r="F446" s="47" t="n">
        <x:f>_xlfn.COUNTIFS('Connections'!$B$6:$B$590,A446)+_xlfn.COUNTIFS('Connections'!$C$6:$C$590,A446)</x:f>
        <x:v>4</x:v>
      </x:c>
      <x:c r="G446" s="47" t="n">
        <x:f>_xlfn.COUNTIFS('Connections'!$B$6:$B$590,A446,'Connections'!$D$6:$D$590,"TRUE")+_xlfn.COUNTIFS('Connections'!$C$6:$C$590,A446,'Connections'!$D$6:$D$590,"TRUE")</x:f>
        <x:v>4</x:v>
      </x:c>
      <x:c r="H446" s="48" t="s">
        <x:v>66</x:v>
      </x:c>
      <x:c r="I446" s="48" t="s">
        <x:v>67</x:v>
      </x:c>
      <x:c r="J446" s="49"/>
      <x:c r="K446" s="50"/>
      <x:c r="L446" s="51"/>
      <x:c r="M446" s="45" t="s">
        <x:v>210</x:v>
      </x:c>
      <x:c r="N446" s="52">
        <x:v>371</x:v>
      </x:c>
      <x:c r="O446" s="44"/>
    </x:row>
    <x:row r="447" ht="23" customHeight="1">
      <x:c r="A447" s="24" t="s">
        <x:v>579</x:v>
      </x:c>
      <x:c r="B447" s="53" t="s">
        <x:v>579</x:v>
      </x:c>
      <x:c r="C447" s="53" t="s">
        <x:v>209</x:v>
      </x:c>
      <x:c r="D447" s="54">
        <x:v>42.7342308650337</x:v>
      </x:c>
      <x:c r="E447" s="54">
        <x:v>-73.6742478248581</x:v>
      </x:c>
      <x:c r="F447" s="55" t="n">
        <x:f>_xlfn.COUNTIFS('Connections'!$B$6:$B$590,A447)+_xlfn.COUNTIFS('Connections'!$C$6:$C$590,A447)</x:f>
        <x:v>1</x:v>
      </x:c>
      <x:c r="G447" s="55" t="n">
        <x:f>_xlfn.COUNTIFS('Connections'!$B$6:$B$590,A447,'Connections'!$D$6:$D$590,"TRUE")+_xlfn.COUNTIFS('Connections'!$C$6:$C$590,A447,'Connections'!$D$6:$D$590,"TRUE")</x:f>
        <x:v>1</x:v>
      </x:c>
      <x:c r="H447" s="48" t="s">
        <x:v>66</x:v>
      </x:c>
      <x:c r="I447" s="48" t="s">
        <x:v>67</x:v>
      </x:c>
      <x:c r="J447" s="49"/>
      <x:c r="K447" s="50"/>
      <x:c r="L447" s="56"/>
      <x:c r="M447" s="53" t="s">
        <x:v>210</x:v>
      </x:c>
      <x:c r="N447" s="57">
        <x:v>372</x:v>
      </x:c>
      <x:c r="O447" s="44"/>
    </x:row>
    <x:row r="448" ht="23" customHeight="1">
      <x:c r="A448" s="21" t="s">
        <x:v>580</x:v>
      </x:c>
      <x:c r="B448" s="45" t="s">
        <x:v>580</x:v>
      </x:c>
      <x:c r="C448" s="45" t="s">
        <x:v>209</x:v>
      </x:c>
      <x:c r="D448" s="46">
        <x:v>42.7372195991595</x:v>
      </x:c>
      <x:c r="E448" s="46">
        <x:v>-73.6733978908415</x:v>
      </x:c>
      <x:c r="F448" s="47" t="n">
        <x:f>_xlfn.COUNTIFS('Connections'!$B$6:$B$590,A448)+_xlfn.COUNTIFS('Connections'!$C$6:$C$590,A448)</x:f>
        <x:v>1</x:v>
      </x:c>
      <x:c r="G448" s="47" t="n">
        <x:f>_xlfn.COUNTIFS('Connections'!$B$6:$B$590,A448,'Connections'!$D$6:$D$590,"TRUE")+_xlfn.COUNTIFS('Connections'!$C$6:$C$590,A448,'Connections'!$D$6:$D$590,"TRUE")</x:f>
        <x:v>1</x:v>
      </x:c>
      <x:c r="H448" s="48" t="s">
        <x:v>66</x:v>
      </x:c>
      <x:c r="I448" s="48" t="s">
        <x:v>67</x:v>
      </x:c>
      <x:c r="J448" s="49"/>
      <x:c r="K448" s="50"/>
      <x:c r="L448" s="51"/>
      <x:c r="M448" s="45" t="s">
        <x:v>210</x:v>
      </x:c>
      <x:c r="N448" s="52">
        <x:v>373</x:v>
      </x:c>
      <x:c r="O448" s="44"/>
    </x:row>
    <x:row r="449" ht="23" customHeight="1">
      <x:c r="A449" s="24" t="s">
        <x:v>581</x:v>
      </x:c>
      <x:c r="B449" s="53" t="s">
        <x:v>581</x:v>
      </x:c>
      <x:c r="C449" s="53" t="s">
        <x:v>209</x:v>
      </x:c>
      <x:c r="D449" s="54">
        <x:v>42.7352688753859</x:v>
      </x:c>
      <x:c r="E449" s="54">
        <x:v>-73.6759508761648</x:v>
      </x:c>
      <x:c r="F449" s="55" t="n">
        <x:f>_xlfn.COUNTIFS('Connections'!$B$6:$B$590,A449)+_xlfn.COUNTIFS('Connections'!$C$6:$C$590,A449)</x:f>
        <x:v>3</x:v>
      </x:c>
      <x:c r="G449" s="55" t="n">
        <x:f>_xlfn.COUNTIFS('Connections'!$B$6:$B$590,A449,'Connections'!$D$6:$D$590,"TRUE")+_xlfn.COUNTIFS('Connections'!$C$6:$C$590,A449,'Connections'!$D$6:$D$590,"TRUE")</x:f>
        <x:v>3</x:v>
      </x:c>
      <x:c r="H449" s="48" t="s">
        <x:v>66</x:v>
      </x:c>
      <x:c r="I449" s="48" t="s">
        <x:v>67</x:v>
      </x:c>
      <x:c r="J449" s="49"/>
      <x:c r="K449" s="50"/>
      <x:c r="L449" s="56"/>
      <x:c r="M449" s="53" t="s">
        <x:v>210</x:v>
      </x:c>
      <x:c r="N449" s="57">
        <x:v>374</x:v>
      </x:c>
      <x:c r="O449" s="44"/>
    </x:row>
    <x:row r="450" ht="23" customHeight="1">
      <x:c r="A450" s="21" t="s">
        <x:v>582</x:v>
      </x:c>
      <x:c r="B450" s="45" t="s">
        <x:v>582</x:v>
      </x:c>
      <x:c r="C450" s="45" t="s">
        <x:v>209</x:v>
      </x:c>
      <x:c r="D450" s="46">
        <x:v>42.738920878585</x:v>
      </x:c>
      <x:c r="E450" s="46">
        <x:v>-73.6749322286543</x:v>
      </x:c>
      <x:c r="F450" s="47" t="n">
        <x:f>_xlfn.COUNTIFS('Connections'!$B$6:$B$590,A450)+_xlfn.COUNTIFS('Connections'!$C$6:$C$590,A450)</x:f>
        <x:v>2</x:v>
      </x:c>
      <x:c r="G450" s="47" t="n">
        <x:f>_xlfn.COUNTIFS('Connections'!$B$6:$B$590,A450,'Connections'!$D$6:$D$590,"TRUE")+_xlfn.COUNTIFS('Connections'!$C$6:$C$590,A450,'Connections'!$D$6:$D$590,"TRUE")</x:f>
        <x:v>2</x:v>
      </x:c>
      <x:c r="H450" s="48" t="s">
        <x:v>66</x:v>
      </x:c>
      <x:c r="I450" s="48" t="s">
        <x:v>67</x:v>
      </x:c>
      <x:c r="J450" s="49"/>
      <x:c r="K450" s="50"/>
      <x:c r="L450" s="51"/>
      <x:c r="M450" s="45" t="s">
        <x:v>210</x:v>
      </x:c>
      <x:c r="N450" s="52">
        <x:v>375</x:v>
      </x:c>
      <x:c r="O450" s="44"/>
    </x:row>
    <x:row r="451" ht="23" customHeight="1">
      <x:c r="A451" s="24" t="s">
        <x:v>583</x:v>
      </x:c>
      <x:c r="B451" s="53" t="s">
        <x:v>583</x:v>
      </x:c>
      <x:c r="C451" s="53" t="s">
        <x:v>209</x:v>
      </x:c>
      <x:c r="D451" s="54">
        <x:v>42.7367540463438</x:v>
      </x:c>
      <x:c r="E451" s="54">
        <x:v>-73.669961547130</x:v>
      </x:c>
      <x:c r="F451" s="55" t="n">
        <x:f>_xlfn.COUNTIFS('Connections'!$B$6:$B$590,A451)+_xlfn.COUNTIFS('Connections'!$C$6:$C$590,A451)</x:f>
        <x:v>2</x:v>
      </x:c>
      <x:c r="G451" s="55" t="n">
        <x:f>_xlfn.COUNTIFS('Connections'!$B$6:$B$590,A451,'Connections'!$D$6:$D$590,"TRUE")+_xlfn.COUNTIFS('Connections'!$C$6:$C$590,A451,'Connections'!$D$6:$D$590,"TRUE")</x:f>
        <x:v>2</x:v>
      </x:c>
      <x:c r="H451" s="48" t="s">
        <x:v>66</x:v>
      </x:c>
      <x:c r="I451" s="48" t="s">
        <x:v>67</x:v>
      </x:c>
      <x:c r="J451" s="49"/>
      <x:c r="K451" s="50"/>
      <x:c r="L451" s="56"/>
      <x:c r="M451" s="53" t="s">
        <x:v>210</x:v>
      </x:c>
      <x:c r="N451" s="57">
        <x:v>376</x:v>
      </x:c>
      <x:c r="O451" s="44"/>
    </x:row>
    <x:row r="452" ht="23" customHeight="1">
      <x:c r="A452" s="21" t="s">
        <x:v>584</x:v>
      </x:c>
      <x:c r="B452" s="45" t="s">
        <x:v>584</x:v>
      </x:c>
      <x:c r="C452" s="45" t="s">
        <x:v>209</x:v>
      </x:c>
      <x:c r="D452" s="46">
        <x:v>42.7295615427187</x:v>
      </x:c>
      <x:c r="E452" s="46">
        <x:v>-73.6796275570233</x:v>
      </x:c>
      <x:c r="F452" s="47" t="n">
        <x:f>_xlfn.COUNTIFS('Connections'!$B$6:$B$590,A452)+_xlfn.COUNTIFS('Connections'!$C$6:$C$590,A452)</x:f>
        <x:v>3</x:v>
      </x:c>
      <x:c r="G452" s="47" t="n">
        <x:f>_xlfn.COUNTIFS('Connections'!$B$6:$B$590,A452,'Connections'!$D$6:$D$590,"TRUE")+_xlfn.COUNTIFS('Connections'!$C$6:$C$590,A452,'Connections'!$D$6:$D$590,"TRUE")</x:f>
        <x:v>2</x:v>
      </x:c>
      <x:c r="H452" s="48" t="s">
        <x:v>66</x:v>
      </x:c>
      <x:c r="I452" s="48" t="s">
        <x:v>67</x:v>
      </x:c>
      <x:c r="J452" s="49"/>
      <x:c r="K452" s="50"/>
      <x:c r="L452" s="51"/>
      <x:c r="M452" s="45" t="s">
        <x:v>210</x:v>
      </x:c>
      <x:c r="N452" s="52">
        <x:v>377</x:v>
      </x:c>
      <x:c r="O452" s="44"/>
    </x:row>
    <x:row r="453" ht="23" customHeight="1">
      <x:c r="A453" s="24" t="s">
        <x:v>585</x:v>
      </x:c>
      <x:c r="B453" s="53" t="s">
        <x:v>585</x:v>
      </x:c>
      <x:c r="C453" s="53" t="s">
        <x:v>209</x:v>
      </x:c>
      <x:c r="D453" s="54">
        <x:v>42.7304891998108</x:v>
      </x:c>
      <x:c r="E453" s="54">
        <x:v>-73.67771759294099</x:v>
      </x:c>
      <x:c r="F453" s="55" t="n">
        <x:f>_xlfn.COUNTIFS('Connections'!$B$6:$B$590,A453)+_xlfn.COUNTIFS('Connections'!$C$6:$C$590,A453)</x:f>
        <x:v>2</x:v>
      </x:c>
      <x:c r="G453" s="55" t="n">
        <x:f>_xlfn.COUNTIFS('Connections'!$B$6:$B$590,A453,'Connections'!$D$6:$D$590,"TRUE")+_xlfn.COUNTIFS('Connections'!$C$6:$C$590,A453,'Connections'!$D$6:$D$590,"TRUE")</x:f>
        <x:v>2</x:v>
      </x:c>
      <x:c r="H453" s="48" t="s">
        <x:v>66</x:v>
      </x:c>
      <x:c r="I453" s="48" t="s">
        <x:v>67</x:v>
      </x:c>
      <x:c r="J453" s="49"/>
      <x:c r="K453" s="50"/>
      <x:c r="L453" s="56"/>
      <x:c r="M453" s="53" t="s">
        <x:v>210</x:v>
      </x:c>
      <x:c r="N453" s="57">
        <x:v>378</x:v>
      </x:c>
      <x:c r="O453" s="44"/>
    </x:row>
    <x:row r="454" ht="15" customHeight="1">
      <x:c r="A454" s="60"/>
      <x:c r="B454" s="61"/>
      <x:c r="C454" s="61"/>
      <x:c r="D454" s="61"/>
      <x:c r="E454" s="61"/>
      <x:c r="F454" s="61"/>
      <x:c r="G454" s="61"/>
      <x:c r="H454" s="61"/>
      <x:c r="I454" s="61"/>
      <x:c r="J454" s="61"/>
      <x:c r="K454" s="61"/>
      <x:c r="L454" s="61"/>
      <x:c r="M454" s="61"/>
      <x:c r="N454" s="61"/>
      <x:c r="O454" s="40"/>
    </x:row>
  </x:sheetData>
  <x:conditionalFormatting sqref="F6:F453">
    <x:cfRule type="cellIs" dxfId="0" priority="1" stopIfTrue="1" operator="equal">
      <x:formula>0</x:formula>
    </x:cfRule>
  </x:conditionalFormatting>
  <x:conditionalFormatting sqref="G6:G453">
    <x:cfRule type="cellIs" dxfId="1" priority="1" stopIfTrue="1" operator="equal">
      <x:formula>0</x:formula>
    </x:cfRule>
  </x:conditionalFormatting>
  <x:dataValidations count="2">
    <x:dataValidation type="list" allowBlank="1" showInputMessage="1" showErrorMessage="1" sqref="H6:H453">
      <x:formula1>"unknown,yes,no"</x:formula1>
    </x:dataValidation>
    <x:dataValidation type="list" allowBlank="1" showInputMessage="1" showErrorMessage="1" sqref="I6:I453">
      <x:formula1>"unverified,needs_review,checked"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3" width="14" style="62" customWidth="1"/>
    <x:col min="4" max="4" width="20" style="62" customWidth="1"/>
    <x:col min="5" max="5" width="19" style="62" customWidth="1"/>
    <x:col min="6" max="6" width="18" style="62" customWidth="1"/>
    <x:col min="7" max="7" width="24" style="62" customWidth="1"/>
    <x:col min="8" max="9" width="15" style="62" customWidth="1"/>
    <x:col min="10" max="10" width="20" style="62" customWidth="1"/>
    <x:col min="11" max="12" width="15" style="62" customWidth="1"/>
    <x:col min="13" max="13" width="55" style="62" customWidth="1"/>
    <x:col min="14" max="14" width="17" style="62" customWidth="1"/>
    <x:col min="15" max="15" width="22" style="62" customWidth="1"/>
    <x:col min="16" max="16" width="58" style="62" customWidth="1"/>
    <x:col min="17" max="17" width="15" style="62" customWidth="1"/>
    <x:col min="18" max="18" width="78" style="62" customWidth="1"/>
    <x:col min="19" max="22" width="20" style="62" customWidth="1"/>
    <x:col min="23" max="23" width="8.85155963897705" style="62" customWidth="1"/>
    <x:col min="24" max="16384" width="8.85155963897705" style="62" customWidth="1"/>
  </x:cols>
  <x:sheetData>
    <x:row r="1" ht="23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5"/>
    </x:row>
    <x:row r="2" ht="23" customHeight="1">
      <x:c r="A2" s="6" t="s">
        <x:v>10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9"/>
    </x:row>
    <x:row r="3" ht="23" customHeight="1">
      <x:c r="A3" s="10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9"/>
    </x:row>
    <x:row r="4" ht="23" customHeight="1">
      <x:c r="A4" s="42" t="s">
        <x:v>586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9"/>
    </x:row>
    <x:row r="5" ht="36" customHeight="1">
      <x:c r="A5" s="17" t="s">
        <x:v>587</x:v>
      </x:c>
      <x:c r="B5" s="18" t="s">
        <x:v>588</x:v>
      </x:c>
      <x:c r="C5" s="18" t="s">
        <x:v>589</x:v>
      </x:c>
      <x:c r="D5" s="18" t="s">
        <x:v>590</x:v>
      </x:c>
      <x:c r="E5" s="18" t="s">
        <x:v>591</x:v>
      </x:c>
      <x:c r="F5" s="18" t="s">
        <x:v>57</x:v>
      </x:c>
      <x:c r="G5" s="18" t="s">
        <x:v>592</x:v>
      </x:c>
      <x:c r="H5" s="18" t="s">
        <x:v>593</x:v>
      </x:c>
      <x:c r="I5" s="18" t="s">
        <x:v>594</x:v>
      </x:c>
      <x:c r="J5" s="18" t="s">
        <x:v>595</x:v>
      </x:c>
      <x:c r="K5" s="18" t="s">
        <x:v>596</x:v>
      </x:c>
      <x:c r="L5" s="18" t="s">
        <x:v>597</x:v>
      </x:c>
      <x:c r="M5" s="18" t="s">
        <x:v>598</x:v>
      </x:c>
      <x:c r="N5" s="18" t="s">
        <x:v>58</x:v>
      </x:c>
      <x:c r="O5" s="18" t="s">
        <x:v>59</x:v>
      </x:c>
      <x:c r="P5" s="18" t="s">
        <x:v>599</x:v>
      </x:c>
      <x:c r="Q5" s="18" t="s">
        <x:v>62</x:v>
      </x:c>
      <x:c r="R5" s="18" t="s">
        <x:v>600</x:v>
      </x:c>
      <x:c r="S5" s="18" t="s">
        <x:v>601</x:v>
      </x:c>
      <x:c r="T5" s="18" t="s">
        <x:v>602</x:v>
      </x:c>
      <x:c r="U5" s="18" t="s">
        <x:v>603</x:v>
      </x:c>
      <x:c r="V5" s="19" t="s">
        <x:v>604</x:v>
      </x:c>
      <x:c r="W5" s="44"/>
    </x:row>
    <x:row r="6" ht="23" customHeight="1">
      <x:c r="A6" s="21" t="s">
        <x:v>605</x:v>
      </x:c>
      <x:c r="B6" s="45" t="s">
        <x:v>215</x:v>
      </x:c>
      <x:c r="C6" s="45" t="s">
        <x:v>216</x:v>
      </x:c>
      <x:c r="D6" s="45" t="s">
        <x:v>606</x:v>
      </x:c>
      <x:c r="E6" s="63" t="n">
        <x:f>2*6371000*ASIN(SQRT(MIN(1,SIN(RADIANS(U6-S6)/2)^2+COS(RADIANS(S6))*COS(RADIANS(U6))*SIN(RADIANS(V6-T6)/2)^2)))</x:f>
        <x:v>93.17504321430009</x:v>
      </x:c>
      <x:c r="F6" s="48" t="s">
        <x:v>67</x:v>
      </x:c>
      <x:c r="G6" s="48" t="s">
        <x:v>66</x:v>
      </x:c>
      <x:c r="H6" s="48" t="s">
        <x:v>66</x:v>
      </x:c>
      <x:c r="I6" s="48" t="s">
        <x:v>66</x:v>
      </x:c>
      <x:c r="J6" s="48" t="s">
        <x:v>66</x:v>
      </x:c>
      <x:c r="K6" s="64"/>
      <x:c r="L6" s="64"/>
      <x:c r="M6" s="50"/>
      <x:c r="N6" s="49"/>
      <x:c r="O6" s="50"/>
      <x:c r="P6" s="50"/>
      <x:c r="Q6" s="30">
        <x:v>2</x:v>
      </x:c>
      <x:c r="R6" s="65"/>
      <x:c r="S6" s="46" t="n">
        <x:f>INDEX('Locations'!$D$6:$D$453,MATCH(B6,'Locations'!$A$6:$A$453,0))</x:f>
        <x:v>42.7319088485206</x:v>
      </x:c>
      <x:c r="T6" s="46" t="n">
        <x:f>INDEX('Locations'!$E$6:$E$453,MATCH(B6,'Locations'!$A$6:$A$453,0))</x:f>
        <x:v>-73.6746298176746</x:v>
      </x:c>
      <x:c r="U6" s="46" t="n">
        <x:f>INDEX('Locations'!$D$6:$D$453,MATCH(C6,'Locations'!$A$6:$A$453,0))</x:f>
        <x:v>42.7327135077083</x:v>
      </x:c>
      <x:c r="V6" s="66" t="n">
        <x:f>INDEX('Locations'!$E$6:$E$453,MATCH(C6,'Locations'!$A$6:$A$453,0))</x:f>
        <x:v>-73.6743114903275</x:v>
      </x:c>
      <x:c r="W6" s="44"/>
    </x:row>
    <x:row r="7" ht="23" customHeight="1">
      <x:c r="A7" s="24" t="s">
        <x:v>607</x:v>
      </x:c>
      <x:c r="B7" s="53" t="s">
        <x:v>211</x:v>
      </x:c>
      <x:c r="C7" s="53" t="s">
        <x:v>216</x:v>
      </x:c>
      <x:c r="D7" s="53" t="s">
        <x:v>606</x:v>
      </x:c>
      <x:c r="E7" s="67" t="n">
        <x:f>2*6371000*ASIN(SQRT(MIN(1,SIN(RADIANS(U7-S7)/2)^2+COS(RADIANS(S7))*COS(RADIANS(U7))*SIN(RADIANS(V7-T7)/2)^2)))</x:f>
        <x:v>185.9925827712729</x:v>
      </x:c>
      <x:c r="F7" s="48" t="s">
        <x:v>67</x:v>
      </x:c>
      <x:c r="G7" s="48" t="s">
        <x:v>66</x:v>
      </x:c>
      <x:c r="H7" s="48" t="s">
        <x:v>66</x:v>
      </x:c>
      <x:c r="I7" s="48" t="s">
        <x:v>66</x:v>
      </x:c>
      <x:c r="J7" s="48" t="s">
        <x:v>66</x:v>
      </x:c>
      <x:c r="K7" s="64"/>
      <x:c r="L7" s="64"/>
      <x:c r="M7" s="50"/>
      <x:c r="N7" s="49"/>
      <x:c r="O7" s="50"/>
      <x:c r="P7" s="50"/>
      <x:c r="Q7" s="32">
        <x:v>3</x:v>
      </x:c>
      <x:c r="R7" s="68"/>
      <x:c r="S7" s="54" t="n">
        <x:f>INDEX('Locations'!$D$6:$D$453,MATCH(B7,'Locations'!$A$6:$A$453,0))</x:f>
        <x:v>42.7330583616459</x:v>
      </x:c>
      <x:c r="T7" s="54" t="n">
        <x:f>INDEX('Locations'!$E$6:$E$453,MATCH(B7,'Locations'!$A$6:$A$453,0))</x:f>
        <x:v>-73.6765397817569</x:v>
      </x:c>
      <x:c r="U7" s="54" t="n">
        <x:f>INDEX('Locations'!$D$6:$D$453,MATCH(C7,'Locations'!$A$6:$A$453,0))</x:f>
        <x:v>42.7327135077083</x:v>
      </x:c>
      <x:c r="V7" s="69" t="n">
        <x:f>INDEX('Locations'!$E$6:$E$453,MATCH(C7,'Locations'!$A$6:$A$453,0))</x:f>
        <x:v>-73.6743114903275</x:v>
      </x:c>
      <x:c r="W7" s="44"/>
    </x:row>
    <x:row r="8" ht="23" customHeight="1">
      <x:c r="A8" s="21" t="s">
        <x:v>608</x:v>
      </x:c>
      <x:c r="B8" s="45" t="s">
        <x:v>212</x:v>
      </x:c>
      <x:c r="C8" s="45" t="s">
        <x:v>211</x:v>
      </x:c>
      <x:c r="D8" s="45" t="s">
        <x:v>606</x:v>
      </x:c>
      <x:c r="E8" s="63" t="n">
        <x:f>2*6371000*ASIN(SQRT(MIN(1,SIN(RADIANS(U8-S8)/2)^2+COS(RADIANS(S8))*COS(RADIANS(U8))*SIN(RADIANS(V8-T8)/2)^2)))</x:f>
        <x:v>260.4318534112026</x:v>
      </x:c>
      <x:c r="F8" s="48" t="s">
        <x:v>67</x:v>
      </x:c>
      <x:c r="G8" s="48" t="s">
        <x:v>66</x:v>
      </x:c>
      <x:c r="H8" s="48" t="s">
        <x:v>66</x:v>
      </x:c>
      <x:c r="I8" s="48" t="s">
        <x:v>66</x:v>
      </x:c>
      <x:c r="J8" s="48" t="s">
        <x:v>66</x:v>
      </x:c>
      <x:c r="K8" s="64"/>
      <x:c r="L8" s="64"/>
      <x:c r="M8" s="50"/>
      <x:c r="N8" s="49"/>
      <x:c r="O8" s="50"/>
      <x:c r="P8" s="50"/>
      <x:c r="Q8" s="30">
        <x:v>4</x:v>
      </x:c>
      <x:c r="R8" s="65"/>
      <x:c r="S8" s="46" t="n">
        <x:f>INDEX('Locations'!$D$6:$D$453,MATCH(B8,'Locations'!$A$6:$A$453,0))</x:f>
        <x:v>42.7307708305265</x:v>
      </x:c>
      <x:c r="T8" s="46" t="n">
        <x:f>INDEX('Locations'!$E$6:$E$453,MATCH(B8,'Locations'!$A$6:$A$453,0))</x:f>
        <x:v>-73.6772241855531</x:v>
      </x:c>
      <x:c r="U8" s="46" t="n">
        <x:f>INDEX('Locations'!$D$6:$D$453,MATCH(C8,'Locations'!$A$6:$A$453,0))</x:f>
        <x:v>42.7330583616459</x:v>
      </x:c>
      <x:c r="V8" s="66" t="n">
        <x:f>INDEX('Locations'!$E$6:$E$453,MATCH(C8,'Locations'!$A$6:$A$453,0))</x:f>
        <x:v>-73.6765397817569</x:v>
      </x:c>
      <x:c r="W8" s="44"/>
    </x:row>
    <x:row r="9" ht="23" customHeight="1">
      <x:c r="A9" s="24" t="s">
        <x:v>609</x:v>
      </x:c>
      <x:c r="B9" s="53" t="s">
        <x:v>212</x:v>
      </x:c>
      <x:c r="C9" s="53" t="s">
        <x:v>213</x:v>
      </x:c>
      <x:c r="D9" s="53" t="s">
        <x:v>606</x:v>
      </x:c>
      <x:c r="E9" s="67" t="n">
        <x:f>2*6371000*ASIN(SQRT(MIN(1,SIN(RADIANS(U9-S9)/2)^2+COS(RADIANS(S9))*COS(RADIANS(U9))*SIN(RADIANS(V9-T9)/2)^2)))</x:f>
        <x:v>83.09953333025872</x:v>
      </x:c>
      <x:c r="F9" s="48" t="s">
        <x:v>67</x:v>
      </x:c>
      <x:c r="G9" s="48" t="s">
        <x:v>66</x:v>
      </x:c>
      <x:c r="H9" s="48" t="s">
        <x:v>66</x:v>
      </x:c>
      <x:c r="I9" s="48" t="s">
        <x:v>66</x:v>
      </x:c>
      <x:c r="J9" s="48" t="s">
        <x:v>66</x:v>
      </x:c>
      <x:c r="K9" s="64"/>
      <x:c r="L9" s="64"/>
      <x:c r="M9" s="50"/>
      <x:c r="N9" s="49"/>
      <x:c r="O9" s="50"/>
      <x:c r="P9" s="50"/>
      <x:c r="Q9" s="32">
        <x:v>5</x:v>
      </x:c>
      <x:c r="R9" s="68"/>
      <x:c r="S9" s="54" t="n">
        <x:f>INDEX('Locations'!$D$6:$D$453,MATCH(B9,'Locations'!$A$6:$A$453,0))</x:f>
        <x:v>42.7307708305265</x:v>
      </x:c>
      <x:c r="T9" s="54" t="n">
        <x:f>INDEX('Locations'!$E$6:$E$453,MATCH(B9,'Locations'!$A$6:$A$453,0))</x:f>
        <x:v>-73.6772241855531</x:v>
      </x:c>
      <x:c r="U9" s="54" t="n">
        <x:f>INDEX('Locations'!$D$6:$D$453,MATCH(C9,'Locations'!$A$6:$A$453,0))</x:f>
        <x:v>42.7306443840828</x:v>
      </x:c>
      <x:c r="V9" s="69" t="n">
        <x:f>INDEX('Locations'!$E$6:$E$453,MATCH(C9,'Locations'!$A$6:$A$453,0))</x:f>
        <x:v>-73.6762214544098</x:v>
      </x:c>
      <x:c r="W9" s="44"/>
    </x:row>
    <x:row r="10" ht="23" customHeight="1">
      <x:c r="A10" s="21" t="s">
        <x:v>610</x:v>
      </x:c>
      <x:c r="B10" s="45" t="s">
        <x:v>214</x:v>
      </x:c>
      <x:c r="C10" s="45" t="s">
        <x:v>213</x:v>
      </x:c>
      <x:c r="D10" s="45" t="s">
        <x:v>606</x:v>
      </x:c>
      <x:c r="E10" s="63" t="n">
        <x:f>2*6371000*ASIN(SQRT(MIN(1,SIN(RADIANS(U10-S10)/2)^2+COS(RADIANS(S10))*COS(RADIANS(U10))*SIN(RADIANS(V10-T10)/2)^2)))</x:f>
        <x:v>57.399965976720885</x:v>
      </x:c>
      <x:c r="F10" s="48" t="s">
        <x:v>67</x:v>
      </x:c>
      <x:c r="G10" s="48" t="s">
        <x:v>66</x:v>
      </x:c>
      <x:c r="H10" s="48" t="s">
        <x:v>66</x:v>
      </x:c>
      <x:c r="I10" s="48" t="s">
        <x:v>66</x:v>
      </x:c>
      <x:c r="J10" s="48" t="s">
        <x:v>66</x:v>
      </x:c>
      <x:c r="K10" s="64"/>
      <x:c r="L10" s="64"/>
      <x:c r="M10" s="50"/>
      <x:c r="N10" s="49"/>
      <x:c r="O10" s="50"/>
      <x:c r="P10" s="50"/>
      <x:c r="Q10" s="30">
        <x:v>6</x:v>
      </x:c>
      <x:c r="R10" s="65"/>
      <x:c r="S10" s="46" t="n">
        <x:f>INDEX('Locations'!$D$6:$D$453,MATCH(B10,'Locations'!$A$6:$A$453,0))</x:f>
        <x:v>42.7309432574953</x:v>
      </x:c>
      <x:c r="T10" s="46" t="n">
        <x:f>INDEX('Locations'!$E$6:$E$453,MATCH(B10,'Locations'!$A$6:$A$453,0))</x:f>
        <x:v>-73.6756484651851</x:v>
      </x:c>
      <x:c r="U10" s="46" t="n">
        <x:f>INDEX('Locations'!$D$6:$D$453,MATCH(C10,'Locations'!$A$6:$A$453,0))</x:f>
        <x:v>42.7306443840828</x:v>
      </x:c>
      <x:c r="V10" s="66" t="n">
        <x:f>INDEX('Locations'!$E$6:$E$453,MATCH(C10,'Locations'!$A$6:$A$453,0))</x:f>
        <x:v>-73.6762214544098</x:v>
      </x:c>
      <x:c r="W10" s="44"/>
    </x:row>
    <x:row r="11" ht="23" customHeight="1">
      <x:c r="A11" s="24" t="s">
        <x:v>611</x:v>
      </x:c>
      <x:c r="B11" s="53" t="s">
        <x:v>215</x:v>
      </x:c>
      <x:c r="C11" s="53" t="s">
        <x:v>218</x:v>
      </x:c>
      <x:c r="D11" s="53" t="s">
        <x:v>606</x:v>
      </x:c>
      <x:c r="E11" s="67" t="n">
        <x:f>2*6371000*ASIN(SQRT(MIN(1,SIN(RADIANS(U11-S11)/2)^2+COS(RADIANS(S11))*COS(RADIANS(U11))*SIN(RADIANS(V11-T11)/2)^2)))</x:f>
        <x:v>68.32304055106395</x:v>
      </x:c>
      <x:c r="F11" s="48" t="s">
        <x:v>67</x:v>
      </x:c>
      <x:c r="G11" s="48" t="s">
        <x:v>66</x:v>
      </x:c>
      <x:c r="H11" s="48" t="s">
        <x:v>66</x:v>
      </x:c>
      <x:c r="I11" s="48" t="s">
        <x:v>66</x:v>
      </x:c>
      <x:c r="J11" s="48" t="s">
        <x:v>66</x:v>
      </x:c>
      <x:c r="K11" s="64"/>
      <x:c r="L11" s="64"/>
      <x:c r="M11" s="50"/>
      <x:c r="N11" s="49"/>
      <x:c r="O11" s="50"/>
      <x:c r="P11" s="50"/>
      <x:c r="Q11" s="32">
        <x:v>7</x:v>
      </x:c>
      <x:c r="R11" s="68"/>
      <x:c r="S11" s="54" t="n">
        <x:f>INDEX('Locations'!$D$6:$D$453,MATCH(B11,'Locations'!$A$6:$A$453,0))</x:f>
        <x:v>42.7319088485206</x:v>
      </x:c>
      <x:c r="T11" s="54" t="n">
        <x:f>INDEX('Locations'!$E$6:$E$453,MATCH(B11,'Locations'!$A$6:$A$453,0))</x:f>
        <x:v>-73.6746298176746</x:v>
      </x:c>
      <x:c r="U11" s="54" t="n">
        <x:f>INDEX('Locations'!$D$6:$D$453,MATCH(C11,'Locations'!$A$6:$A$453,0))</x:f>
        <x:v>42.7313455870892</x:v>
      </x:c>
      <x:c r="V11" s="69" t="n">
        <x:f>INDEX('Locations'!$E$6:$E$453,MATCH(C11,'Locations'!$A$6:$A$453,0))</x:f>
        <x:v>-73.6742955739602</x:v>
      </x:c>
      <x:c r="W11" s="44"/>
    </x:row>
    <x:row r="12" ht="23" customHeight="1">
      <x:c r="A12" s="21" t="s">
        <x:v>612</x:v>
      </x:c>
      <x:c r="B12" s="45" t="s">
        <x:v>217</x:v>
      </x:c>
      <x:c r="C12" s="45" t="s">
        <x:v>218</x:v>
      </x:c>
      <x:c r="D12" s="45" t="s">
        <x:v>606</x:v>
      </x:c>
      <x:c r="E12" s="63" t="n">
        <x:f>2*6371000*ASIN(SQRT(MIN(1,SIN(RADIANS(U12-S12)/2)^2+COS(RADIANS(S12))*COS(RADIANS(U12))*SIN(RADIANS(V12-T12)/2)^2)))</x:f>
        <x:v>63.12786717963696</x:v>
      </x:c>
      <x:c r="F12" s="48" t="s">
        <x:v>67</x:v>
      </x:c>
      <x:c r="G12" s="48" t="s">
        <x:v>66</x:v>
      </x:c>
      <x:c r="H12" s="48" t="s">
        <x:v>66</x:v>
      </x:c>
      <x:c r="I12" s="48" t="s">
        <x:v>66</x:v>
      </x:c>
      <x:c r="J12" s="48" t="s">
        <x:v>66</x:v>
      </x:c>
      <x:c r="K12" s="64"/>
      <x:c r="L12" s="64"/>
      <x:c r="M12" s="50"/>
      <x:c r="N12" s="49"/>
      <x:c r="O12" s="50"/>
      <x:c r="P12" s="50"/>
      <x:c r="Q12" s="30">
        <x:v>8</x:v>
      </x:c>
      <x:c r="R12" s="65"/>
      <x:c r="S12" s="46" t="n">
        <x:f>INDEX('Locations'!$D$6:$D$453,MATCH(B12,'Locations'!$A$6:$A$453,0))</x:f>
        <x:v>42.7309145196672</x:v>
      </x:c>
      <x:c r="T12" s="46" t="n">
        <x:f>INDEX('Locations'!$E$6:$E$453,MATCH(B12,'Locations'!$A$6:$A$453,0))</x:f>
        <x:v>-73.6737926167518</x:v>
      </x:c>
      <x:c r="U12" s="46" t="n">
        <x:f>INDEX('Locations'!$D$6:$D$453,MATCH(C12,'Locations'!$A$6:$A$453,0))</x:f>
        <x:v>42.7313455870892</x:v>
      </x:c>
      <x:c r="V12" s="66" t="n">
        <x:f>INDEX('Locations'!$E$6:$E$453,MATCH(C12,'Locations'!$A$6:$A$453,0))</x:f>
        <x:v>-73.6742955739602</x:v>
      </x:c>
      <x:c r="W12" s="44"/>
    </x:row>
    <x:row r="13" ht="23" customHeight="1">
      <x:c r="A13" s="24" t="s">
        <x:v>613</x:v>
      </x:c>
      <x:c r="B13" s="53" t="s">
        <x:v>220</x:v>
      </x:c>
      <x:c r="C13" s="53" t="s">
        <x:v>217</x:v>
      </x:c>
      <x:c r="D13" s="53" t="s">
        <x:v>606</x:v>
      </x:c>
      <x:c r="E13" s="67" t="n">
        <x:f>2*6371000*ASIN(SQRT(MIN(1,SIN(RADIANS(U13-S13)/2)^2+COS(RADIANS(S13))*COS(RADIANS(U13))*SIN(RADIANS(V13-T13)/2)^2)))</x:f>
        <x:v>66.00215661610221</x:v>
      </x:c>
      <x:c r="F13" s="48" t="s">
        <x:v>67</x:v>
      </x:c>
      <x:c r="G13" s="48" t="s">
        <x:v>66</x:v>
      </x:c>
      <x:c r="H13" s="48" t="s">
        <x:v>66</x:v>
      </x:c>
      <x:c r="I13" s="48" t="s">
        <x:v>66</x:v>
      </x:c>
      <x:c r="J13" s="48" t="s">
        <x:v>66</x:v>
      </x:c>
      <x:c r="K13" s="64"/>
      <x:c r="L13" s="64"/>
      <x:c r="M13" s="50"/>
      <x:c r="N13" s="49"/>
      <x:c r="O13" s="50"/>
      <x:c r="P13" s="50"/>
      <x:c r="Q13" s="32">
        <x:v>9</x:v>
      </x:c>
      <x:c r="R13" s="68"/>
      <x:c r="S13" s="54" t="n">
        <x:f>INDEX('Locations'!$D$6:$D$453,MATCH(B13,'Locations'!$A$6:$A$453,0))</x:f>
        <x:v>42.7311271795954</x:v>
      </x:c>
      <x:c r="T13" s="54" t="n">
        <x:f>INDEX('Locations'!$E$6:$E$453,MATCH(B13,'Locations'!$A$6:$A$453,0))</x:f>
        <x:v>-73.6730381809393</x:v>
      </x:c>
      <x:c r="U13" s="54" t="n">
        <x:f>INDEX('Locations'!$D$6:$D$453,MATCH(C13,'Locations'!$A$6:$A$453,0))</x:f>
        <x:v>42.7309145196672</x:v>
      </x:c>
      <x:c r="V13" s="69" t="n">
        <x:f>INDEX('Locations'!$E$6:$E$453,MATCH(C13,'Locations'!$A$6:$A$453,0))</x:f>
        <x:v>-73.6737926167518</x:v>
      </x:c>
      <x:c r="W13" s="44"/>
    </x:row>
    <x:row r="14" ht="23" customHeight="1">
      <x:c r="A14" s="21" t="s">
        <x:v>614</x:v>
      </x:c>
      <x:c r="B14" s="45" t="s">
        <x:v>220</x:v>
      </x:c>
      <x:c r="C14" s="45" t="s">
        <x:v>219</x:v>
      </x:c>
      <x:c r="D14" s="45" t="s">
        <x:v>606</x:v>
      </x:c>
      <x:c r="E14" s="63" t="n">
        <x:f>2*6371000*ASIN(SQRT(MIN(1,SIN(RADIANS(U14-S14)/2)^2+COS(RADIANS(S14))*COS(RADIANS(U14))*SIN(RADIANS(V14-T14)/2)^2)))</x:f>
        <x:v>93.56665271114854</x:v>
      </x:c>
      <x:c r="F14" s="48" t="s">
        <x:v>67</x:v>
      </x:c>
      <x:c r="G14" s="48" t="s">
        <x:v>66</x:v>
      </x:c>
      <x:c r="H14" s="48" t="s">
        <x:v>66</x:v>
      </x:c>
      <x:c r="I14" s="48" t="s">
        <x:v>66</x:v>
      </x:c>
      <x:c r="J14" s="48" t="s">
        <x:v>66</x:v>
      </x:c>
      <x:c r="K14" s="64"/>
      <x:c r="L14" s="64"/>
      <x:c r="M14" s="50"/>
      <x:c r="N14" s="49"/>
      <x:c r="O14" s="50"/>
      <x:c r="P14" s="50"/>
      <x:c r="Q14" s="30">
        <x:v>10</x:v>
      </x:c>
      <x:c r="R14" s="65"/>
      <x:c r="S14" s="46" t="n">
        <x:f>INDEX('Locations'!$D$6:$D$453,MATCH(B14,'Locations'!$A$6:$A$453,0))</x:f>
        <x:v>42.7311271795954</x:v>
      </x:c>
      <x:c r="T14" s="46" t="n">
        <x:f>INDEX('Locations'!$E$6:$E$453,MATCH(B14,'Locations'!$A$6:$A$453,0))</x:f>
        <x:v>-73.6730381809393</x:v>
      </x:c>
      <x:c r="U14" s="46" t="n">
        <x:f>INDEX('Locations'!$D$6:$D$453,MATCH(C14,'Locations'!$A$6:$A$453,0))</x:f>
        <x:v>42.7312651211704</x:v>
      </x:c>
      <x:c r="V14" s="66" t="n">
        <x:f>INDEX('Locations'!$E$6:$E$453,MATCH(C14,'Locations'!$A$6:$A$453,0))</x:f>
        <x:v>-73.6719081188573</x:v>
      </x:c>
      <x:c r="W14" s="44"/>
    </x:row>
    <x:row r="15" ht="23" customHeight="1">
      <x:c r="A15" s="24" t="s">
        <x:v>615</x:v>
      </x:c>
      <x:c r="B15" s="53" t="s">
        <x:v>208</x:v>
      </x:c>
      <x:c r="C15" s="53" t="s">
        <x:v>221</x:v>
      </x:c>
      <x:c r="D15" s="53" t="s">
        <x:v>606</x:v>
      </x:c>
      <x:c r="E15" s="67" t="n">
        <x:f>2*6371000*ASIN(SQRT(MIN(1,SIN(RADIANS(U15-S15)/2)^2+COS(RADIANS(S15))*COS(RADIANS(U15))*SIN(RADIANS(V15-T15)/2)^2)))</x:f>
        <x:v>87.55740641144678</x:v>
      </x:c>
      <x:c r="F15" s="48" t="s">
        <x:v>67</x:v>
      </x:c>
      <x:c r="G15" s="48" t="s">
        <x:v>66</x:v>
      </x:c>
      <x:c r="H15" s="48" t="s">
        <x:v>66</x:v>
      </x:c>
      <x:c r="I15" s="48" t="s">
        <x:v>66</x:v>
      </x:c>
      <x:c r="J15" s="48" t="s">
        <x:v>66</x:v>
      </x:c>
      <x:c r="K15" s="64"/>
      <x:c r="L15" s="64"/>
      <x:c r="M15" s="50"/>
      <x:c r="N15" s="49"/>
      <x:c r="O15" s="50"/>
      <x:c r="P15" s="50"/>
      <x:c r="Q15" s="32">
        <x:v>11</x:v>
      </x:c>
      <x:c r="R15" s="68"/>
      <x:c r="S15" s="54" t="n">
        <x:f>INDEX('Locations'!$D$6:$D$453,MATCH(B15,'Locations'!$A$6:$A$453,0))</x:f>
        <x:v>42.732426129427</x:v>
      </x:c>
      <x:c r="T15" s="54" t="n">
        <x:f>INDEX('Locations'!$E$6:$E$453,MATCH(B15,'Locations'!$A$6:$A$453,0))</x:f>
        <x:v>-73.6716057078776</x:v>
      </x:c>
      <x:c r="U15" s="54" t="n">
        <x:f>INDEX('Locations'!$D$6:$D$453,MATCH(C15,'Locations'!$A$6:$A$453,0))</x:f>
        <x:v>42.7325065953458</x:v>
      </x:c>
      <x:c r="V15" s="69" t="n">
        <x:f>INDEX('Locations'!$E$6:$E$453,MATCH(C15,'Locations'!$A$6:$A$453,0))</x:f>
        <x:v>-73.6726721044902</x:v>
      </x:c>
      <x:c r="W15" s="44"/>
    </x:row>
    <x:row r="16" ht="23" customHeight="1">
      <x:c r="A16" s="21" t="s">
        <x:v>616</x:v>
      </x:c>
      <x:c r="B16" s="45" t="s">
        <x:v>216</x:v>
      </x:c>
      <x:c r="C16" s="45" t="s">
        <x:v>221</x:v>
      </x:c>
      <x:c r="D16" s="45" t="s">
        <x:v>606</x:v>
      </x:c>
      <x:c r="E16" s="63" t="n">
        <x:f>2*6371000*ASIN(SQRT(MIN(1,SIN(RADIANS(U16-S16)/2)^2+COS(RADIANS(S16))*COS(RADIANS(U16))*SIN(RADIANS(V16-T16)/2)^2)))</x:f>
        <x:v>135.86052818164544</x:v>
      </x:c>
      <x:c r="F16" s="48" t="s">
        <x:v>67</x:v>
      </x:c>
      <x:c r="G16" s="48" t="s">
        <x:v>66</x:v>
      </x:c>
      <x:c r="H16" s="48" t="s">
        <x:v>66</x:v>
      </x:c>
      <x:c r="I16" s="48" t="s">
        <x:v>66</x:v>
      </x:c>
      <x:c r="J16" s="48" t="s">
        <x:v>66</x:v>
      </x:c>
      <x:c r="K16" s="64"/>
      <x:c r="L16" s="64"/>
      <x:c r="M16" s="50"/>
      <x:c r="N16" s="49"/>
      <x:c r="O16" s="50"/>
      <x:c r="P16" s="50"/>
      <x:c r="Q16" s="30">
        <x:v>12</x:v>
      </x:c>
      <x:c r="R16" s="65"/>
      <x:c r="S16" s="46" t="n">
        <x:f>INDEX('Locations'!$D$6:$D$453,MATCH(B16,'Locations'!$A$6:$A$453,0))</x:f>
        <x:v>42.7327135077083</x:v>
      </x:c>
      <x:c r="T16" s="46" t="n">
        <x:f>INDEX('Locations'!$E$6:$E$453,MATCH(B16,'Locations'!$A$6:$A$453,0))</x:f>
        <x:v>-73.6743114903275</x:v>
      </x:c>
      <x:c r="U16" s="46" t="n">
        <x:f>INDEX('Locations'!$D$6:$D$453,MATCH(C16,'Locations'!$A$6:$A$453,0))</x:f>
        <x:v>42.7325065953458</x:v>
      </x:c>
      <x:c r="V16" s="66" t="n">
        <x:f>INDEX('Locations'!$E$6:$E$453,MATCH(C16,'Locations'!$A$6:$A$453,0))</x:f>
        <x:v>-73.6726721044902</x:v>
      </x:c>
      <x:c r="W16" s="44"/>
    </x:row>
    <x:row r="17" ht="23" customHeight="1">
      <x:c r="A17" s="24" t="s">
        <x:v>617</x:v>
      </x:c>
      <x:c r="B17" s="53" t="s">
        <x:v>215</x:v>
      </x:c>
      <x:c r="C17" s="53" t="s">
        <x:v>222</x:v>
      </x:c>
      <x:c r="D17" s="53" t="s">
        <x:v>606</x:v>
      </x:c>
      <x:c r="E17" s="67" t="n">
        <x:f>2*6371000*ASIN(SQRT(MIN(1,SIN(RADIANS(U17-S17)/2)^2+COS(RADIANS(S17))*COS(RADIANS(U17))*SIN(RADIANS(V17-T17)/2)^2)))</x:f>
        <x:v>71.62445421410469</x:v>
      </x:c>
      <x:c r="F17" s="48" t="s">
        <x:v>67</x:v>
      </x:c>
      <x:c r="G17" s="48" t="s">
        <x:v>66</x:v>
      </x:c>
      <x:c r="H17" s="48" t="s">
        <x:v>66</x:v>
      </x:c>
      <x:c r="I17" s="48" t="s">
        <x:v>66</x:v>
      </x:c>
      <x:c r="J17" s="48" t="s">
        <x:v>66</x:v>
      </x:c>
      <x:c r="K17" s="64"/>
      <x:c r="L17" s="64"/>
      <x:c r="M17" s="50"/>
      <x:c r="N17" s="49"/>
      <x:c r="O17" s="50"/>
      <x:c r="P17" s="50"/>
      <x:c r="Q17" s="32">
        <x:v>13</x:v>
      </x:c>
      <x:c r="R17" s="68"/>
      <x:c r="S17" s="54" t="n">
        <x:f>INDEX('Locations'!$D$6:$D$453,MATCH(B17,'Locations'!$A$6:$A$453,0))</x:f>
        <x:v>42.7319088485206</x:v>
      </x:c>
      <x:c r="T17" s="54" t="n">
        <x:f>INDEX('Locations'!$E$6:$E$453,MATCH(B17,'Locations'!$A$6:$A$453,0))</x:f>
        <x:v>-73.6746298176746</x:v>
      </x:c>
      <x:c r="U17" s="54" t="n">
        <x:f>INDEX('Locations'!$D$6:$D$453,MATCH(C17,'Locations'!$A$6:$A$453,0))</x:f>
        <x:v>42.7313685773517</x:v>
      </x:c>
      <x:c r="V17" s="69" t="n">
        <x:f>INDEX('Locations'!$E$6:$E$453,MATCH(C17,'Locations'!$A$6:$A$453,0))</x:f>
        <x:v>-73.6751073086951</x:v>
      </x:c>
      <x:c r="W17" s="44"/>
    </x:row>
    <x:row r="18" ht="23" customHeight="1">
      <x:c r="A18" s="21" t="s">
        <x:v>618</x:v>
      </x:c>
      <x:c r="B18" s="45" t="s">
        <x:v>214</x:v>
      </x:c>
      <x:c r="C18" s="45" t="s">
        <x:v>222</x:v>
      </x:c>
      <x:c r="D18" s="45" t="s">
        <x:v>606</x:v>
      </x:c>
      <x:c r="E18" s="63" t="n">
        <x:f>2*6371000*ASIN(SQRT(MIN(1,SIN(RADIANS(U18-S18)/2)^2+COS(RADIANS(S18))*COS(RADIANS(U18))*SIN(RADIANS(V18-T18)/2)^2)))</x:f>
        <x:v>64.73288429654447</x:v>
      </x:c>
      <x:c r="F18" s="48" t="s">
        <x:v>67</x:v>
      </x:c>
      <x:c r="G18" s="48" t="s">
        <x:v>66</x:v>
      </x:c>
      <x:c r="H18" s="48" t="s">
        <x:v>66</x:v>
      </x:c>
      <x:c r="I18" s="48" t="s">
        <x:v>66</x:v>
      </x:c>
      <x:c r="J18" s="48" t="s">
        <x:v>66</x:v>
      </x:c>
      <x:c r="K18" s="64"/>
      <x:c r="L18" s="64"/>
      <x:c r="M18" s="50"/>
      <x:c r="N18" s="49"/>
      <x:c r="O18" s="50"/>
      <x:c r="P18" s="50"/>
      <x:c r="Q18" s="30">
        <x:v>14</x:v>
      </x:c>
      <x:c r="R18" s="65"/>
      <x:c r="S18" s="46" t="n">
        <x:f>INDEX('Locations'!$D$6:$D$453,MATCH(B18,'Locations'!$A$6:$A$453,0))</x:f>
        <x:v>42.7309432574953</x:v>
      </x:c>
      <x:c r="T18" s="46" t="n">
        <x:f>INDEX('Locations'!$E$6:$E$453,MATCH(B18,'Locations'!$A$6:$A$453,0))</x:f>
        <x:v>-73.6756484651851</x:v>
      </x:c>
      <x:c r="U18" s="46" t="n">
        <x:f>INDEX('Locations'!$D$6:$D$453,MATCH(C18,'Locations'!$A$6:$A$453,0))</x:f>
        <x:v>42.7313685773517</x:v>
      </x:c>
      <x:c r="V18" s="66" t="n">
        <x:f>INDEX('Locations'!$E$6:$E$453,MATCH(C18,'Locations'!$A$6:$A$453,0))</x:f>
        <x:v>-73.6751073086951</x:v>
      </x:c>
      <x:c r="W18" s="44"/>
    </x:row>
    <x:row r="19" ht="23" customHeight="1">
      <x:c r="A19" s="24" t="s">
        <x:v>619</x:v>
      </x:c>
      <x:c r="B19" s="53" t="s">
        <x:v>217</x:v>
      </x:c>
      <x:c r="C19" s="53" t="s">
        <x:v>223</x:v>
      </x:c>
      <x:c r="D19" s="53" t="s">
        <x:v>606</x:v>
      </x:c>
      <x:c r="E19" s="67" t="n">
        <x:f>2*6371000*ASIN(SQRT(MIN(1,SIN(RADIANS(U19-S19)/2)^2+COS(RADIANS(S19))*COS(RADIANS(U19))*SIN(RADIANS(V19-T19)/2)^2)))</x:f>
        <x:v>40.388885028394895</x:v>
      </x:c>
      <x:c r="F19" s="48" t="s">
        <x:v>67</x:v>
      </x:c>
      <x:c r="G19" s="48" t="s">
        <x:v>66</x:v>
      </x:c>
      <x:c r="H19" s="48" t="s">
        <x:v>66</x:v>
      </x:c>
      <x:c r="I19" s="48" t="s">
        <x:v>66</x:v>
      </x:c>
      <x:c r="J19" s="48" t="s">
        <x:v>66</x:v>
      </x:c>
      <x:c r="K19" s="64"/>
      <x:c r="L19" s="64"/>
      <x:c r="M19" s="50"/>
      <x:c r="N19" s="49"/>
      <x:c r="O19" s="50"/>
      <x:c r="P19" s="50"/>
      <x:c r="Q19" s="32">
        <x:v>15</x:v>
      </x:c>
      <x:c r="R19" s="68"/>
      <x:c r="S19" s="54" t="n">
        <x:f>INDEX('Locations'!$D$6:$D$453,MATCH(B19,'Locations'!$A$6:$A$453,0))</x:f>
        <x:v>42.7309145196672</x:v>
      </x:c>
      <x:c r="T19" s="54" t="n">
        <x:f>INDEX('Locations'!$E$6:$E$453,MATCH(B19,'Locations'!$A$6:$A$453,0))</x:f>
        <x:v>-73.6737926167518</x:v>
      </x:c>
      <x:c r="U19" s="54" t="n">
        <x:f>INDEX('Locations'!$D$6:$D$453,MATCH(C19,'Locations'!$A$6:$A$453,0))</x:f>
        <x:v>42.7306053006365</x:v>
      </x:c>
      <x:c r="V19" s="69" t="n">
        <x:f>INDEX('Locations'!$E$6:$E$453,MATCH(C19,'Locations'!$A$6:$A$453,0))</x:f>
        <x:v>-73.6740520535397</x:v>
      </x:c>
      <x:c r="W19" s="44"/>
    </x:row>
    <x:row r="20" ht="23" customHeight="1">
      <x:c r="A20" s="21" t="s">
        <x:v>620</x:v>
      </x:c>
      <x:c r="B20" s="45" t="s">
        <x:v>224</x:v>
      </x:c>
      <x:c r="C20" s="45" t="s">
        <x:v>223</x:v>
      </x:c>
      <x:c r="D20" s="45" t="s">
        <x:v>606</x:v>
      </x:c>
      <x:c r="E20" s="63" t="n">
        <x:f>2*6371000*ASIN(SQRT(MIN(1,SIN(RADIANS(U20-S20)/2)^2+COS(RADIANS(S20))*COS(RADIANS(U20))*SIN(RADIANS(V20-T20)/2)^2)))</x:f>
        <x:v>47.858914634928695</x:v>
      </x:c>
      <x:c r="F20" s="48" t="s">
        <x:v>67</x:v>
      </x:c>
      <x:c r="G20" s="48" t="s">
        <x:v>66</x:v>
      </x:c>
      <x:c r="H20" s="48" t="s">
        <x:v>66</x:v>
      </x:c>
      <x:c r="I20" s="48" t="s">
        <x:v>66</x:v>
      </x:c>
      <x:c r="J20" s="48" t="s">
        <x:v>66</x:v>
      </x:c>
      <x:c r="K20" s="64"/>
      <x:c r="L20" s="64"/>
      <x:c r="M20" s="50"/>
      <x:c r="N20" s="49"/>
      <x:c r="O20" s="50"/>
      <x:c r="P20" s="50"/>
      <x:c r="Q20" s="30">
        <x:v>16</x:v>
      </x:c>
      <x:c r="R20" s="65"/>
      <x:c r="S20" s="46" t="n">
        <x:f>INDEX('Locations'!$D$6:$D$453,MATCH(B20,'Locations'!$A$6:$A$453,0))</x:f>
        <x:v>42.7304294251283</x:v>
      </x:c>
      <x:c r="T20" s="46" t="n">
        <x:f>INDEX('Locations'!$E$6:$E$453,MATCH(B20,'Locations'!$A$6:$A$453,0))</x:f>
        <x:v>-73.6745868434827</x:v>
      </x:c>
      <x:c r="U20" s="46" t="n">
        <x:f>INDEX('Locations'!$D$6:$D$453,MATCH(C20,'Locations'!$A$6:$A$453,0))</x:f>
        <x:v>42.7306053006365</x:v>
      </x:c>
      <x:c r="V20" s="66" t="n">
        <x:f>INDEX('Locations'!$E$6:$E$453,MATCH(C20,'Locations'!$A$6:$A$453,0))</x:f>
        <x:v>-73.6740520535397</x:v>
      </x:c>
      <x:c r="W20" s="44"/>
    </x:row>
    <x:row r="21" ht="23" customHeight="1">
      <x:c r="A21" s="24" t="s">
        <x:v>621</x:v>
      </x:c>
      <x:c r="B21" s="53" t="s">
        <x:v>225</x:v>
      </x:c>
      <x:c r="C21" s="53" t="s">
        <x:v>224</x:v>
      </x:c>
      <x:c r="D21" s="53" t="s">
        <x:v>606</x:v>
      </x:c>
      <x:c r="E21" s="67" t="n">
        <x:f>2*6371000*ASIN(SQRT(MIN(1,SIN(RADIANS(U21-S21)/2)^2+COS(RADIANS(S21))*COS(RADIANS(U21))*SIN(RADIANS(V21-T21)/2)^2)))</x:f>
        <x:v>14.23433803703263</x:v>
      </x:c>
      <x:c r="F21" s="48" t="s">
        <x:v>67</x:v>
      </x:c>
      <x:c r="G21" s="48" t="s">
        <x:v>66</x:v>
      </x:c>
      <x:c r="H21" s="48" t="s">
        <x:v>66</x:v>
      </x:c>
      <x:c r="I21" s="48" t="s">
        <x:v>66</x:v>
      </x:c>
      <x:c r="J21" s="48" t="s">
        <x:v>66</x:v>
      </x:c>
      <x:c r="K21" s="64"/>
      <x:c r="L21" s="64"/>
      <x:c r="M21" s="50"/>
      <x:c r="N21" s="49"/>
      <x:c r="O21" s="50"/>
      <x:c r="P21" s="50"/>
      <x:c r="Q21" s="32">
        <x:v>17</x:v>
      </x:c>
      <x:c r="R21" s="68"/>
      <x:c r="S21" s="54" t="n">
        <x:f>INDEX('Locations'!$D$6:$D$453,MATCH(B21,'Locations'!$A$6:$A$453,0))</x:f>
        <x:v>42.7303340155389</x:v>
      </x:c>
      <x:c r="T21" s="54" t="n">
        <x:f>INDEX('Locations'!$E$6:$E$453,MATCH(B21,'Locations'!$A$6:$A$453,0))</x:f>
        <x:v>-73.6747030329644</x:v>
      </x:c>
      <x:c r="U21" s="54" t="n">
        <x:f>INDEX('Locations'!$D$6:$D$453,MATCH(C21,'Locations'!$A$6:$A$453,0))</x:f>
        <x:v>42.7304294251283</x:v>
      </x:c>
      <x:c r="V21" s="69" t="n">
        <x:f>INDEX('Locations'!$E$6:$E$453,MATCH(C21,'Locations'!$A$6:$A$453,0))</x:f>
        <x:v>-73.6745868434827</x:v>
      </x:c>
      <x:c r="W21" s="44"/>
    </x:row>
    <x:row r="22" ht="23" customHeight="1">
      <x:c r="A22" s="21" t="s">
        <x:v>622</x:v>
      </x:c>
      <x:c r="B22" s="45" t="s">
        <x:v>213</x:v>
      </x:c>
      <x:c r="C22" s="45" t="s">
        <x:v>227</x:v>
      </x:c>
      <x:c r="D22" s="45" t="s">
        <x:v>606</x:v>
      </x:c>
      <x:c r="E22" s="63" t="n">
        <x:f>2*6371000*ASIN(SQRT(MIN(1,SIN(RADIANS(U22-S22)/2)^2+COS(RADIANS(S22))*COS(RADIANS(U22))*SIN(RADIANS(V22-T22)/2)^2)))</x:f>
        <x:v>47.60061270559</x:v>
      </x:c>
      <x:c r="F22" s="48" t="s">
        <x:v>67</x:v>
      </x:c>
      <x:c r="G22" s="48" t="s">
        <x:v>66</x:v>
      </x:c>
      <x:c r="H22" s="48" t="s">
        <x:v>66</x:v>
      </x:c>
      <x:c r="I22" s="48" t="s">
        <x:v>66</x:v>
      </x:c>
      <x:c r="J22" s="48" t="s">
        <x:v>66</x:v>
      </x:c>
      <x:c r="K22" s="64"/>
      <x:c r="L22" s="64"/>
      <x:c r="M22" s="50"/>
      <x:c r="N22" s="49"/>
      <x:c r="O22" s="50"/>
      <x:c r="P22" s="50"/>
      <x:c r="Q22" s="30">
        <x:v>18</x:v>
      </x:c>
      <x:c r="R22" s="65"/>
      <x:c r="S22" s="46" t="n">
        <x:f>INDEX('Locations'!$D$6:$D$453,MATCH(B22,'Locations'!$A$6:$A$453,0))</x:f>
        <x:v>42.7306443840828</x:v>
      </x:c>
      <x:c r="T22" s="46" t="n">
        <x:f>INDEX('Locations'!$E$6:$E$453,MATCH(B22,'Locations'!$A$6:$A$453,0))</x:f>
        <x:v>-73.6762214544098</x:v>
      </x:c>
      <x:c r="U22" s="46" t="n">
        <x:f>INDEX('Locations'!$D$6:$D$453,MATCH(C22,'Locations'!$A$6:$A$453,0))</x:f>
        <x:v>42.7303075767371</x:v>
      </x:c>
      <x:c r="V22" s="66" t="n">
        <x:f>INDEX('Locations'!$E$6:$E$453,MATCH(C22,'Locations'!$A$6:$A$453,0))</x:f>
        <x:v>-73.6758617445077</x:v>
      </x:c>
      <x:c r="W22" s="44"/>
    </x:row>
    <x:row r="23" ht="23" customHeight="1">
      <x:c r="A23" s="24" t="s">
        <x:v>623</x:v>
      </x:c>
      <x:c r="B23" s="53" t="s">
        <x:v>226</x:v>
      </x:c>
      <x:c r="C23" s="53" t="s">
        <x:v>227</x:v>
      </x:c>
      <x:c r="D23" s="53" t="s">
        <x:v>606</x:v>
      </x:c>
      <x:c r="E23" s="67" t="n">
        <x:f>2*6371000*ASIN(SQRT(MIN(1,SIN(RADIANS(U23-S23)/2)^2+COS(RADIANS(S23))*COS(RADIANS(U23))*SIN(RADIANS(V23-T23)/2)^2)))</x:f>
        <x:v>71.84014736489036</x:v>
      </x:c>
      <x:c r="F23" s="48" t="s">
        <x:v>67</x:v>
      </x:c>
      <x:c r="G23" s="48" t="s">
        <x:v>66</x:v>
      </x:c>
      <x:c r="H23" s="48" t="s">
        <x:v>66</x:v>
      </x:c>
      <x:c r="I23" s="48" t="s">
        <x:v>66</x:v>
      </x:c>
      <x:c r="J23" s="48" t="s">
        <x:v>66</x:v>
      </x:c>
      <x:c r="K23" s="64"/>
      <x:c r="L23" s="64"/>
      <x:c r="M23" s="50"/>
      <x:c r="N23" s="49"/>
      <x:c r="O23" s="50"/>
      <x:c r="P23" s="50"/>
      <x:c r="Q23" s="32">
        <x:v>19</x:v>
      </x:c>
      <x:c r="R23" s="68"/>
      <x:c r="S23" s="54" t="n">
        <x:f>INDEX('Locations'!$D$6:$D$453,MATCH(B23,'Locations'!$A$6:$A$453,0))</x:f>
        <x:v>42.7300857207039</x:v>
      </x:c>
      <x:c r="T23" s="54" t="n">
        <x:f>INDEX('Locations'!$E$6:$E$453,MATCH(B23,'Locations'!$A$6:$A$453,0))</x:f>
        <x:v>-73.6750356850421</x:v>
      </x:c>
      <x:c r="U23" s="54" t="n">
        <x:f>INDEX('Locations'!$D$6:$D$453,MATCH(C23,'Locations'!$A$6:$A$453,0))</x:f>
        <x:v>42.7303075767371</x:v>
      </x:c>
      <x:c r="V23" s="69" t="n">
        <x:f>INDEX('Locations'!$E$6:$E$453,MATCH(C23,'Locations'!$A$6:$A$453,0))</x:f>
        <x:v>-73.6758617445077</x:v>
      </x:c>
      <x:c r="W23" s="44"/>
    </x:row>
    <x:row r="24" ht="23" customHeight="1">
      <x:c r="A24" s="21" t="s">
        <x:v>624</x:v>
      </x:c>
      <x:c r="B24" s="45" t="s">
        <x:v>225</x:v>
      </x:c>
      <x:c r="C24" s="45" t="s">
        <x:v>226</x:v>
      </x:c>
      <x:c r="D24" s="45" t="s">
        <x:v>606</x:v>
      </x:c>
      <x:c r="E24" s="63" t="n">
        <x:f>2*6371000*ASIN(SQRT(MIN(1,SIN(RADIANS(U24-S24)/2)^2+COS(RADIANS(S24))*COS(RADIANS(U24))*SIN(RADIANS(V24-T24)/2)^2)))</x:f>
        <x:v>38.736420102570946</x:v>
      </x:c>
      <x:c r="F24" s="48" t="s">
        <x:v>67</x:v>
      </x:c>
      <x:c r="G24" s="48" t="s">
        <x:v>66</x:v>
      </x:c>
      <x:c r="H24" s="48" t="s">
        <x:v>66</x:v>
      </x:c>
      <x:c r="I24" s="48" t="s">
        <x:v>66</x:v>
      </x:c>
      <x:c r="J24" s="48" t="s">
        <x:v>66</x:v>
      </x:c>
      <x:c r="K24" s="64"/>
      <x:c r="L24" s="64"/>
      <x:c r="M24" s="50"/>
      <x:c r="N24" s="49"/>
      <x:c r="O24" s="50"/>
      <x:c r="P24" s="50"/>
      <x:c r="Q24" s="30">
        <x:v>20</x:v>
      </x:c>
      <x:c r="R24" s="65"/>
      <x:c r="S24" s="46" t="n">
        <x:f>INDEX('Locations'!$D$6:$D$453,MATCH(B24,'Locations'!$A$6:$A$453,0))</x:f>
        <x:v>42.7303340155389</x:v>
      </x:c>
      <x:c r="T24" s="46" t="n">
        <x:f>INDEX('Locations'!$E$6:$E$453,MATCH(B24,'Locations'!$A$6:$A$453,0))</x:f>
        <x:v>-73.6747030329644</x:v>
      </x:c>
      <x:c r="U24" s="46" t="n">
        <x:f>INDEX('Locations'!$D$6:$D$453,MATCH(C24,'Locations'!$A$6:$A$453,0))</x:f>
        <x:v>42.7300857207039</x:v>
      </x:c>
      <x:c r="V24" s="66" t="n">
        <x:f>INDEX('Locations'!$E$6:$E$453,MATCH(C24,'Locations'!$A$6:$A$453,0))</x:f>
        <x:v>-73.6750356850421</x:v>
      </x:c>
      <x:c r="W24" s="44"/>
    </x:row>
    <x:row r="25" ht="23" customHeight="1">
      <x:c r="A25" s="24" t="s">
        <x:v>625</x:v>
      </x:c>
      <x:c r="B25" s="53" t="s">
        <x:v>214</x:v>
      </x:c>
      <x:c r="C25" s="53" t="s">
        <x:v>228</x:v>
      </x:c>
      <x:c r="D25" s="53" t="s">
        <x:v>606</x:v>
      </x:c>
      <x:c r="E25" s="67" t="n">
        <x:f>2*6371000*ASIN(SQRT(MIN(1,SIN(RADIANS(U25-S25)/2)^2+COS(RADIANS(S25))*COS(RADIANS(U25))*SIN(RADIANS(V25-T25)/2)^2)))</x:f>
        <x:v>40.33594454150871</x:v>
      </x:c>
      <x:c r="F25" s="48" t="s">
        <x:v>67</x:v>
      </x:c>
      <x:c r="G25" s="48" t="s">
        <x:v>66</x:v>
      </x:c>
      <x:c r="H25" s="48" t="s">
        <x:v>66</x:v>
      </x:c>
      <x:c r="I25" s="48" t="s">
        <x:v>66</x:v>
      </x:c>
      <x:c r="J25" s="48" t="s">
        <x:v>66</x:v>
      </x:c>
      <x:c r="K25" s="64"/>
      <x:c r="L25" s="64"/>
      <x:c r="M25" s="50"/>
      <x:c r="N25" s="49"/>
      <x:c r="O25" s="50"/>
      <x:c r="P25" s="50"/>
      <x:c r="Q25" s="32">
        <x:v>21</x:v>
      </x:c>
      <x:c r="R25" s="68"/>
      <x:c r="S25" s="54" t="n">
        <x:f>INDEX('Locations'!$D$6:$D$453,MATCH(B25,'Locations'!$A$6:$A$453,0))</x:f>
        <x:v>42.7309432574953</x:v>
      </x:c>
      <x:c r="T25" s="54" t="n">
        <x:f>INDEX('Locations'!$E$6:$E$453,MATCH(B25,'Locations'!$A$6:$A$453,0))</x:f>
        <x:v>-73.6756484651851</x:v>
      </x:c>
      <x:c r="U25" s="54" t="n">
        <x:f>INDEX('Locations'!$D$6:$D$453,MATCH(C25,'Locations'!$A$6:$A$453,0))</x:f>
        <x:v>42.7307133548703</x:v>
      </x:c>
      <x:c r="V25" s="69" t="n">
        <x:f>INDEX('Locations'!$E$6:$E$453,MATCH(C25,'Locations'!$A$6:$A$453,0))</x:f>
        <x:v>-73.6752664723687</x:v>
      </x:c>
      <x:c r="W25" s="44"/>
    </x:row>
    <x:row r="26" ht="23" customHeight="1">
      <x:c r="A26" s="21" t="s">
        <x:v>626</x:v>
      </x:c>
      <x:c r="B26" s="45" t="s">
        <x:v>72</x:v>
      </x:c>
      <x:c r="C26" s="45" t="s">
        <x:v>228</x:v>
      </x:c>
      <x:c r="D26" s="45" t="s">
        <x:v>606</x:v>
      </x:c>
      <x:c r="E26" s="63" t="n">
        <x:f>2*6371000*ASIN(SQRT(MIN(1,SIN(RADIANS(U26-S26)/2)^2+COS(RADIANS(S26))*COS(RADIANS(U26))*SIN(RADIANS(V26-T26)/2)^2)))</x:f>
        <x:v>23.086671122013552</x:v>
      </x:c>
      <x:c r="F26" s="48" t="s">
        <x:v>67</x:v>
      </x:c>
      <x:c r="G26" s="48" t="s">
        <x:v>66</x:v>
      </x:c>
      <x:c r="H26" s="48" t="s">
        <x:v>66</x:v>
      </x:c>
      <x:c r="I26" s="48" t="s">
        <x:v>66</x:v>
      </x:c>
      <x:c r="J26" s="48" t="s">
        <x:v>66</x:v>
      </x:c>
      <x:c r="K26" s="64"/>
      <x:c r="L26" s="64"/>
      <x:c r="M26" s="50"/>
      <x:c r="N26" s="49"/>
      <x:c r="O26" s="50"/>
      <x:c r="P26" s="50"/>
      <x:c r="Q26" s="30">
        <x:v>22</x:v>
      </x:c>
      <x:c r="R26" s="65"/>
      <x:c r="S26" s="46" t="n">
        <x:f>INDEX('Locations'!$D$6:$D$453,MATCH(B26,'Locations'!$A$6:$A$453,0))</x:f>
        <x:v>42.7306562926605</x:v>
      </x:c>
      <x:c r="T26" s="46" t="n">
        <x:f>INDEX('Locations'!$E$6:$E$453,MATCH(B26,'Locations'!$A$6:$A$453,0))</x:f>
        <x:v>-73.6755382411717</x:v>
      </x:c>
      <x:c r="U26" s="46" t="n">
        <x:f>INDEX('Locations'!$D$6:$D$453,MATCH(C26,'Locations'!$A$6:$A$453,0))</x:f>
        <x:v>42.7307133548703</x:v>
      </x:c>
      <x:c r="V26" s="66" t="n">
        <x:f>INDEX('Locations'!$E$6:$E$453,MATCH(C26,'Locations'!$A$6:$A$453,0))</x:f>
        <x:v>-73.6752664723687</x:v>
      </x:c>
      <x:c r="W26" s="44"/>
    </x:row>
    <x:row r="27" ht="23" customHeight="1">
      <x:c r="A27" s="24" t="s">
        <x:v>627</x:v>
      </x:c>
      <x:c r="B27" s="53" t="s">
        <x:v>225</x:v>
      </x:c>
      <x:c r="C27" s="53" t="s">
        <x:v>228</x:v>
      </x:c>
      <x:c r="D27" s="53" t="s">
        <x:v>606</x:v>
      </x:c>
      <x:c r="E27" s="67" t="n">
        <x:f>2*6371000*ASIN(SQRT(MIN(1,SIN(RADIANS(U27-S27)/2)^2+COS(RADIANS(S27))*COS(RADIANS(U27))*SIN(RADIANS(V27-T27)/2)^2)))</x:f>
        <x:v>62.42700020637852</x:v>
      </x:c>
      <x:c r="F27" s="48" t="s">
        <x:v>67</x:v>
      </x:c>
      <x:c r="G27" s="48" t="s">
        <x:v>66</x:v>
      </x:c>
      <x:c r="H27" s="48" t="s">
        <x:v>66</x:v>
      </x:c>
      <x:c r="I27" s="48" t="s">
        <x:v>66</x:v>
      </x:c>
      <x:c r="J27" s="48" t="s">
        <x:v>66</x:v>
      </x:c>
      <x:c r="K27" s="64"/>
      <x:c r="L27" s="64"/>
      <x:c r="M27" s="50"/>
      <x:c r="N27" s="49"/>
      <x:c r="O27" s="50"/>
      <x:c r="P27" s="50"/>
      <x:c r="Q27" s="32">
        <x:v>23</x:v>
      </x:c>
      <x:c r="R27" s="68"/>
      <x:c r="S27" s="54" t="n">
        <x:f>INDEX('Locations'!$D$6:$D$453,MATCH(B27,'Locations'!$A$6:$A$453,0))</x:f>
        <x:v>42.7303340155389</x:v>
      </x:c>
      <x:c r="T27" s="54" t="n">
        <x:f>INDEX('Locations'!$E$6:$E$453,MATCH(B27,'Locations'!$A$6:$A$453,0))</x:f>
        <x:v>-73.6747030329644</x:v>
      </x:c>
      <x:c r="U27" s="54" t="n">
        <x:f>INDEX('Locations'!$D$6:$D$453,MATCH(C27,'Locations'!$A$6:$A$453,0))</x:f>
        <x:v>42.7307133548703</x:v>
      </x:c>
      <x:c r="V27" s="69" t="n">
        <x:f>INDEX('Locations'!$E$6:$E$453,MATCH(C27,'Locations'!$A$6:$A$453,0))</x:f>
        <x:v>-73.6752664723687</x:v>
      </x:c>
      <x:c r="W27" s="44"/>
    </x:row>
    <x:row r="28" ht="23" customHeight="1">
      <x:c r="A28" s="21" t="s">
        <x:v>628</x:v>
      </x:c>
      <x:c r="B28" s="45" t="s">
        <x:v>102</x:v>
      </x:c>
      <x:c r="C28" s="45" t="s">
        <x:v>229</x:v>
      </x:c>
      <x:c r="D28" s="45" t="s">
        <x:v>606</x:v>
      </x:c>
      <x:c r="E28" s="63" t="n">
        <x:f>2*6371000*ASIN(SQRT(MIN(1,SIN(RADIANS(U28-S28)/2)^2+COS(RADIANS(S28))*COS(RADIANS(U28))*SIN(RADIANS(V28-T28)/2)^2)))</x:f>
        <x:v>14.706760274597054</x:v>
      </x:c>
      <x:c r="F28" s="48" t="s">
        <x:v>67</x:v>
      </x:c>
      <x:c r="G28" s="48" t="s">
        <x:v>66</x:v>
      </x:c>
      <x:c r="H28" s="48" t="s">
        <x:v>66</x:v>
      </x:c>
      <x:c r="I28" s="48" t="s">
        <x:v>66</x:v>
      </x:c>
      <x:c r="J28" s="48" t="s">
        <x:v>66</x:v>
      </x:c>
      <x:c r="K28" s="64"/>
      <x:c r="L28" s="64"/>
      <x:c r="M28" s="50"/>
      <x:c r="N28" s="49"/>
      <x:c r="O28" s="50"/>
      <x:c r="P28" s="50"/>
      <x:c r="Q28" s="30">
        <x:v>24</x:v>
      </x:c>
      <x:c r="R28" s="65"/>
      <x:c r="S28" s="46" t="n">
        <x:f>INDEX('Locations'!$D$6:$D$453,MATCH(B28,'Locations'!$A$6:$A$453,0))</x:f>
        <x:v>42.7317963596702</x:v>
      </x:c>
      <x:c r="T28" s="46" t="n">
        <x:f>INDEX('Locations'!$E$6:$E$453,MATCH(B28,'Locations'!$A$6:$A$453,0))</x:f>
        <x:v>-73.6722539949815</x:v>
      </x:c>
      <x:c r="U28" s="46" t="n">
        <x:f>INDEX('Locations'!$D$6:$D$453,MATCH(C28,'Locations'!$A$6:$A$453,0))</x:f>
        <x:v>42.7316674507643</x:v>
      </x:c>
      <x:c r="V28" s="66" t="n">
        <x:f>INDEX('Locations'!$E$6:$E$453,MATCH(C28,'Locations'!$A$6:$A$453,0))</x:f>
        <x:v>-73.6722137131104</x:v>
      </x:c>
      <x:c r="W28" s="44"/>
    </x:row>
    <x:row r="29" ht="23" customHeight="1">
      <x:c r="A29" s="24" t="s">
        <x:v>629</x:v>
      </x:c>
      <x:c r="B29" s="53" t="s">
        <x:v>230</x:v>
      </x:c>
      <x:c r="C29" s="53" t="s">
        <x:v>229</x:v>
      </x:c>
      <x:c r="D29" s="53" t="s">
        <x:v>606</x:v>
      </x:c>
      <x:c r="E29" s="67" t="n">
        <x:f>2*6371000*ASIN(SQRT(MIN(1,SIN(RADIANS(U29-S29)/2)^2+COS(RADIANS(S29))*COS(RADIANS(U29))*SIN(RADIANS(V29-T29)/2)^2)))</x:f>
        <x:v>34.07181714348565</x:v>
      </x:c>
      <x:c r="F29" s="48" t="s">
        <x:v>67</x:v>
      </x:c>
      <x:c r="G29" s="48" t="s">
        <x:v>66</x:v>
      </x:c>
      <x:c r="H29" s="48" t="s">
        <x:v>66</x:v>
      </x:c>
      <x:c r="I29" s="48" t="s">
        <x:v>66</x:v>
      </x:c>
      <x:c r="J29" s="48" t="s">
        <x:v>66</x:v>
      </x:c>
      <x:c r="K29" s="64"/>
      <x:c r="L29" s="64"/>
      <x:c r="M29" s="50"/>
      <x:c r="N29" s="49"/>
      <x:c r="O29" s="50"/>
      <x:c r="P29" s="50"/>
      <x:c r="Q29" s="32">
        <x:v>25</x:v>
      </x:c>
      <x:c r="R29" s="68"/>
      <x:c r="S29" s="54" t="n">
        <x:f>INDEX('Locations'!$D$6:$D$453,MATCH(B29,'Locations'!$A$6:$A$453,0))</x:f>
        <x:v>42.7316594041724</x:v>
      </x:c>
      <x:c r="T29" s="54" t="n">
        <x:f>INDEX('Locations'!$E$6:$E$453,MATCH(B29,'Locations'!$A$6:$A$453,0))</x:f>
        <x:v>-73.6717967042858</x:v>
      </x:c>
      <x:c r="U29" s="54" t="n">
        <x:f>INDEX('Locations'!$D$6:$D$453,MATCH(C29,'Locations'!$A$6:$A$453,0))</x:f>
        <x:v>42.7316674507643</x:v>
      </x:c>
      <x:c r="V29" s="69" t="n">
        <x:f>INDEX('Locations'!$E$6:$E$453,MATCH(C29,'Locations'!$A$6:$A$453,0))</x:f>
        <x:v>-73.6722137131104</x:v>
      </x:c>
      <x:c r="W29" s="44"/>
    </x:row>
    <x:row r="30" ht="23" customHeight="1">
      <x:c r="A30" s="21" t="s">
        <x:v>630</x:v>
      </x:c>
      <x:c r="B30" s="45" t="s">
        <x:v>220</x:v>
      </x:c>
      <x:c r="C30" s="45" t="s">
        <x:v>232</x:v>
      </x:c>
      <x:c r="D30" s="45" t="s">
        <x:v>606</x:v>
      </x:c>
      <x:c r="E30" s="63" t="n">
        <x:f>2*6371000*ASIN(SQRT(MIN(1,SIN(RADIANS(U30-S30)/2)^2+COS(RADIANS(S30))*COS(RADIANS(U30))*SIN(RADIANS(V30-T30)/2)^2)))</x:f>
        <x:v>59.02177486397064</x:v>
      </x:c>
      <x:c r="F30" s="48" t="s">
        <x:v>67</x:v>
      </x:c>
      <x:c r="G30" s="48" t="s">
        <x:v>66</x:v>
      </x:c>
      <x:c r="H30" s="48" t="s">
        <x:v>66</x:v>
      </x:c>
      <x:c r="I30" s="48" t="s">
        <x:v>66</x:v>
      </x:c>
      <x:c r="J30" s="48" t="s">
        <x:v>66</x:v>
      </x:c>
      <x:c r="K30" s="64"/>
      <x:c r="L30" s="64"/>
      <x:c r="M30" s="50"/>
      <x:c r="N30" s="49"/>
      <x:c r="O30" s="50"/>
      <x:c r="P30" s="50"/>
      <x:c r="Q30" s="30">
        <x:v>26</x:v>
      </x:c>
      <x:c r="R30" s="65"/>
      <x:c r="S30" s="46" t="n">
        <x:f>INDEX('Locations'!$D$6:$D$453,MATCH(B30,'Locations'!$A$6:$A$453,0))</x:f>
        <x:v>42.7311271795954</x:v>
      </x:c>
      <x:c r="T30" s="46" t="n">
        <x:f>INDEX('Locations'!$E$6:$E$453,MATCH(B30,'Locations'!$A$6:$A$453,0))</x:f>
        <x:v>-73.6730381809393</x:v>
      </x:c>
      <x:c r="U30" s="46" t="n">
        <x:f>INDEX('Locations'!$D$6:$D$453,MATCH(C30,'Locations'!$A$6:$A$453,0))</x:f>
        <x:v>42.7316525070937</x:v>
      </x:c>
      <x:c r="V30" s="66" t="n">
        <x:f>INDEX('Locations'!$E$6:$E$453,MATCH(C30,'Locations'!$A$6:$A$453,0))</x:f>
        <x:v>-73.6729347245515</x:v>
      </x:c>
      <x:c r="W30" s="44"/>
    </x:row>
    <x:row r="31" ht="23" customHeight="1">
      <x:c r="A31" s="24" t="s">
        <x:v>631</x:v>
      </x:c>
      <x:c r="B31" s="53" t="s">
        <x:v>231</x:v>
      </x:c>
      <x:c r="C31" s="53" t="s">
        <x:v>232</x:v>
      </x:c>
      <x:c r="D31" s="53" t="s">
        <x:v>606</x:v>
      </x:c>
      <x:c r="E31" s="67" t="n">
        <x:f>2*6371000*ASIN(SQRT(MIN(1,SIN(RADIANS(U31-S31)/2)^2+COS(RADIANS(S31))*COS(RADIANS(U31))*SIN(RADIANS(V31-T31)/2)^2)))</x:f>
        <x:v>16.788552889110658</x:v>
      </x:c>
      <x:c r="F31" s="48" t="s">
        <x:v>67</x:v>
      </x:c>
      <x:c r="G31" s="48" t="s">
        <x:v>66</x:v>
      </x:c>
      <x:c r="H31" s="48" t="s">
        <x:v>66</x:v>
      </x:c>
      <x:c r="I31" s="48" t="s">
        <x:v>66</x:v>
      </x:c>
      <x:c r="J31" s="48" t="s">
        <x:v>66</x:v>
      </x:c>
      <x:c r="K31" s="64"/>
      <x:c r="L31" s="64"/>
      <x:c r="M31" s="50"/>
      <x:c r="N31" s="49"/>
      <x:c r="O31" s="50"/>
      <x:c r="P31" s="50"/>
      <x:c r="Q31" s="32">
        <x:v>27</x:v>
      </x:c>
      <x:c r="R31" s="68"/>
      <x:c r="S31" s="54" t="n">
        <x:f>INDEX('Locations'!$D$6:$D$453,MATCH(B31,'Locations'!$A$6:$A$453,0))</x:f>
        <x:v>42.7316904410268</x:v>
      </x:c>
      <x:c r="T31" s="54" t="n">
        <x:f>INDEX('Locations'!$E$6:$E$453,MATCH(B31,'Locations'!$A$6:$A$453,0))</x:f>
        <x:v>-73.6731336791434</x:v>
      </x:c>
      <x:c r="U31" s="54" t="n">
        <x:f>INDEX('Locations'!$D$6:$D$453,MATCH(C31,'Locations'!$A$6:$A$453,0))</x:f>
        <x:v>42.7316525070937</x:v>
      </x:c>
      <x:c r="V31" s="69" t="n">
        <x:f>INDEX('Locations'!$E$6:$E$453,MATCH(C31,'Locations'!$A$6:$A$453,0))</x:f>
        <x:v>-73.6729347245515</x:v>
      </x:c>
      <x:c r="W31" s="44"/>
    </x:row>
    <x:row r="32" ht="23" customHeight="1">
      <x:c r="A32" s="21" t="s">
        <x:v>632</x:v>
      </x:c>
      <x:c r="B32" s="45" t="s">
        <x:v>221</x:v>
      </x:c>
      <x:c r="C32" s="45" t="s">
        <x:v>232</x:v>
      </x:c>
      <x:c r="D32" s="45" t="s">
        <x:v>606</x:v>
      </x:c>
      <x:c r="E32" s="63" t="n">
        <x:f>2*6371000*ASIN(SQRT(MIN(1,SIN(RADIANS(U32-S32)/2)^2+COS(RADIANS(S32))*COS(RADIANS(U32))*SIN(RADIANS(V32-T32)/2)^2)))</x:f>
        <x:v>97.36247902437334</x:v>
      </x:c>
      <x:c r="F32" s="48" t="s">
        <x:v>67</x:v>
      </x:c>
      <x:c r="G32" s="48" t="s">
        <x:v>66</x:v>
      </x:c>
      <x:c r="H32" s="48" t="s">
        <x:v>66</x:v>
      </x:c>
      <x:c r="I32" s="48" t="s">
        <x:v>66</x:v>
      </x:c>
      <x:c r="J32" s="48" t="s">
        <x:v>66</x:v>
      </x:c>
      <x:c r="K32" s="64"/>
      <x:c r="L32" s="64"/>
      <x:c r="M32" s="50"/>
      <x:c r="N32" s="49"/>
      <x:c r="O32" s="50"/>
      <x:c r="P32" s="50"/>
      <x:c r="Q32" s="30">
        <x:v>28</x:v>
      </x:c>
      <x:c r="R32" s="65"/>
      <x:c r="S32" s="46" t="n">
        <x:f>INDEX('Locations'!$D$6:$D$453,MATCH(B32,'Locations'!$A$6:$A$453,0))</x:f>
        <x:v>42.7325065953458</x:v>
      </x:c>
      <x:c r="T32" s="46" t="n">
        <x:f>INDEX('Locations'!$E$6:$E$453,MATCH(B32,'Locations'!$A$6:$A$453,0))</x:f>
        <x:v>-73.6726721044902</x:v>
      </x:c>
      <x:c r="U32" s="46" t="n">
        <x:f>INDEX('Locations'!$D$6:$D$453,MATCH(C32,'Locations'!$A$6:$A$453,0))</x:f>
        <x:v>42.7316525070937</x:v>
      </x:c>
      <x:c r="V32" s="66" t="n">
        <x:f>INDEX('Locations'!$E$6:$E$453,MATCH(C32,'Locations'!$A$6:$A$453,0))</x:f>
        <x:v>-73.6729347245515</x:v>
      </x:c>
      <x:c r="W32" s="44"/>
    </x:row>
    <x:row r="33" ht="23" customHeight="1">
      <x:c r="A33" s="24" t="s">
        <x:v>633</x:v>
      </x:c>
      <x:c r="B33" s="53" t="s">
        <x:v>234</x:v>
      </x:c>
      <x:c r="C33" s="53" t="s">
        <x:v>226</x:v>
      </x:c>
      <x:c r="D33" s="53" t="s">
        <x:v>606</x:v>
      </x:c>
      <x:c r="E33" s="67" t="n">
        <x:f>2*6371000*ASIN(SQRT(MIN(1,SIN(RADIANS(U33-S33)/2)^2+COS(RADIANS(S33))*COS(RADIANS(U33))*SIN(RADIANS(V33-T33)/2)^2)))</x:f>
        <x:v>81.19797813700679</x:v>
      </x:c>
      <x:c r="F33" s="48" t="s">
        <x:v>67</x:v>
      </x:c>
      <x:c r="G33" s="48" t="s">
        <x:v>66</x:v>
      </x:c>
      <x:c r="H33" s="48" t="s">
        <x:v>66</x:v>
      </x:c>
      <x:c r="I33" s="48" t="s">
        <x:v>66</x:v>
      </x:c>
      <x:c r="J33" s="48" t="s">
        <x:v>66</x:v>
      </x:c>
      <x:c r="K33" s="64"/>
      <x:c r="L33" s="64"/>
      <x:c r="M33" s="50"/>
      <x:c r="N33" s="49"/>
      <x:c r="O33" s="50"/>
      <x:c r="P33" s="50"/>
      <x:c r="Q33" s="32">
        <x:v>29</x:v>
      </x:c>
      <x:c r="R33" s="68"/>
      <x:c r="S33" s="54" t="n">
        <x:f>INDEX('Locations'!$D$6:$D$453,MATCH(B33,'Locations'!$A$6:$A$453,0))</x:f>
        <x:v>42.7295144126806</x:v>
      </x:c>
      <x:c r="T33" s="54" t="n">
        <x:f>INDEX('Locations'!$E$6:$E$453,MATCH(B33,'Locations'!$A$6:$A$453,0))</x:f>
        <x:v>-73.674416538352</x:v>
      </x:c>
      <x:c r="U33" s="54" t="n">
        <x:f>INDEX('Locations'!$D$6:$D$453,MATCH(C33,'Locations'!$A$6:$A$453,0))</x:f>
        <x:v>42.7300857207039</x:v>
      </x:c>
      <x:c r="V33" s="69" t="n">
        <x:f>INDEX('Locations'!$E$6:$E$453,MATCH(C33,'Locations'!$A$6:$A$453,0))</x:f>
        <x:v>-73.6750356850421</x:v>
      </x:c>
      <x:c r="W33" s="44"/>
    </x:row>
    <x:row r="34" ht="23" customHeight="1">
      <x:c r="A34" s="21" t="s">
        <x:v>634</x:v>
      </x:c>
      <x:c r="B34" s="45" t="s">
        <x:v>234</x:v>
      </x:c>
      <x:c r="C34" s="45" t="s">
        <x:v>235</x:v>
      </x:c>
      <x:c r="D34" s="45" t="s">
        <x:v>606</x:v>
      </x:c>
      <x:c r="E34" s="63" t="n">
        <x:f>2*6371000*ASIN(SQRT(MIN(1,SIN(RADIANS(U34-S34)/2)^2+COS(RADIANS(S34))*COS(RADIANS(U34))*SIN(RADIANS(V34-T34)/2)^2)))</x:f>
        <x:v>81.84109187726345</x:v>
      </x:c>
      <x:c r="F34" s="48" t="s">
        <x:v>67</x:v>
      </x:c>
      <x:c r="G34" s="48" t="s">
        <x:v>66</x:v>
      </x:c>
      <x:c r="H34" s="48" t="s">
        <x:v>66</x:v>
      </x:c>
      <x:c r="I34" s="48" t="s">
        <x:v>66</x:v>
      </x:c>
      <x:c r="J34" s="48" t="s">
        <x:v>66</x:v>
      </x:c>
      <x:c r="K34" s="64"/>
      <x:c r="L34" s="64"/>
      <x:c r="M34" s="50"/>
      <x:c r="N34" s="49"/>
      <x:c r="O34" s="50"/>
      <x:c r="P34" s="50"/>
      <x:c r="Q34" s="30">
        <x:v>30</x:v>
      </x:c>
      <x:c r="R34" s="65"/>
      <x:c r="S34" s="46" t="n">
        <x:f>INDEX('Locations'!$D$6:$D$453,MATCH(B34,'Locations'!$A$6:$A$453,0))</x:f>
        <x:v>42.7295144126806</x:v>
      </x:c>
      <x:c r="T34" s="46" t="n">
        <x:f>INDEX('Locations'!$E$6:$E$453,MATCH(B34,'Locations'!$A$6:$A$453,0))</x:f>
        <x:v>-73.674416538352</x:v>
      </x:c>
      <x:c r="U34" s="46" t="n">
        <x:f>INDEX('Locations'!$D$6:$D$453,MATCH(C34,'Locations'!$A$6:$A$453,0))</x:f>
        <x:v>42.729362676948</x:v>
      </x:c>
      <x:c r="V34" s="66" t="n">
        <x:f>INDEX('Locations'!$E$6:$E$453,MATCH(C34,'Locations'!$A$6:$A$453,0))</x:f>
        <x:v>-73.6734360901231</x:v>
      </x:c>
      <x:c r="W34" s="44"/>
    </x:row>
    <x:row r="35" ht="23" customHeight="1">
      <x:c r="A35" s="24" t="s">
        <x:v>635</x:v>
      </x:c>
      <x:c r="B35" s="53" t="s">
        <x:v>233</x:v>
      </x:c>
      <x:c r="C35" s="53" t="s">
        <x:v>236</x:v>
      </x:c>
      <x:c r="D35" s="53" t="s">
        <x:v>606</x:v>
      </x:c>
      <x:c r="E35" s="67" t="n">
        <x:f>2*6371000*ASIN(SQRT(MIN(1,SIN(RADIANS(U35-S35)/2)^2+COS(RADIANS(S35))*COS(RADIANS(U35))*SIN(RADIANS(V35-T35)/2)^2)))</x:f>
        <x:v>40.724122128248425</x:v>
      </x:c>
      <x:c r="F35" s="48" t="s">
        <x:v>67</x:v>
      </x:c>
      <x:c r="G35" s="48" t="s">
        <x:v>66</x:v>
      </x:c>
      <x:c r="H35" s="48" t="s">
        <x:v>66</x:v>
      </x:c>
      <x:c r="I35" s="48" t="s">
        <x:v>66</x:v>
      </x:c>
      <x:c r="J35" s="48" t="s">
        <x:v>66</x:v>
      </x:c>
      <x:c r="K35" s="64"/>
      <x:c r="L35" s="64"/>
      <x:c r="M35" s="50"/>
      <x:c r="N35" s="49"/>
      <x:c r="O35" s="50"/>
      <x:c r="P35" s="50"/>
      <x:c r="Q35" s="32">
        <x:v>31</x:v>
      </x:c>
      <x:c r="R35" s="68"/>
      <x:c r="S35" s="54" t="n">
        <x:f>INDEX('Locations'!$D$6:$D$453,MATCH(B35,'Locations'!$A$6:$A$453,0))</x:f>
        <x:v>42.7291212791917</x:v>
      </x:c>
      <x:c r="T35" s="54" t="n">
        <x:f>INDEX('Locations'!$E$6:$E$453,MATCH(B35,'Locations'!$A$6:$A$453,0))</x:f>
        <x:v>-73.6725208990003</x:v>
      </x:c>
      <x:c r="U35" s="54" t="n">
        <x:f>INDEX('Locations'!$D$6:$D$453,MATCH(C35,'Locations'!$A$6:$A$453,0))</x:f>
        <x:v>42.7292304829386</x:v>
      </x:c>
      <x:c r="V35" s="69" t="n">
        <x:f>INDEX('Locations'!$E$6:$E$453,MATCH(C35,'Locations'!$A$6:$A$453,0))</x:f>
        <x:v>-73.6729967983842</x:v>
      </x:c>
      <x:c r="W35" s="44"/>
    </x:row>
    <x:row r="36" ht="23" customHeight="1">
      <x:c r="A36" s="21" t="s">
        <x:v>636</x:v>
      </x:c>
      <x:c r="B36" s="45" t="s">
        <x:v>235</x:v>
      </x:c>
      <x:c r="C36" s="45" t="s">
        <x:v>236</x:v>
      </x:c>
      <x:c r="D36" s="45" t="s">
        <x:v>606</x:v>
      </x:c>
      <x:c r="E36" s="63" t="n">
        <x:f>2*6371000*ASIN(SQRT(MIN(1,SIN(RADIANS(U36-S36)/2)^2+COS(RADIANS(S36))*COS(RADIANS(U36))*SIN(RADIANS(V36-T36)/2)^2)))</x:f>
        <x:v>38.7756010170046</x:v>
      </x:c>
      <x:c r="F36" s="48" t="s">
        <x:v>67</x:v>
      </x:c>
      <x:c r="G36" s="48" t="s">
        <x:v>66</x:v>
      </x:c>
      <x:c r="H36" s="48" t="s">
        <x:v>66</x:v>
      </x:c>
      <x:c r="I36" s="48" t="s">
        <x:v>66</x:v>
      </x:c>
      <x:c r="J36" s="48" t="s">
        <x:v>66</x:v>
      </x:c>
      <x:c r="K36" s="64"/>
      <x:c r="L36" s="64"/>
      <x:c r="M36" s="50"/>
      <x:c r="N36" s="49"/>
      <x:c r="O36" s="50"/>
      <x:c r="P36" s="50"/>
      <x:c r="Q36" s="30">
        <x:v>32</x:v>
      </x:c>
      <x:c r="R36" s="65"/>
      <x:c r="S36" s="46" t="n">
        <x:f>INDEX('Locations'!$D$6:$D$453,MATCH(B36,'Locations'!$A$6:$A$453,0))</x:f>
        <x:v>42.729362676948</x:v>
      </x:c>
      <x:c r="T36" s="46" t="n">
        <x:f>INDEX('Locations'!$E$6:$E$453,MATCH(B36,'Locations'!$A$6:$A$453,0))</x:f>
        <x:v>-73.6734360901231</x:v>
      </x:c>
      <x:c r="U36" s="46" t="n">
        <x:f>INDEX('Locations'!$D$6:$D$453,MATCH(C36,'Locations'!$A$6:$A$453,0))</x:f>
        <x:v>42.7292304829386</x:v>
      </x:c>
      <x:c r="V36" s="66" t="n">
        <x:f>INDEX('Locations'!$E$6:$E$453,MATCH(C36,'Locations'!$A$6:$A$453,0))</x:f>
        <x:v>-73.6729967983842</x:v>
      </x:c>
      <x:c r="W36" s="44"/>
    </x:row>
    <x:row r="37" ht="23" customHeight="1">
      <x:c r="A37" s="24" t="s">
        <x:v>637</x:v>
      </x:c>
      <x:c r="B37" s="53" t="s">
        <x:v>237</x:v>
      </x:c>
      <x:c r="C37" s="53" t="s">
        <x:v>236</x:v>
      </x:c>
      <x:c r="D37" s="53" t="s">
        <x:v>606</x:v>
      </x:c>
      <x:c r="E37" s="67" t="n">
        <x:f>2*6371000*ASIN(SQRT(MIN(1,SIN(RADIANS(U37-S37)/2)^2+COS(RADIANS(S37))*COS(RADIANS(U37))*SIN(RADIANS(V37-T37)/2)^2)))</x:f>
        <x:v>49.566364367567225</x:v>
      </x:c>
      <x:c r="F37" s="48" t="s">
        <x:v>67</x:v>
      </x:c>
      <x:c r="G37" s="48" t="s">
        <x:v>66</x:v>
      </x:c>
      <x:c r="H37" s="48" t="s">
        <x:v>66</x:v>
      </x:c>
      <x:c r="I37" s="48" t="s">
        <x:v>66</x:v>
      </x:c>
      <x:c r="J37" s="48" t="s">
        <x:v>66</x:v>
      </x:c>
      <x:c r="K37" s="64"/>
      <x:c r="L37" s="64"/>
      <x:c r="M37" s="50"/>
      <x:c r="N37" s="49"/>
      <x:c r="O37" s="50"/>
      <x:c r="P37" s="50"/>
      <x:c r="Q37" s="32">
        <x:v>33</x:v>
      </x:c>
      <x:c r="R37" s="68"/>
      <x:c r="S37" s="54" t="n">
        <x:f>INDEX('Locations'!$D$6:$D$453,MATCH(B37,'Locations'!$A$6:$A$453,0))</x:f>
        <x:v>42.728793667951</x:v>
      </x:c>
      <x:c r="T37" s="54" t="n">
        <x:f>INDEX('Locations'!$E$6:$E$453,MATCH(B37,'Locations'!$A$6:$A$453,0))</x:f>
        <x:v>-73.6731177627761</x:v>
      </x:c>
      <x:c r="U37" s="54" t="n">
        <x:f>INDEX('Locations'!$D$6:$D$453,MATCH(C37,'Locations'!$A$6:$A$453,0))</x:f>
        <x:v>42.7292304829386</x:v>
      </x:c>
      <x:c r="V37" s="69" t="n">
        <x:f>INDEX('Locations'!$E$6:$E$453,MATCH(C37,'Locations'!$A$6:$A$453,0))</x:f>
        <x:v>-73.6729967983842</x:v>
      </x:c>
      <x:c r="W37" s="44"/>
    </x:row>
    <x:row r="38" ht="23" customHeight="1">
      <x:c r="A38" s="21" t="s">
        <x:v>638</x:v>
      </x:c>
      <x:c r="B38" s="45" t="s">
        <x:v>237</x:v>
      </x:c>
      <x:c r="C38" s="45" t="s">
        <x:v>239</x:v>
      </x:c>
      <x:c r="D38" s="45" t="s">
        <x:v>606</x:v>
      </x:c>
      <x:c r="E38" s="63" t="n">
        <x:f>2*6371000*ASIN(SQRT(MIN(1,SIN(RADIANS(U38-S38)/2)^2+COS(RADIANS(S38))*COS(RADIANS(U38))*SIN(RADIANS(V38-T38)/2)^2)))</x:f>
        <x:v>41.69829886498014</x:v>
      </x:c>
      <x:c r="F38" s="48" t="s">
        <x:v>67</x:v>
      </x:c>
      <x:c r="G38" s="48" t="s">
        <x:v>66</x:v>
      </x:c>
      <x:c r="H38" s="48" t="s">
        <x:v>66</x:v>
      </x:c>
      <x:c r="I38" s="48" t="s">
        <x:v>66</x:v>
      </x:c>
      <x:c r="J38" s="48" t="s">
        <x:v>66</x:v>
      </x:c>
      <x:c r="K38" s="64"/>
      <x:c r="L38" s="64"/>
      <x:c r="M38" s="50"/>
      <x:c r="N38" s="49"/>
      <x:c r="O38" s="50"/>
      <x:c r="P38" s="50"/>
      <x:c r="Q38" s="30">
        <x:v>34</x:v>
      </x:c>
      <x:c r="R38" s="65"/>
      <x:c r="S38" s="46" t="n">
        <x:f>INDEX('Locations'!$D$6:$D$453,MATCH(B38,'Locations'!$A$6:$A$453,0))</x:f>
        <x:v>42.728793667951</x:v>
      </x:c>
      <x:c r="T38" s="46" t="n">
        <x:f>INDEX('Locations'!$E$6:$E$453,MATCH(B38,'Locations'!$A$6:$A$453,0))</x:f>
        <x:v>-73.6731177627761</x:v>
      </x:c>
      <x:c r="U38" s="46" t="n">
        <x:f>INDEX('Locations'!$D$6:$D$453,MATCH(C38,'Locations'!$A$6:$A$453,0))</x:f>
        <x:v>42.7284488140134</x:v>
      </x:c>
      <x:c r="V38" s="66" t="n">
        <x:f>INDEX('Locations'!$E$6:$E$453,MATCH(C38,'Locations'!$A$6:$A$453,0))</x:f>
        <x:v>-73.6733183090047</x:v>
      </x:c>
      <x:c r="W38" s="44"/>
    </x:row>
    <x:row r="39" ht="23" customHeight="1">
      <x:c r="A39" s="24" t="s">
        <x:v>639</x:v>
      </x:c>
      <x:c r="B39" s="53" t="s">
        <x:v>98</x:v>
      </x:c>
      <x:c r="C39" s="53" t="s">
        <x:v>238</x:v>
      </x:c>
      <x:c r="D39" s="53" t="s">
        <x:v>606</x:v>
      </x:c>
      <x:c r="E39" s="67" t="n">
        <x:f>2*6371000*ASIN(SQRT(MIN(1,SIN(RADIANS(U39-S39)/2)^2+COS(RADIANS(S39))*COS(RADIANS(U39))*SIN(RADIANS(V39-T39)/2)^2)))</x:f>
        <x:v>44.15392659453129</x:v>
      </x:c>
      <x:c r="F39" s="48" t="s">
        <x:v>67</x:v>
      </x:c>
      <x:c r="G39" s="48" t="s">
        <x:v>66</x:v>
      </x:c>
      <x:c r="H39" s="48" t="s">
        <x:v>66</x:v>
      </x:c>
      <x:c r="I39" s="48" t="s">
        <x:v>66</x:v>
      </x:c>
      <x:c r="J39" s="48" t="s">
        <x:v>66</x:v>
      </x:c>
      <x:c r="K39" s="64"/>
      <x:c r="L39" s="64"/>
      <x:c r="M39" s="50"/>
      <x:c r="N39" s="49"/>
      <x:c r="O39" s="50"/>
      <x:c r="P39" s="50"/>
      <x:c r="Q39" s="32">
        <x:v>35</x:v>
      </x:c>
      <x:c r="R39" s="68"/>
      <x:c r="S39" s="54" t="n">
        <x:f>INDEX('Locations'!$D$6:$D$453,MATCH(B39,'Locations'!$A$6:$A$453,0))</x:f>
        <x:v>42.7288576188582</x:v>
      </x:c>
      <x:c r="T39" s="54" t="n">
        <x:f>INDEX('Locations'!$E$6:$E$453,MATCH(B39,'Locations'!$A$6:$A$453,0))</x:f>
        <x:v>-73.6746296811551</x:v>
      </x:c>
      <x:c r="U39" s="54" t="n">
        <x:f>INDEX('Locations'!$D$6:$D$453,MATCH(C39,'Locations'!$A$6:$A$453,0))</x:f>
        <x:v>42.7286327361135</x:v>
      </x:c>
      <x:c r="V39" s="69" t="n">
        <x:f>INDEX('Locations'!$E$6:$E$453,MATCH(C39,'Locations'!$A$6:$A$453,0))</x:f>
        <x:v>-73.6741841593887</x:v>
      </x:c>
      <x:c r="W39" s="44"/>
    </x:row>
    <x:row r="40" ht="23" customHeight="1">
      <x:c r="A40" s="21" t="s">
        <x:v>640</x:v>
      </x:c>
      <x:c r="B40" s="45" t="s">
        <x:v>90</x:v>
      </x:c>
      <x:c r="C40" s="45" t="s">
        <x:v>238</x:v>
      </x:c>
      <x:c r="D40" s="45" t="s">
        <x:v>606</x:v>
      </x:c>
      <x:c r="E40" s="63" t="n">
        <x:f>2*6371000*ASIN(SQRT(MIN(1,SIN(RADIANS(U40-S40)/2)^2+COS(RADIANS(S40))*COS(RADIANS(U40))*SIN(RADIANS(V40-T40)/2)^2)))</x:f>
        <x:v>34.06521521141567</x:v>
      </x:c>
      <x:c r="F40" s="48" t="s">
        <x:v>67</x:v>
      </x:c>
      <x:c r="G40" s="48" t="s">
        <x:v>66</x:v>
      </x:c>
      <x:c r="H40" s="48" t="s">
        <x:v>66</x:v>
      </x:c>
      <x:c r="I40" s="48" t="s">
        <x:v>66</x:v>
      </x:c>
      <x:c r="J40" s="48" t="s">
        <x:v>66</x:v>
      </x:c>
      <x:c r="K40" s="64"/>
      <x:c r="L40" s="64"/>
      <x:c r="M40" s="50"/>
      <x:c r="N40" s="49"/>
      <x:c r="O40" s="50"/>
      <x:c r="P40" s="50"/>
      <x:c r="Q40" s="30">
        <x:v>36</x:v>
      </x:c>
      <x:c r="R40" s="65"/>
      <x:c r="S40" s="46" t="n">
        <x:f>INDEX('Locations'!$D$6:$D$453,MATCH(B40,'Locations'!$A$6:$A$453,0))</x:f>
        <x:v>42.7287299054554</x:v>
      </x:c>
      <x:c r="T40" s="46" t="n">
        <x:f>INDEX('Locations'!$E$6:$E$453,MATCH(B40,'Locations'!$A$6:$A$453,0))</x:f>
        <x:v>-73.6737886416314</x:v>
      </x:c>
      <x:c r="U40" s="46" t="n">
        <x:f>INDEX('Locations'!$D$6:$D$453,MATCH(C40,'Locations'!$A$6:$A$453,0))</x:f>
        <x:v>42.7286327361135</x:v>
      </x:c>
      <x:c r="V40" s="66" t="n">
        <x:f>INDEX('Locations'!$E$6:$E$453,MATCH(C40,'Locations'!$A$6:$A$453,0))</x:f>
        <x:v>-73.6741841593887</x:v>
      </x:c>
      <x:c r="W40" s="44"/>
    </x:row>
    <x:row r="41" ht="23" customHeight="1">
      <x:c r="A41" s="24" t="s">
        <x:v>641</x:v>
      </x:c>
      <x:c r="B41" s="53" t="s">
        <x:v>239</x:v>
      </x:c>
      <x:c r="C41" s="53" t="s">
        <x:v>238</x:v>
      </x:c>
      <x:c r="D41" s="53" t="s">
        <x:v>606</x:v>
      </x:c>
      <x:c r="E41" s="67" t="n">
        <x:f>2*6371000*ASIN(SQRT(MIN(1,SIN(RADIANS(U41-S41)/2)^2+COS(RADIANS(S41))*COS(RADIANS(U41))*SIN(RADIANS(V41-T41)/2)^2)))</x:f>
        <x:v>73.62128391128728</x:v>
      </x:c>
      <x:c r="F41" s="48" t="s">
        <x:v>67</x:v>
      </x:c>
      <x:c r="G41" s="48" t="s">
        <x:v>66</x:v>
      </x:c>
      <x:c r="H41" s="48" t="s">
        <x:v>66</x:v>
      </x:c>
      <x:c r="I41" s="48" t="s">
        <x:v>66</x:v>
      </x:c>
      <x:c r="J41" s="48" t="s">
        <x:v>66</x:v>
      </x:c>
      <x:c r="K41" s="64"/>
      <x:c r="L41" s="64"/>
      <x:c r="M41" s="50"/>
      <x:c r="N41" s="49"/>
      <x:c r="O41" s="50"/>
      <x:c r="P41" s="50"/>
      <x:c r="Q41" s="32">
        <x:v>37</x:v>
      </x:c>
      <x:c r="R41" s="68"/>
      <x:c r="S41" s="54" t="n">
        <x:f>INDEX('Locations'!$D$6:$D$453,MATCH(B41,'Locations'!$A$6:$A$453,0))</x:f>
        <x:v>42.7284488140134</x:v>
      </x:c>
      <x:c r="T41" s="54" t="n">
        <x:f>INDEX('Locations'!$E$6:$E$453,MATCH(B41,'Locations'!$A$6:$A$453,0))</x:f>
        <x:v>-73.6733183090047</x:v>
      </x:c>
      <x:c r="U41" s="54" t="n">
        <x:f>INDEX('Locations'!$D$6:$D$453,MATCH(C41,'Locations'!$A$6:$A$453,0))</x:f>
        <x:v>42.7286327361135</x:v>
      </x:c>
      <x:c r="V41" s="69" t="n">
        <x:f>INDEX('Locations'!$E$6:$E$453,MATCH(C41,'Locations'!$A$6:$A$453,0))</x:f>
        <x:v>-73.6741841593887</x:v>
      </x:c>
      <x:c r="W41" s="44"/>
    </x:row>
    <x:row r="42" ht="23" customHeight="1">
      <x:c r="A42" s="21" t="s">
        <x:v>642</x:v>
      </x:c>
      <x:c r="B42" s="45" t="s">
        <x:v>240</x:v>
      </x:c>
      <x:c r="C42" s="45" t="s">
        <x:v>236</x:v>
      </x:c>
      <x:c r="D42" s="45" t="s">
        <x:v>606</x:v>
      </x:c>
      <x:c r="E42" s="63" t="n">
        <x:f>2*6371000*ASIN(SQRT(MIN(1,SIN(RADIANS(U42-S42)/2)^2+COS(RADIANS(S42))*COS(RADIANS(U42))*SIN(RADIANS(V42-T42)/2)^2)))</x:f>
        <x:v>45.988016564267966</x:v>
      </x:c>
      <x:c r="F42" s="48" t="s">
        <x:v>67</x:v>
      </x:c>
      <x:c r="G42" s="48" t="s">
        <x:v>66</x:v>
      </x:c>
      <x:c r="H42" s="48" t="s">
        <x:v>66</x:v>
      </x:c>
      <x:c r="I42" s="48" t="s">
        <x:v>66</x:v>
      </x:c>
      <x:c r="J42" s="48" t="s">
        <x:v>66</x:v>
      </x:c>
      <x:c r="K42" s="64"/>
      <x:c r="L42" s="64"/>
      <x:c r="M42" s="50"/>
      <x:c r="N42" s="49"/>
      <x:c r="O42" s="50"/>
      <x:c r="P42" s="50"/>
      <x:c r="Q42" s="30">
        <x:v>38</x:v>
      </x:c>
      <x:c r="R42" s="65"/>
      <x:c r="S42" s="46" t="n">
        <x:f>INDEX('Locations'!$D$6:$D$453,MATCH(B42,'Locations'!$A$6:$A$453,0))</x:f>
        <x:v>42.729004028853</x:v>
      </x:c>
      <x:c r="T42" s="46" t="n">
        <x:f>INDEX('Locations'!$E$6:$E$453,MATCH(B42,'Locations'!$A$6:$A$453,0))</x:f>
        <x:v>-73.6734679228578</x:v>
      </x:c>
      <x:c r="U42" s="46" t="n">
        <x:f>INDEX('Locations'!$D$6:$D$453,MATCH(C42,'Locations'!$A$6:$A$453,0))</x:f>
        <x:v>42.7292304829386</x:v>
      </x:c>
      <x:c r="V42" s="66" t="n">
        <x:f>INDEX('Locations'!$E$6:$E$453,MATCH(C42,'Locations'!$A$6:$A$453,0))</x:f>
        <x:v>-73.6729967983842</x:v>
      </x:c>
      <x:c r="W42" s="44"/>
    </x:row>
    <x:row r="43" ht="23" customHeight="1">
      <x:c r="A43" s="24" t="s">
        <x:v>643</x:v>
      </x:c>
      <x:c r="B43" s="53" t="s">
        <x:v>234</x:v>
      </x:c>
      <x:c r="C43" s="53" t="s">
        <x:v>244</x:v>
      </x:c>
      <x:c r="D43" s="53" t="s">
        <x:v>606</x:v>
      </x:c>
      <x:c r="E43" s="67" t="n">
        <x:f>2*6371000*ASIN(SQRT(MIN(1,SIN(RADIANS(U43-S43)/2)^2+COS(RADIANS(S43))*COS(RADIANS(U43))*SIN(RADIANS(V43-T43)/2)^2)))</x:f>
        <x:v>32.75390078903151</x:v>
      </x:c>
      <x:c r="F43" s="48" t="s">
        <x:v>67</x:v>
      </x:c>
      <x:c r="G43" s="48" t="s">
        <x:v>66</x:v>
      </x:c>
      <x:c r="H43" s="48" t="s">
        <x:v>66</x:v>
      </x:c>
      <x:c r="I43" s="48" t="s">
        <x:v>66</x:v>
      </x:c>
      <x:c r="J43" s="48" t="s">
        <x:v>66</x:v>
      </x:c>
      <x:c r="K43" s="64"/>
      <x:c r="L43" s="64"/>
      <x:c r="M43" s="50"/>
      <x:c r="N43" s="49"/>
      <x:c r="O43" s="50"/>
      <x:c r="P43" s="50"/>
      <x:c r="Q43" s="32">
        <x:v>39</x:v>
      </x:c>
      <x:c r="R43" s="68"/>
      <x:c r="S43" s="54" t="n">
        <x:f>INDEX('Locations'!$D$6:$D$453,MATCH(B43,'Locations'!$A$6:$A$453,0))</x:f>
        <x:v>42.7295144126806</x:v>
      </x:c>
      <x:c r="T43" s="54" t="n">
        <x:f>INDEX('Locations'!$E$6:$E$453,MATCH(B43,'Locations'!$A$6:$A$453,0))</x:f>
        <x:v>-73.674416538352</x:v>
      </x:c>
      <x:c r="U43" s="54" t="n">
        <x:f>INDEX('Locations'!$D$6:$D$453,MATCH(C43,'Locations'!$A$6:$A$453,0))</x:f>
        <x:v>42.7292649683324</x:v>
      </x:c>
      <x:c r="V43" s="69" t="n">
        <x:f>INDEX('Locations'!$E$6:$E$453,MATCH(C43,'Locations'!$A$6:$A$453,0))</x:f>
        <x:v>-73.6746298176746</x:v>
      </x:c>
      <x:c r="W43" s="44"/>
    </x:row>
    <x:row r="44" ht="23" customHeight="1">
      <x:c r="A44" s="21" t="s">
        <x:v>644</x:v>
      </x:c>
      <x:c r="B44" s="45" t="s">
        <x:v>243</x:v>
      </x:c>
      <x:c r="C44" s="45" t="s">
        <x:v>244</x:v>
      </x:c>
      <x:c r="D44" s="45" t="s">
        <x:v>606</x:v>
      </x:c>
      <x:c r="E44" s="63" t="n">
        <x:f>2*6371000*ASIN(SQRT(MIN(1,SIN(RADIANS(U44-S44)/2)^2+COS(RADIANS(S44))*COS(RADIANS(U44))*SIN(RADIANS(V44-T44)/2)^2)))</x:f>
        <x:v>40.29222442597503</x:v>
      </x:c>
      <x:c r="F44" s="48" t="s">
        <x:v>67</x:v>
      </x:c>
      <x:c r="G44" s="48" t="s">
        <x:v>66</x:v>
      </x:c>
      <x:c r="H44" s="48" t="s">
        <x:v>66</x:v>
      </x:c>
      <x:c r="I44" s="48" t="s">
        <x:v>66</x:v>
      </x:c>
      <x:c r="J44" s="48" t="s">
        <x:v>66</x:v>
      </x:c>
      <x:c r="K44" s="64"/>
      <x:c r="L44" s="64"/>
      <x:c r="M44" s="50"/>
      <x:c r="N44" s="49"/>
      <x:c r="O44" s="50"/>
      <x:c r="P44" s="50"/>
      <x:c r="Q44" s="30">
        <x:v>40</x:v>
      </x:c>
      <x:c r="R44" s="65"/>
      <x:c r="S44" s="46" t="n">
        <x:f>INDEX('Locations'!$D$6:$D$453,MATCH(B44,'Locations'!$A$6:$A$453,0))</x:f>
        <x:v>42.7289339085523</x:v>
      </x:c>
      <x:c r="T44" s="46" t="n">
        <x:f>INDEX('Locations'!$E$6:$E$453,MATCH(B44,'Locations'!$A$6:$A$453,0))</x:f>
        <x:v>-73.6744292714459</x:v>
      </x:c>
      <x:c r="U44" s="46" t="n">
        <x:f>INDEX('Locations'!$D$6:$D$453,MATCH(C44,'Locations'!$A$6:$A$453,0))</x:f>
        <x:v>42.7292649683324</x:v>
      </x:c>
      <x:c r="V44" s="66" t="n">
        <x:f>INDEX('Locations'!$E$6:$E$453,MATCH(C44,'Locations'!$A$6:$A$453,0))</x:f>
        <x:v>-73.6746298176746</x:v>
      </x:c>
      <x:c r="W44" s="44"/>
    </x:row>
    <x:row r="45" ht="23" customHeight="1">
      <x:c r="A45" s="24" t="s">
        <x:v>645</x:v>
      </x:c>
      <x:c r="B45" s="53" t="s">
        <x:v>78</x:v>
      </x:c>
      <x:c r="C45" s="53" t="s">
        <x:v>242</x:v>
      </x:c>
      <x:c r="D45" s="53" t="s">
        <x:v>606</x:v>
      </x:c>
      <x:c r="E45" s="67" t="n">
        <x:f>2*6371000*ASIN(SQRT(MIN(1,SIN(RADIANS(U45-S45)/2)^2+COS(RADIANS(S45))*COS(RADIANS(U45))*SIN(RADIANS(V45-T45)/2)^2)))</x:f>
        <x:v>27.47047429348811</x:v>
      </x:c>
      <x:c r="F45" s="48" t="s">
        <x:v>67</x:v>
      </x:c>
      <x:c r="G45" s="48" t="s">
        <x:v>66</x:v>
      </x:c>
      <x:c r="H45" s="48" t="s">
        <x:v>66</x:v>
      </x:c>
      <x:c r="I45" s="48" t="s">
        <x:v>66</x:v>
      </x:c>
      <x:c r="J45" s="48" t="s">
        <x:v>66</x:v>
      </x:c>
      <x:c r="K45" s="64"/>
      <x:c r="L45" s="64"/>
      <x:c r="M45" s="50"/>
      <x:c r="N45" s="49"/>
      <x:c r="O45" s="50"/>
      <x:c r="P45" s="50"/>
      <x:c r="Q45" s="32">
        <x:v>41</x:v>
      </x:c>
      <x:c r="R45" s="68"/>
      <x:c r="S45" s="54" t="n">
        <x:f>INDEX('Locations'!$D$6:$D$453,MATCH(B45,'Locations'!$A$6:$A$453,0))</x:f>
        <x:v>42.7290866948623</x:v>
      </x:c>
      <x:c r="T45" s="54" t="n">
        <x:f>INDEX('Locations'!$E$6:$E$453,MATCH(B45,'Locations'!$A$6:$A$453,0))</x:f>
        <x:v>-73.6740898425949</x:v>
      </x:c>
      <x:c r="U45" s="54" t="n">
        <x:f>INDEX('Locations'!$D$6:$D$453,MATCH(C45,'Locations'!$A$6:$A$453,0))</x:f>
        <x:v>42.728839648476</x:v>
      </x:c>
      <x:c r="V45" s="69" t="n">
        <x:f>INDEX('Locations'!$E$6:$E$453,MATCH(C45,'Locations'!$A$6:$A$453,0))</x:f>
        <x:v>-73.6740886611846</x:v>
      </x:c>
      <x:c r="W45" s="44"/>
    </x:row>
    <x:row r="46" ht="23" customHeight="1">
      <x:c r="A46" s="21" t="s">
        <x:v>646</x:v>
      </x:c>
      <x:c r="B46" s="45" t="s">
        <x:v>238</x:v>
      </x:c>
      <x:c r="C46" s="45" t="s">
        <x:v>242</x:v>
      </x:c>
      <x:c r="D46" s="45" t="s">
        <x:v>606</x:v>
      </x:c>
      <x:c r="E46" s="63" t="n">
        <x:f>2*6371000*ASIN(SQRT(MIN(1,SIN(RADIANS(U46-S46)/2)^2+COS(RADIANS(S46))*COS(RADIANS(U46))*SIN(RADIANS(V46-T46)/2)^2)))</x:f>
        <x:v>24.293947161329147</x:v>
      </x:c>
      <x:c r="F46" s="48" t="s">
        <x:v>67</x:v>
      </x:c>
      <x:c r="G46" s="48" t="s">
        <x:v>66</x:v>
      </x:c>
      <x:c r="H46" s="48" t="s">
        <x:v>66</x:v>
      </x:c>
      <x:c r="I46" s="48" t="s">
        <x:v>66</x:v>
      </x:c>
      <x:c r="J46" s="48" t="s">
        <x:v>66</x:v>
      </x:c>
      <x:c r="K46" s="64"/>
      <x:c r="L46" s="64"/>
      <x:c r="M46" s="50"/>
      <x:c r="N46" s="49"/>
      <x:c r="O46" s="50"/>
      <x:c r="P46" s="50"/>
      <x:c r="Q46" s="30">
        <x:v>42</x:v>
      </x:c>
      <x:c r="R46" s="65"/>
      <x:c r="S46" s="46" t="n">
        <x:f>INDEX('Locations'!$D$6:$D$453,MATCH(B46,'Locations'!$A$6:$A$453,0))</x:f>
        <x:v>42.7286327361135</x:v>
      </x:c>
      <x:c r="T46" s="46" t="n">
        <x:f>INDEX('Locations'!$E$6:$E$453,MATCH(B46,'Locations'!$A$6:$A$453,0))</x:f>
        <x:v>-73.6741841593887</x:v>
      </x:c>
      <x:c r="U46" s="46" t="n">
        <x:f>INDEX('Locations'!$D$6:$D$453,MATCH(C46,'Locations'!$A$6:$A$453,0))</x:f>
        <x:v>42.728839648476</x:v>
      </x:c>
      <x:c r="V46" s="66" t="n">
        <x:f>INDEX('Locations'!$E$6:$E$453,MATCH(C46,'Locations'!$A$6:$A$453,0))</x:f>
        <x:v>-73.6740886611846</x:v>
      </x:c>
      <x:c r="W46" s="44"/>
    </x:row>
    <x:row r="47" ht="23" customHeight="1">
      <x:c r="A47" s="24" t="s">
        <x:v>647</x:v>
      </x:c>
      <x:c r="B47" s="53" t="s">
        <x:v>243</x:v>
      </x:c>
      <x:c r="C47" s="53" t="s">
        <x:v>242</x:v>
      </x:c>
      <x:c r="D47" s="53" t="s">
        <x:v>606</x:v>
      </x:c>
      <x:c r="E47" s="67" t="n">
        <x:f>2*6371000*ASIN(SQRT(MIN(1,SIN(RADIANS(U47-S47)/2)^2+COS(RADIANS(S47))*COS(RADIANS(U47))*SIN(RADIANS(V47-T47)/2)^2)))</x:f>
        <x:v>29.730139282537728</x:v>
      </x:c>
      <x:c r="F47" s="48" t="s">
        <x:v>67</x:v>
      </x:c>
      <x:c r="G47" s="48" t="s">
        <x:v>66</x:v>
      </x:c>
      <x:c r="H47" s="48" t="s">
        <x:v>66</x:v>
      </x:c>
      <x:c r="I47" s="48" t="s">
        <x:v>66</x:v>
      </x:c>
      <x:c r="J47" s="48" t="s">
        <x:v>66</x:v>
      </x:c>
      <x:c r="K47" s="64"/>
      <x:c r="L47" s="64"/>
      <x:c r="M47" s="50"/>
      <x:c r="N47" s="49"/>
      <x:c r="O47" s="50"/>
      <x:c r="P47" s="50"/>
      <x:c r="Q47" s="32">
        <x:v>43</x:v>
      </x:c>
      <x:c r="R47" s="68"/>
      <x:c r="S47" s="54" t="n">
        <x:f>INDEX('Locations'!$D$6:$D$453,MATCH(B47,'Locations'!$A$6:$A$453,0))</x:f>
        <x:v>42.7289339085523</x:v>
      </x:c>
      <x:c r="T47" s="54" t="n">
        <x:f>INDEX('Locations'!$E$6:$E$453,MATCH(B47,'Locations'!$A$6:$A$453,0))</x:f>
        <x:v>-73.6744292714459</x:v>
      </x:c>
      <x:c r="U47" s="54" t="n">
        <x:f>INDEX('Locations'!$D$6:$D$453,MATCH(C47,'Locations'!$A$6:$A$453,0))</x:f>
        <x:v>42.728839648476</x:v>
      </x:c>
      <x:c r="V47" s="69" t="n">
        <x:f>INDEX('Locations'!$E$6:$E$453,MATCH(C47,'Locations'!$A$6:$A$453,0))</x:f>
        <x:v>-73.6740886611846</x:v>
      </x:c>
      <x:c r="W47" s="44"/>
    </x:row>
    <x:row r="48" ht="23" customHeight="1">
      <x:c r="A48" s="21" t="s">
        <x:v>648</x:v>
      </x:c>
      <x:c r="B48" s="45" t="s">
        <x:v>241</x:v>
      </x:c>
      <x:c r="C48" s="45" t="s">
        <x:v>242</x:v>
      </x:c>
      <x:c r="D48" s="45" t="s">
        <x:v>606</x:v>
      </x:c>
      <x:c r="E48" s="63" t="n">
        <x:f>2*6371000*ASIN(SQRT(MIN(1,SIN(RADIANS(U48-S48)/2)^2+COS(RADIANS(S48))*COS(RADIANS(U48))*SIN(RADIANS(V48-T48)/2)^2)))</x:f>
        <x:v>24.969366961723377</x:v>
      </x:c>
      <x:c r="F48" s="48" t="s">
        <x:v>67</x:v>
      </x:c>
      <x:c r="G48" s="48" t="s">
        <x:v>66</x:v>
      </x:c>
      <x:c r="H48" s="48" t="s">
        <x:v>66</x:v>
      </x:c>
      <x:c r="I48" s="48" t="s">
        <x:v>66</x:v>
      </x:c>
      <x:c r="J48" s="48" t="s">
        <x:v>66</x:v>
      </x:c>
      <x:c r="K48" s="64"/>
      <x:c r="L48" s="64"/>
      <x:c r="M48" s="50"/>
      <x:c r="N48" s="49"/>
      <x:c r="O48" s="50"/>
      <x:c r="P48" s="50"/>
      <x:c r="Q48" s="30">
        <x:v>44</x:v>
      </x:c>
      <x:c r="R48" s="65"/>
      <x:c r="S48" s="46" t="n">
        <x:f>INDEX('Locations'!$D$6:$D$453,MATCH(B48,'Locations'!$A$6:$A$453,0))</x:f>
        <x:v>42.7288339009104</x:v>
      </x:c>
      <x:c r="T48" s="46" t="n">
        <x:f>INDEX('Locations'!$E$6:$E$453,MATCH(B48,'Locations'!$A$6:$A$453,0))</x:f>
        <x:v>-73.6737830669314</x:v>
      </x:c>
      <x:c r="U48" s="46" t="n">
        <x:f>INDEX('Locations'!$D$6:$D$453,MATCH(C48,'Locations'!$A$6:$A$453,0))</x:f>
        <x:v>42.728839648476</x:v>
      </x:c>
      <x:c r="V48" s="66" t="n">
        <x:f>INDEX('Locations'!$E$6:$E$453,MATCH(C48,'Locations'!$A$6:$A$453,0))</x:f>
        <x:v>-73.6740886611846</x:v>
      </x:c>
      <x:c r="W48" s="44"/>
    </x:row>
    <x:row r="49" ht="23" customHeight="1">
      <x:c r="A49" s="24" t="s">
        <x:v>649</x:v>
      </x:c>
      <x:c r="B49" s="53" t="s">
        <x:v>240</x:v>
      </x:c>
      <x:c r="C49" s="53" t="s">
        <x:v>241</x:v>
      </x:c>
      <x:c r="D49" s="53" t="s">
        <x:v>606</x:v>
      </x:c>
      <x:c r="E49" s="67" t="n">
        <x:f>2*6371000*ASIN(SQRT(MIN(1,SIN(RADIANS(U49-S49)/2)^2+COS(RADIANS(S49))*COS(RADIANS(U49))*SIN(RADIANS(V49-T49)/2)^2)))</x:f>
        <x:v>31.944882314848567</x:v>
      </x:c>
      <x:c r="F49" s="48" t="s">
        <x:v>67</x:v>
      </x:c>
      <x:c r="G49" s="48" t="s">
        <x:v>66</x:v>
      </x:c>
      <x:c r="H49" s="48" t="s">
        <x:v>66</x:v>
      </x:c>
      <x:c r="I49" s="48" t="s">
        <x:v>66</x:v>
      </x:c>
      <x:c r="J49" s="48" t="s">
        <x:v>66</x:v>
      </x:c>
      <x:c r="K49" s="64"/>
      <x:c r="L49" s="64"/>
      <x:c r="M49" s="50"/>
      <x:c r="N49" s="49"/>
      <x:c r="O49" s="50"/>
      <x:c r="P49" s="50"/>
      <x:c r="Q49" s="32">
        <x:v>45</x:v>
      </x:c>
      <x:c r="R49" s="68"/>
      <x:c r="S49" s="54" t="n">
        <x:f>INDEX('Locations'!$D$6:$D$453,MATCH(B49,'Locations'!$A$6:$A$453,0))</x:f>
        <x:v>42.729004028853</x:v>
      </x:c>
      <x:c r="T49" s="54" t="n">
        <x:f>INDEX('Locations'!$E$6:$E$453,MATCH(B49,'Locations'!$A$6:$A$453,0))</x:f>
        <x:v>-73.6734679228578</x:v>
      </x:c>
      <x:c r="U49" s="54" t="n">
        <x:f>INDEX('Locations'!$D$6:$D$453,MATCH(C49,'Locations'!$A$6:$A$453,0))</x:f>
        <x:v>42.7288339009104</x:v>
      </x:c>
      <x:c r="V49" s="69" t="n">
        <x:f>INDEX('Locations'!$E$6:$E$453,MATCH(C49,'Locations'!$A$6:$A$453,0))</x:f>
        <x:v>-73.6737830669314</x:v>
      </x:c>
      <x:c r="W49" s="44"/>
    </x:row>
    <x:row r="50" ht="23" customHeight="1">
      <x:c r="A50" s="21" t="s">
        <x:v>650</x:v>
      </x:c>
      <x:c r="B50" s="45" t="s">
        <x:v>238</x:v>
      </x:c>
      <x:c r="C50" s="45" t="s">
        <x:v>245</x:v>
      </x:c>
      <x:c r="D50" s="45" t="s">
        <x:v>606</x:v>
      </x:c>
      <x:c r="E50" s="63" t="n">
        <x:f>2*6371000*ASIN(SQRT(MIN(1,SIN(RADIANS(U50-S50)/2)^2+COS(RADIANS(S50))*COS(RADIANS(U50))*SIN(RADIANS(V50-T50)/2)^2)))</x:f>
        <x:v>32.04143175744371</x:v>
      </x:c>
      <x:c r="F50" s="48" t="s">
        <x:v>67</x:v>
      </x:c>
      <x:c r="G50" s="48" t="s">
        <x:v>66</x:v>
      </x:c>
      <x:c r="H50" s="48" t="s">
        <x:v>66</x:v>
      </x:c>
      <x:c r="I50" s="48" t="s">
        <x:v>66</x:v>
      </x:c>
      <x:c r="J50" s="48" t="s">
        <x:v>66</x:v>
      </x:c>
      <x:c r="K50" s="64"/>
      <x:c r="L50" s="64"/>
      <x:c r="M50" s="50"/>
      <x:c r="N50" s="49"/>
      <x:c r="O50" s="50"/>
      <x:c r="P50" s="50"/>
      <x:c r="Q50" s="30">
        <x:v>46</x:v>
      </x:c>
      <x:c r="R50" s="65"/>
      <x:c r="S50" s="46" t="n">
        <x:f>INDEX('Locations'!$D$6:$D$453,MATCH(B50,'Locations'!$A$6:$A$453,0))</x:f>
        <x:v>42.7286327361135</x:v>
      </x:c>
      <x:c r="T50" s="46" t="n">
        <x:f>INDEX('Locations'!$E$6:$E$453,MATCH(B50,'Locations'!$A$6:$A$453,0))</x:f>
        <x:v>-73.6741841593887</x:v>
      </x:c>
      <x:c r="U50" s="46" t="n">
        <x:f>INDEX('Locations'!$D$6:$D$453,MATCH(C50,'Locations'!$A$6:$A$453,0))</x:f>
        <x:v>42.7285177848009</x:v>
      </x:c>
      <x:c r="V50" s="66" t="n">
        <x:f>INDEX('Locations'!$E$6:$E$453,MATCH(C50,'Locations'!$A$6:$A$453,0))</x:f>
        <x:v>-73.6745438692909</x:v>
      </x:c>
      <x:c r="W50" s="44"/>
    </x:row>
    <x:row r="51" ht="23" customHeight="1">
      <x:c r="A51" s="24" t="s">
        <x:v>651</x:v>
      </x:c>
      <x:c r="B51" s="53" t="s">
        <x:v>130</x:v>
      </x:c>
      <x:c r="C51" s="53" t="s">
        <x:v>246</x:v>
      </x:c>
      <x:c r="D51" s="53" t="s">
        <x:v>606</x:v>
      </x:c>
      <x:c r="E51" s="67" t="n">
        <x:f>2*6371000*ASIN(SQRT(MIN(1,SIN(RADIANS(U51-S51)/2)^2+COS(RADIANS(S51))*COS(RADIANS(U51))*SIN(RADIANS(V51-T51)/2)^2)))</x:f>
        <x:v>44.197501300023156</x:v>
      </x:c>
      <x:c r="F51" s="48" t="s">
        <x:v>67</x:v>
      </x:c>
      <x:c r="G51" s="48" t="s">
        <x:v>66</x:v>
      </x:c>
      <x:c r="H51" s="48" t="s">
        <x:v>66</x:v>
      </x:c>
      <x:c r="I51" s="48" t="s">
        <x:v>66</x:v>
      </x:c>
      <x:c r="J51" s="48" t="s">
        <x:v>66</x:v>
      </x:c>
      <x:c r="K51" s="64"/>
      <x:c r="L51" s="64"/>
      <x:c r="M51" s="50"/>
      <x:c r="N51" s="49"/>
      <x:c r="O51" s="50"/>
      <x:c r="P51" s="50"/>
      <x:c r="Q51" s="32">
        <x:v>47</x:v>
      </x:c>
      <x:c r="R51" s="68"/>
      <x:c r="S51" s="54" t="n">
        <x:f>INDEX('Locations'!$D$6:$D$453,MATCH(B51,'Locations'!$A$6:$A$453,0))</x:f>
        <x:v>42.7285552030114</x:v>
      </x:c>
      <x:c r="T51" s="54" t="n">
        <x:f>INDEX('Locations'!$E$6:$E$453,MATCH(B51,'Locations'!$A$6:$A$453,0))</x:f>
        <x:v>-73.6751461783729</x:v>
      </x:c>
      <x:c r="U51" s="54" t="n">
        <x:f>INDEX('Locations'!$D$6:$D$453,MATCH(C51,'Locations'!$A$6:$A$453,0))</x:f>
        <x:v>42.7283143209778</x:v>
      </x:c>
      <x:c r="V51" s="69" t="n">
        <x:f>INDEX('Locations'!$E$6:$E$453,MATCH(C51,'Locations'!$A$6:$A$453,0))</x:f>
        <x:v>-73.6747157660583</x:v>
      </x:c>
      <x:c r="W51" s="44"/>
    </x:row>
    <x:row r="52" ht="23" customHeight="1">
      <x:c r="A52" s="21" t="s">
        <x:v>652</x:v>
      </x:c>
      <x:c r="B52" s="45" t="s">
        <x:v>245</x:v>
      </x:c>
      <x:c r="C52" s="45" t="s">
        <x:v>246</x:v>
      </x:c>
      <x:c r="D52" s="45" t="s">
        <x:v>606</x:v>
      </x:c>
      <x:c r="E52" s="63" t="n">
        <x:f>2*6371000*ASIN(SQRT(MIN(1,SIN(RADIANS(U52-S52)/2)^2+COS(RADIANS(S52))*COS(RADIANS(U52))*SIN(RADIANS(V52-T52)/2)^2)))</x:f>
        <x:v>26.6269590661168</x:v>
      </x:c>
      <x:c r="F52" s="48" t="s">
        <x:v>67</x:v>
      </x:c>
      <x:c r="G52" s="48" t="s">
        <x:v>66</x:v>
      </x:c>
      <x:c r="H52" s="48" t="s">
        <x:v>66</x:v>
      </x:c>
      <x:c r="I52" s="48" t="s">
        <x:v>66</x:v>
      </x:c>
      <x:c r="J52" s="48" t="s">
        <x:v>66</x:v>
      </x:c>
      <x:c r="K52" s="64"/>
      <x:c r="L52" s="64"/>
      <x:c r="M52" s="50"/>
      <x:c r="N52" s="49"/>
      <x:c r="O52" s="50"/>
      <x:c r="P52" s="50"/>
      <x:c r="Q52" s="30">
        <x:v>48</x:v>
      </x:c>
      <x:c r="R52" s="65"/>
      <x:c r="S52" s="46" t="n">
        <x:f>INDEX('Locations'!$D$6:$D$453,MATCH(B52,'Locations'!$A$6:$A$453,0))</x:f>
        <x:v>42.7285177848009</x:v>
      </x:c>
      <x:c r="T52" s="46" t="n">
        <x:f>INDEX('Locations'!$E$6:$E$453,MATCH(B52,'Locations'!$A$6:$A$453,0))</x:f>
        <x:v>-73.6745438692909</x:v>
      </x:c>
      <x:c r="U52" s="46" t="n">
        <x:f>INDEX('Locations'!$D$6:$D$453,MATCH(C52,'Locations'!$A$6:$A$453,0))</x:f>
        <x:v>42.7283143209778</x:v>
      </x:c>
      <x:c r="V52" s="66" t="n">
        <x:f>INDEX('Locations'!$E$6:$E$453,MATCH(C52,'Locations'!$A$6:$A$453,0))</x:f>
        <x:v>-73.6747157660583</x:v>
      </x:c>
      <x:c r="W52" s="44"/>
    </x:row>
    <x:row r="53" ht="23" customHeight="1">
      <x:c r="A53" s="24" t="s">
        <x:v>653</x:v>
      </x:c>
      <x:c r="B53" s="53" t="s">
        <x:v>245</x:v>
      </x:c>
      <x:c r="C53" s="53" t="s">
        <x:v>108</x:v>
      </x:c>
      <x:c r="D53" s="53" t="s">
        <x:v>606</x:v>
      </x:c>
      <x:c r="E53" s="67" t="n">
        <x:f>2*6371000*ASIN(SQRT(MIN(1,SIN(RADIANS(U53-S53)/2)^2+COS(RADIANS(S53))*COS(RADIANS(U53))*SIN(RADIANS(V53-T53)/2)^2)))</x:f>
        <x:v>31.006063485796744</x:v>
      </x:c>
      <x:c r="F53" s="48" t="s">
        <x:v>67</x:v>
      </x:c>
      <x:c r="G53" s="48" t="s">
        <x:v>66</x:v>
      </x:c>
      <x:c r="H53" s="48" t="s">
        <x:v>66</x:v>
      </x:c>
      <x:c r="I53" s="48" t="s">
        <x:v>66</x:v>
      </x:c>
      <x:c r="J53" s="48" t="s">
        <x:v>66</x:v>
      </x:c>
      <x:c r="K53" s="64"/>
      <x:c r="L53" s="64"/>
      <x:c r="M53" s="50"/>
      <x:c r="N53" s="49"/>
      <x:c r="O53" s="50"/>
      <x:c r="P53" s="50"/>
      <x:c r="Q53" s="32">
        <x:v>49</x:v>
      </x:c>
      <x:c r="R53" s="68"/>
      <x:c r="S53" s="54" t="n">
        <x:f>INDEX('Locations'!$D$6:$D$453,MATCH(B53,'Locations'!$A$6:$A$453,0))</x:f>
        <x:v>42.7285177848009</x:v>
      </x:c>
      <x:c r="T53" s="54" t="n">
        <x:f>INDEX('Locations'!$E$6:$E$453,MATCH(B53,'Locations'!$A$6:$A$453,0))</x:f>
        <x:v>-73.6745438692909</x:v>
      </x:c>
      <x:c r="U53" s="54" t="n">
        <x:f>INDEX('Locations'!$D$6:$D$453,MATCH(C53,'Locations'!$A$6:$A$453,0))</x:f>
        <x:v>42.7282969500132</x:v>
      </x:c>
      <x:c r="V53" s="69" t="n">
        <x:f>INDEX('Locations'!$E$6:$E$453,MATCH(C53,'Locations'!$A$6:$A$453,0))</x:f>
        <x:v>-73.6743120995072</x:v>
      </x:c>
      <x:c r="W53" s="44"/>
    </x:row>
    <x:row r="54" ht="23" customHeight="1">
      <x:c r="A54" s="21" t="s">
        <x:v>654</x:v>
      </x:c>
      <x:c r="B54" s="45" t="s">
        <x:v>238</x:v>
      </x:c>
      <x:c r="C54" s="45" t="s">
        <x:v>248</x:v>
      </x:c>
      <x:c r="D54" s="45" t="s">
        <x:v>606</x:v>
      </x:c>
      <x:c r="E54" s="63" t="n">
        <x:f>2*6371000*ASIN(SQRT(MIN(1,SIN(RADIANS(U54-S54)/2)^2+COS(RADIANS(S54))*COS(RADIANS(U54))*SIN(RADIANS(V54-T54)/2)^2)))</x:f>
        <x:v>31.078433894370228</x:v>
      </x:c>
      <x:c r="F54" s="48" t="s">
        <x:v>67</x:v>
      </x:c>
      <x:c r="G54" s="48" t="s">
        <x:v>66</x:v>
      </x:c>
      <x:c r="H54" s="48" t="s">
        <x:v>66</x:v>
      </x:c>
      <x:c r="I54" s="48" t="s">
        <x:v>66</x:v>
      </x:c>
      <x:c r="J54" s="48" t="s">
        <x:v>66</x:v>
      </x:c>
      <x:c r="K54" s="64"/>
      <x:c r="L54" s="64"/>
      <x:c r="M54" s="50"/>
      <x:c r="N54" s="49"/>
      <x:c r="O54" s="50"/>
      <x:c r="P54" s="50"/>
      <x:c r="Q54" s="30">
        <x:v>50</x:v>
      </x:c>
      <x:c r="R54" s="65"/>
      <x:c r="S54" s="46" t="n">
        <x:f>INDEX('Locations'!$D$6:$D$453,MATCH(B54,'Locations'!$A$6:$A$453,0))</x:f>
        <x:v>42.7286327361135</x:v>
      </x:c>
      <x:c r="T54" s="46" t="n">
        <x:f>INDEX('Locations'!$E$6:$E$453,MATCH(B54,'Locations'!$A$6:$A$453,0))</x:f>
        <x:v>-73.6741841593887</x:v>
      </x:c>
      <x:c r="U54" s="46" t="n">
        <x:f>INDEX('Locations'!$D$6:$D$453,MATCH(C54,'Locations'!$A$6:$A$453,0))</x:f>
        <x:v>42.7284488140134</x:v>
      </x:c>
      <x:c r="V54" s="66" t="n">
        <x:f>INDEX('Locations'!$E$6:$E$453,MATCH(C54,'Locations'!$A$6:$A$453,0))</x:f>
        <x:v>-73.6738976647763</x:v>
      </x:c>
      <x:c r="W54" s="44"/>
    </x:row>
    <x:row r="55" ht="23" customHeight="1">
      <x:c r="A55" s="24" t="s">
        <x:v>655</x:v>
      </x:c>
      <x:c r="B55" s="53" t="s">
        <x:v>247</x:v>
      </x:c>
      <x:c r="C55" s="53" t="s">
        <x:v>248</x:v>
      </x:c>
      <x:c r="D55" s="53" t="s">
        <x:v>606</x:v>
      </x:c>
      <x:c r="E55" s="67" t="n">
        <x:f>2*6371000*ASIN(SQRT(MIN(1,SIN(RADIANS(U55-S55)/2)^2+COS(RADIANS(S55))*COS(RADIANS(U55))*SIN(RADIANS(V55-T55)/2)^2)))</x:f>
        <x:v>40.925902444184814</x:v>
      </x:c>
      <x:c r="F55" s="48" t="s">
        <x:v>67</x:v>
      </x:c>
      <x:c r="G55" s="48" t="s">
        <x:v>66</x:v>
      </x:c>
      <x:c r="H55" s="48" t="s">
        <x:v>66</x:v>
      </x:c>
      <x:c r="I55" s="48" t="s">
        <x:v>66</x:v>
      </x:c>
      <x:c r="J55" s="48" t="s">
        <x:v>66</x:v>
      </x:c>
      <x:c r="K55" s="64"/>
      <x:c r="L55" s="64"/>
      <x:c r="M55" s="50"/>
      <x:c r="N55" s="49"/>
      <x:c r="O55" s="50"/>
      <x:c r="P55" s="50"/>
      <x:c r="Q55" s="32">
        <x:v>51</x:v>
      </x:c>
      <x:c r="R55" s="68"/>
      <x:c r="S55" s="54" t="n">
        <x:f>INDEX('Locations'!$D$6:$D$453,MATCH(B55,'Locations'!$A$6:$A$453,0))</x:f>
        <x:v>42.7281039600758</x:v>
      </x:c>
      <x:c r="T55" s="54" t="n">
        <x:f>INDEX('Locations'!$E$6:$E$453,MATCH(B55,'Locations'!$A$6:$A$453,0))</x:f>
        <x:v>-73.6737225847355</x:v>
      </x:c>
      <x:c r="U55" s="54" t="n">
        <x:f>INDEX('Locations'!$D$6:$D$453,MATCH(C55,'Locations'!$A$6:$A$453,0))</x:f>
        <x:v>42.7284488140134</x:v>
      </x:c>
      <x:c r="V55" s="69" t="n">
        <x:f>INDEX('Locations'!$E$6:$E$453,MATCH(C55,'Locations'!$A$6:$A$453,0))</x:f>
        <x:v>-73.6738976647763</x:v>
      </x:c>
      <x:c r="W55" s="44"/>
    </x:row>
    <x:row r="56" ht="23" customHeight="1">
      <x:c r="A56" s="21" t="s">
        <x:v>656</x:v>
      </x:c>
      <x:c r="B56" s="45" t="s">
        <x:v>110</x:v>
      </x:c>
      <x:c r="C56" s="45" t="s">
        <x:v>247</x:v>
      </x:c>
      <x:c r="D56" s="45" t="s">
        <x:v>606</x:v>
      </x:c>
      <x:c r="E56" s="63" t="n">
        <x:f>2*6371000*ASIN(SQRT(MIN(1,SIN(RADIANS(U56-S56)/2)^2+COS(RADIANS(S56))*COS(RADIANS(U56))*SIN(RADIANS(V56-T56)/2)^2)))</x:f>
        <x:v>28.66870646593531</x:v>
      </x:c>
      <x:c r="F56" s="48" t="s">
        <x:v>67</x:v>
      </x:c>
      <x:c r="G56" s="48" t="s">
        <x:v>66</x:v>
      </x:c>
      <x:c r="H56" s="48" t="s">
        <x:v>66</x:v>
      </x:c>
      <x:c r="I56" s="48" t="s">
        <x:v>66</x:v>
      </x:c>
      <x:c r="J56" s="48" t="s">
        <x:v>66</x:v>
      </x:c>
      <x:c r="K56" s="64"/>
      <x:c r="L56" s="64"/>
      <x:c r="M56" s="50"/>
      <x:c r="N56" s="49"/>
      <x:c r="O56" s="50"/>
      <x:c r="P56" s="50"/>
      <x:c r="Q56" s="30">
        <x:v>52</x:v>
      </x:c>
      <x:c r="R56" s="65"/>
      <x:c r="S56" s="46" t="n">
        <x:f>INDEX('Locations'!$D$6:$D$453,MATCH(B56,'Locations'!$A$6:$A$453,0))</x:f>
        <x:v>42.7283076056935</x:v>
      </x:c>
      <x:c r="T56" s="46" t="n">
        <x:f>INDEX('Locations'!$E$6:$E$453,MATCH(B56,'Locations'!$A$6:$A$453,0))</x:f>
        <x:v>-73.6735073340676</x:v>
      </x:c>
      <x:c r="U56" s="46" t="n">
        <x:f>INDEX('Locations'!$D$6:$D$453,MATCH(C56,'Locations'!$A$6:$A$453,0))</x:f>
        <x:v>42.7281039600758</x:v>
      </x:c>
      <x:c r="V56" s="66" t="n">
        <x:f>INDEX('Locations'!$E$6:$E$453,MATCH(C56,'Locations'!$A$6:$A$453,0))</x:f>
        <x:v>-73.6737225847355</x:v>
      </x:c>
      <x:c r="W56" s="44"/>
    </x:row>
    <x:row r="57" ht="23" customHeight="1">
      <x:c r="A57" s="24" t="s">
        <x:v>657</x:v>
      </x:c>
      <x:c r="B57" s="53" t="s">
        <x:v>233</x:v>
      </x:c>
      <x:c r="C57" s="53" t="s">
        <x:v>249</x:v>
      </x:c>
      <x:c r="D57" s="53" t="s">
        <x:v>606</x:v>
      </x:c>
      <x:c r="E57" s="67" t="n">
        <x:f>2*6371000*ASIN(SQRT(MIN(1,SIN(RADIANS(U57-S57)/2)^2+COS(RADIANS(S57))*COS(RADIANS(U57))*SIN(RADIANS(V57-T57)/2)^2)))</x:f>
        <x:v>128.01142206189903</x:v>
      </x:c>
      <x:c r="F57" s="48" t="s">
        <x:v>67</x:v>
      </x:c>
      <x:c r="G57" s="48" t="s">
        <x:v>66</x:v>
      </x:c>
      <x:c r="H57" s="48" t="s">
        <x:v>66</x:v>
      </x:c>
      <x:c r="I57" s="48" t="s">
        <x:v>66</x:v>
      </x:c>
      <x:c r="J57" s="48" t="s">
        <x:v>66</x:v>
      </x:c>
      <x:c r="K57" s="64"/>
      <x:c r="L57" s="64"/>
      <x:c r="M57" s="50"/>
      <x:c r="N57" s="49"/>
      <x:c r="O57" s="50"/>
      <x:c r="P57" s="50"/>
      <x:c r="Q57" s="32">
        <x:v>53</x:v>
      </x:c>
      <x:c r="R57" s="68"/>
      <x:c r="S57" s="54" t="n">
        <x:f>INDEX('Locations'!$D$6:$D$453,MATCH(B57,'Locations'!$A$6:$A$453,0))</x:f>
        <x:v>42.7291212791917</x:v>
      </x:c>
      <x:c r="T57" s="54" t="n">
        <x:f>INDEX('Locations'!$E$6:$E$453,MATCH(B57,'Locations'!$A$6:$A$453,0))</x:f>
        <x:v>-73.6725208990003</x:v>
      </x:c>
      <x:c r="U57" s="54" t="n">
        <x:f>INDEX('Locations'!$D$6:$D$453,MATCH(C57,'Locations'!$A$6:$A$453,0))</x:f>
        <x:v>42.7280005038946</x:v>
      </x:c>
      <x:c r="V57" s="69" t="n">
        <x:f>INDEX('Locations'!$E$6:$E$453,MATCH(C57,'Locations'!$A$6:$A$453,0))</x:f>
        <x:v>-73.6728790172658</x:v>
      </x:c>
      <x:c r="W57" s="44"/>
    </x:row>
    <x:row r="58" ht="23" customHeight="1">
      <x:c r="A58" s="21" t="s">
        <x:v>658</x:v>
      </x:c>
      <x:c r="B58" s="45" t="s">
        <x:v>247</x:v>
      </x:c>
      <x:c r="C58" s="45" t="s">
        <x:v>249</x:v>
      </x:c>
      <x:c r="D58" s="45" t="s">
        <x:v>606</x:v>
      </x:c>
      <x:c r="E58" s="63" t="n">
        <x:f>2*6371000*ASIN(SQRT(MIN(1,SIN(RADIANS(U58-S58)/2)^2+COS(RADIANS(S58))*COS(RADIANS(U58))*SIN(RADIANS(V58-T58)/2)^2)))</x:f>
        <x:v>69.85784818446635</x:v>
      </x:c>
      <x:c r="F58" s="48" t="s">
        <x:v>67</x:v>
      </x:c>
      <x:c r="G58" s="48" t="s">
        <x:v>66</x:v>
      </x:c>
      <x:c r="H58" s="48" t="s">
        <x:v>66</x:v>
      </x:c>
      <x:c r="I58" s="48" t="s">
        <x:v>66</x:v>
      </x:c>
      <x:c r="J58" s="48" t="s">
        <x:v>66</x:v>
      </x:c>
      <x:c r="K58" s="64"/>
      <x:c r="L58" s="64"/>
      <x:c r="M58" s="50"/>
      <x:c r="N58" s="49"/>
      <x:c r="O58" s="50"/>
      <x:c r="P58" s="50"/>
      <x:c r="Q58" s="30">
        <x:v>54</x:v>
      </x:c>
      <x:c r="R58" s="65"/>
      <x:c r="S58" s="46" t="n">
        <x:f>INDEX('Locations'!$D$6:$D$453,MATCH(B58,'Locations'!$A$6:$A$453,0))</x:f>
        <x:v>42.7281039600758</x:v>
      </x:c>
      <x:c r="T58" s="46" t="n">
        <x:f>INDEX('Locations'!$E$6:$E$453,MATCH(B58,'Locations'!$A$6:$A$453,0))</x:f>
        <x:v>-73.6737225847355</x:v>
      </x:c>
      <x:c r="U58" s="46" t="n">
        <x:f>INDEX('Locations'!$D$6:$D$453,MATCH(C58,'Locations'!$A$6:$A$453,0))</x:f>
        <x:v>42.7280005038946</x:v>
      </x:c>
      <x:c r="V58" s="66" t="n">
        <x:f>INDEX('Locations'!$E$6:$E$453,MATCH(C58,'Locations'!$A$6:$A$453,0))</x:f>
        <x:v>-73.6728790172658</x:v>
      </x:c>
      <x:c r="W58" s="44"/>
    </x:row>
    <x:row r="59" ht="23" customHeight="1">
      <x:c r="A59" s="24" t="s">
        <x:v>659</x:v>
      </x:c>
      <x:c r="B59" s="53" t="s">
        <x:v>245</x:v>
      </x:c>
      <x:c r="C59" s="53" t="s">
        <x:v>250</x:v>
      </x:c>
      <x:c r="D59" s="53" t="s">
        <x:v>606</x:v>
      </x:c>
      <x:c r="E59" s="67" t="n">
        <x:f>2*6371000*ASIN(SQRT(MIN(1,SIN(RADIANS(U59-S59)/2)^2+COS(RADIANS(S59))*COS(RADIANS(U59))*SIN(RADIANS(V59-T59)/2)^2)))</x:f>
        <x:v>52.318687807276504</x:v>
      </x:c>
      <x:c r="F59" s="48" t="s">
        <x:v>67</x:v>
      </x:c>
      <x:c r="G59" s="48" t="s">
        <x:v>66</x:v>
      </x:c>
      <x:c r="H59" s="48" t="s">
        <x:v>66</x:v>
      </x:c>
      <x:c r="I59" s="48" t="s">
        <x:v>66</x:v>
      </x:c>
      <x:c r="J59" s="48" t="s">
        <x:v>66</x:v>
      </x:c>
      <x:c r="K59" s="64"/>
      <x:c r="L59" s="64"/>
      <x:c r="M59" s="50"/>
      <x:c r="N59" s="49"/>
      <x:c r="O59" s="50"/>
      <x:c r="P59" s="50"/>
      <x:c r="Q59" s="32">
        <x:v>55</x:v>
      </x:c>
      <x:c r="R59" s="68"/>
      <x:c r="S59" s="54" t="n">
        <x:f>INDEX('Locations'!$D$6:$D$453,MATCH(B59,'Locations'!$A$6:$A$453,0))</x:f>
        <x:v>42.7285177848009</x:v>
      </x:c>
      <x:c r="T59" s="54" t="n">
        <x:f>INDEX('Locations'!$E$6:$E$453,MATCH(B59,'Locations'!$A$6:$A$453,0))</x:f>
        <x:v>-73.6745438692909</x:v>
      </x:c>
      <x:c r="U59" s="54" t="n">
        <x:f>INDEX('Locations'!$D$6:$D$453,MATCH(C59,'Locations'!$A$6:$A$453,0))</x:f>
        <x:v>42.7288511436073</x:v>
      </x:c>
      <x:c r="V59" s="69" t="n">
        <x:f>INDEX('Locations'!$E$6:$E$453,MATCH(C59,'Locations'!$A$6:$A$453,0))</x:f>
        <x:v>-73.6749958941237</x:v>
      </x:c>
      <x:c r="W59" s="44"/>
    </x:row>
    <x:row r="60" ht="23" customHeight="1">
      <x:c r="A60" s="21" t="s">
        <x:v>660</x:v>
      </x:c>
      <x:c r="B60" s="45" t="s">
        <x:v>252</x:v>
      </x:c>
      <x:c r="C60" s="45" t="s">
        <x:v>251</x:v>
      </x:c>
      <x:c r="D60" s="45" t="s">
        <x:v>661</x:v>
      </x:c>
      <x:c r="E60" s="63" t="n">
        <x:f>2*6371000*ASIN(SQRT(MIN(1,SIN(RADIANS(U60-S60)/2)^2+COS(RADIANS(S60))*COS(RADIANS(U60))*SIN(RADIANS(V60-T60)/2)^2)))</x:f>
        <x:v>43.543426636790585</x:v>
      </x:c>
      <x:c r="F60" s="48" t="s">
        <x:v>67</x:v>
      </x:c>
      <x:c r="G60" s="48" t="s">
        <x:v>66</x:v>
      </x:c>
      <x:c r="H60" s="48" t="s">
        <x:v>66</x:v>
      </x:c>
      <x:c r="I60" s="48" t="s">
        <x:v>66</x:v>
      </x:c>
      <x:c r="J60" s="48" t="s">
        <x:v>66</x:v>
      </x:c>
      <x:c r="K60" s="64"/>
      <x:c r="L60" s="64"/>
      <x:c r="M60" s="50"/>
      <x:c r="N60" s="49"/>
      <x:c r="O60" s="50"/>
      <x:c r="P60" s="50"/>
      <x:c r="Q60" s="30">
        <x:v>56</x:v>
      </x:c>
      <x:c r="R60" s="65"/>
      <x:c r="S60" s="46" t="n">
        <x:f>INDEX('Locations'!$D$6:$D$453,MATCH(B60,'Locations'!$A$6:$A$453,0))</x:f>
        <x:v>42.7292488751486</x:v>
      </x:c>
      <x:c r="T60" s="46" t="n">
        <x:f>INDEX('Locations'!$E$6:$E$453,MATCH(B60,'Locations'!$A$6:$A$453,0))</x:f>
        <x:v>-73.6757344135688</x:v>
      </x:c>
      <x:c r="U60" s="46" t="n">
        <x:f>INDEX('Locations'!$D$6:$D$453,MATCH(C60,'Locations'!$A$6:$A$453,0))</x:f>
        <x:v>42.7290005803136</x:v>
      </x:c>
      <x:c r="V60" s="66" t="n">
        <x:f>INDEX('Locations'!$E$6:$E$453,MATCH(C60,'Locations'!$A$6:$A$453,0))</x:f>
        <x:v>-73.6753221796544</x:v>
      </x:c>
      <x:c r="W60" s="44"/>
    </x:row>
    <x:row r="61" ht="23" customHeight="1">
      <x:c r="A61" s="24" t="s">
        <x:v>662</x:v>
      </x:c>
      <x:c r="B61" s="53" t="s">
        <x:v>250</x:v>
      </x:c>
      <x:c r="C61" s="53" t="s">
        <x:v>251</x:v>
      </x:c>
      <x:c r="D61" s="53" t="s">
        <x:v>606</x:v>
      </x:c>
      <x:c r="E61" s="67" t="n">
        <x:f>2*6371000*ASIN(SQRT(MIN(1,SIN(RADIANS(U61-S61)/2)^2+COS(RADIANS(S61))*COS(RADIANS(U61))*SIN(RADIANS(V61-T61)/2)^2)))</x:f>
        <x:v>31.40699771294838</x:v>
      </x:c>
      <x:c r="F61" s="48" t="s">
        <x:v>67</x:v>
      </x:c>
      <x:c r="G61" s="48" t="s">
        <x:v>66</x:v>
      </x:c>
      <x:c r="H61" s="48" t="s">
        <x:v>66</x:v>
      </x:c>
      <x:c r="I61" s="48" t="s">
        <x:v>66</x:v>
      </x:c>
      <x:c r="J61" s="48" t="s">
        <x:v>66</x:v>
      </x:c>
      <x:c r="K61" s="64"/>
      <x:c r="L61" s="64"/>
      <x:c r="M61" s="50"/>
      <x:c r="N61" s="49"/>
      <x:c r="O61" s="50"/>
      <x:c r="P61" s="50"/>
      <x:c r="Q61" s="32">
        <x:v>57</x:v>
      </x:c>
      <x:c r="R61" s="68"/>
      <x:c r="S61" s="54" t="n">
        <x:f>INDEX('Locations'!$D$6:$D$453,MATCH(B61,'Locations'!$A$6:$A$453,0))</x:f>
        <x:v>42.7288511436073</x:v>
      </x:c>
      <x:c r="T61" s="54" t="n">
        <x:f>INDEX('Locations'!$E$6:$E$453,MATCH(B61,'Locations'!$A$6:$A$453,0))</x:f>
        <x:v>-73.6749958941237</x:v>
      </x:c>
      <x:c r="U61" s="54" t="n">
        <x:f>INDEX('Locations'!$D$6:$D$453,MATCH(C61,'Locations'!$A$6:$A$453,0))</x:f>
        <x:v>42.7290005803136</x:v>
      </x:c>
      <x:c r="V61" s="69" t="n">
        <x:f>INDEX('Locations'!$E$6:$E$453,MATCH(C61,'Locations'!$A$6:$A$453,0))</x:f>
        <x:v>-73.6753221796544</x:v>
      </x:c>
      <x:c r="W61" s="44"/>
    </x:row>
    <x:row r="62" ht="23" customHeight="1">
      <x:c r="A62" s="21" t="s">
        <x:v>663</x:v>
      </x:c>
      <x:c r="B62" s="45" t="s">
        <x:v>253</x:v>
      </x:c>
      <x:c r="C62" s="45" t="s">
        <x:v>251</x:v>
      </x:c>
      <x:c r="D62" s="45" t="s">
        <x:v>606</x:v>
      </x:c>
      <x:c r="E62" s="63" t="n">
        <x:f>2*6371000*ASIN(SQRT(MIN(1,SIN(RADIANS(U62-S62)/2)^2+COS(RADIANS(S62))*COS(RADIANS(U62))*SIN(RADIANS(V62-T62)/2)^2)))</x:f>
        <x:v>29.312615030942514</x:v>
      </x:c>
      <x:c r="F62" s="48" t="s">
        <x:v>67</x:v>
      </x:c>
      <x:c r="G62" s="48" t="s">
        <x:v>66</x:v>
      </x:c>
      <x:c r="H62" s="48" t="s">
        <x:v>66</x:v>
      </x:c>
      <x:c r="I62" s="48" t="s">
        <x:v>66</x:v>
      </x:c>
      <x:c r="J62" s="48" t="s">
        <x:v>66</x:v>
      </x:c>
      <x:c r="K62" s="64"/>
      <x:c r="L62" s="64"/>
      <x:c r="M62" s="50"/>
      <x:c r="N62" s="49"/>
      <x:c r="O62" s="50"/>
      <x:c r="P62" s="50"/>
      <x:c r="Q62" s="30">
        <x:v>58</x:v>
      </x:c>
      <x:c r="R62" s="65"/>
      <x:c r="S62" s="46" t="n">
        <x:f>INDEX('Locations'!$D$6:$D$453,MATCH(B62,'Locations'!$A$6:$A$453,0))</x:f>
        <x:v>42.728766079636</x:v>
      </x:c>
      <x:c r="T62" s="46" t="n">
        <x:f>INDEX('Locations'!$E$6:$E$453,MATCH(B62,'Locations'!$A$6:$A$453,0))</x:f>
        <x:v>-73.6754861182381</x:v>
      </x:c>
      <x:c r="U62" s="46" t="n">
        <x:f>INDEX('Locations'!$D$6:$D$453,MATCH(C62,'Locations'!$A$6:$A$453,0))</x:f>
        <x:v>42.7290005803136</x:v>
      </x:c>
      <x:c r="V62" s="66" t="n">
        <x:f>INDEX('Locations'!$E$6:$E$453,MATCH(C62,'Locations'!$A$6:$A$453,0))</x:f>
        <x:v>-73.6753221796544</x:v>
      </x:c>
      <x:c r="W62" s="44"/>
    </x:row>
    <x:row r="63" ht="23" customHeight="1">
      <x:c r="A63" s="24" t="s">
        <x:v>664</x:v>
      </x:c>
      <x:c r="B63" s="53" t="s">
        <x:v>246</x:v>
      </x:c>
      <x:c r="C63" s="53" t="s">
        <x:v>254</x:v>
      </x:c>
      <x:c r="D63" s="53" t="s">
        <x:v>606</x:v>
      </x:c>
      <x:c r="E63" s="67" t="n">
        <x:f>2*6371000*ASIN(SQRT(MIN(1,SIN(RADIANS(U63-S63)/2)^2+COS(RADIANS(S63))*COS(RADIANS(U63))*SIN(RADIANS(V63-T63)/2)^2)))</x:f>
        <x:v>67.9991530769726</x:v>
      </x:c>
      <x:c r="F63" s="48" t="s">
        <x:v>67</x:v>
      </x:c>
      <x:c r="G63" s="48" t="s">
        <x:v>66</x:v>
      </x:c>
      <x:c r="H63" s="48" t="s">
        <x:v>66</x:v>
      </x:c>
      <x:c r="I63" s="48" t="s">
        <x:v>66</x:v>
      </x:c>
      <x:c r="J63" s="48" t="s">
        <x:v>66</x:v>
      </x:c>
      <x:c r="K63" s="64"/>
      <x:c r="L63" s="64"/>
      <x:c r="M63" s="50"/>
      <x:c r="N63" s="49"/>
      <x:c r="O63" s="50"/>
      <x:c r="P63" s="50"/>
      <x:c r="Q63" s="32">
        <x:v>59</x:v>
      </x:c>
      <x:c r="R63" s="68"/>
      <x:c r="S63" s="54" t="n">
        <x:f>INDEX('Locations'!$D$6:$D$453,MATCH(B63,'Locations'!$A$6:$A$453,0))</x:f>
        <x:v>42.7283143209778</x:v>
      </x:c>
      <x:c r="T63" s="54" t="n">
        <x:f>INDEX('Locations'!$E$6:$E$453,MATCH(B63,'Locations'!$A$6:$A$453,0))</x:f>
        <x:v>-73.6747157660583</x:v>
      </x:c>
      <x:c r="U63" s="54" t="n">
        <x:f>INDEX('Locations'!$D$6:$D$453,MATCH(C63,'Locations'!$A$6:$A$453,0))</x:f>
        <x:v>42.7284143286197</x:v>
      </x:c>
      <x:c r="V63" s="69" t="n">
        <x:f>INDEX('Locations'!$E$6:$E$453,MATCH(C63,'Locations'!$A$6:$A$453,0))</x:f>
        <x:v>-73.6755370506137</x:v>
      </x:c>
      <x:c r="W63" s="44"/>
    </x:row>
    <x:row r="64" ht="23" customHeight="1">
      <x:c r="A64" s="21" t="s">
        <x:v>665</x:v>
      </x:c>
      <x:c r="B64" s="45" t="s">
        <x:v>253</x:v>
      </x:c>
      <x:c r="C64" s="45" t="s">
        <x:v>254</x:v>
      </x:c>
      <x:c r="D64" s="45" t="s">
        <x:v>606</x:v>
      </x:c>
      <x:c r="E64" s="63" t="n">
        <x:f>2*6371000*ASIN(SQRT(MIN(1,SIN(RADIANS(U64-S64)/2)^2+COS(RADIANS(S64))*COS(RADIANS(U64))*SIN(RADIANS(V64-T64)/2)^2)))</x:f>
        <x:v>39.33355508287487</x:v>
      </x:c>
      <x:c r="F64" s="48" t="s">
        <x:v>67</x:v>
      </x:c>
      <x:c r="G64" s="48" t="s">
        <x:v>66</x:v>
      </x:c>
      <x:c r="H64" s="48" t="s">
        <x:v>66</x:v>
      </x:c>
      <x:c r="I64" s="48" t="s">
        <x:v>66</x:v>
      </x:c>
      <x:c r="J64" s="48" t="s">
        <x:v>66</x:v>
      </x:c>
      <x:c r="K64" s="64"/>
      <x:c r="L64" s="64"/>
      <x:c r="M64" s="50"/>
      <x:c r="N64" s="49"/>
      <x:c r="O64" s="50"/>
      <x:c r="P64" s="50"/>
      <x:c r="Q64" s="30">
        <x:v>60</x:v>
      </x:c>
      <x:c r="R64" s="65"/>
      <x:c r="S64" s="46" t="n">
        <x:f>INDEX('Locations'!$D$6:$D$453,MATCH(B64,'Locations'!$A$6:$A$453,0))</x:f>
        <x:v>42.728766079636</x:v>
      </x:c>
      <x:c r="T64" s="46" t="n">
        <x:f>INDEX('Locations'!$E$6:$E$453,MATCH(B64,'Locations'!$A$6:$A$453,0))</x:f>
        <x:v>-73.6754861182381</x:v>
      </x:c>
      <x:c r="U64" s="46" t="n">
        <x:f>INDEX('Locations'!$D$6:$D$453,MATCH(C64,'Locations'!$A$6:$A$453,0))</x:f>
        <x:v>42.7284143286197</x:v>
      </x:c>
      <x:c r="V64" s="66" t="n">
        <x:f>INDEX('Locations'!$E$6:$E$453,MATCH(C64,'Locations'!$A$6:$A$453,0))</x:f>
        <x:v>-73.6755370506137</x:v>
      </x:c>
      <x:c r="W64" s="44"/>
    </x:row>
    <x:row r="65" ht="23" customHeight="1">
      <x:c r="A65" s="24" t="s">
        <x:v>666</x:v>
      </x:c>
      <x:c r="B65" s="53" t="s">
        <x:v>246</x:v>
      </x:c>
      <x:c r="C65" s="53" t="s">
        <x:v>255</x:v>
      </x:c>
      <x:c r="D65" s="53" t="s">
        <x:v>606</x:v>
      </x:c>
      <x:c r="E65" s="67" t="n">
        <x:f>2*6371000*ASIN(SQRT(MIN(1,SIN(RADIANS(U65-S65)/2)^2+COS(RADIANS(S65))*COS(RADIANS(U65))*SIN(RADIANS(V65-T65)/2)^2)))</x:f>
        <x:v>44.23795750333114</x:v>
      </x:c>
      <x:c r="F65" s="48" t="s">
        <x:v>67</x:v>
      </x:c>
      <x:c r="G65" s="48" t="s">
        <x:v>66</x:v>
      </x:c>
      <x:c r="H65" s="48" t="s">
        <x:v>66</x:v>
      </x:c>
      <x:c r="I65" s="48" t="s">
        <x:v>66</x:v>
      </x:c>
      <x:c r="J65" s="48" t="s">
        <x:v>66</x:v>
      </x:c>
      <x:c r="K65" s="64"/>
      <x:c r="L65" s="64"/>
      <x:c r="M65" s="50"/>
      <x:c r="N65" s="49"/>
      <x:c r="O65" s="50"/>
      <x:c r="P65" s="50"/>
      <x:c r="Q65" s="32">
        <x:v>61</x:v>
      </x:c>
      <x:c r="R65" s="68"/>
      <x:c r="S65" s="54" t="n">
        <x:f>INDEX('Locations'!$D$6:$D$453,MATCH(B65,'Locations'!$A$6:$A$453,0))</x:f>
        <x:v>42.7283143209778</x:v>
      </x:c>
      <x:c r="T65" s="54" t="n">
        <x:f>INDEX('Locations'!$E$6:$E$453,MATCH(B65,'Locations'!$A$6:$A$453,0))</x:f>
        <x:v>-73.6747157660583</x:v>
      </x:c>
      <x:c r="U65" s="54" t="n">
        <x:f>INDEX('Locations'!$D$6:$D$453,MATCH(C65,'Locations'!$A$6:$A$453,0))</x:f>
        <x:v>42.7279165894364</x:v>
      </x:c>
      <x:c r="V65" s="69" t="n">
        <x:f>INDEX('Locations'!$E$6:$E$453,MATCH(C65,'Locations'!$A$6:$A$453,0))</x:f>
        <x:v>-73.6747030329644</x:v>
      </x:c>
      <x:c r="W65" s="44"/>
    </x:row>
    <x:row r="66" ht="23" customHeight="1">
      <x:c r="A66" s="21" t="s">
        <x:v>667</x:v>
      </x:c>
      <x:c r="B66" s="45" t="s">
        <x:v>258</x:v>
      </x:c>
      <x:c r="C66" s="45" t="s">
        <x:v>156</x:v>
      </x:c>
      <x:c r="D66" s="45" t="s">
        <x:v>606</x:v>
      </x:c>
      <x:c r="E66" s="63" t="n">
        <x:f>2*6371000*ASIN(SQRT(MIN(1,SIN(RADIANS(U66-S66)/2)^2+COS(RADIANS(S66))*COS(RADIANS(U66))*SIN(RADIANS(V66-T66)/2)^2)))</x:f>
        <x:v>27.914998444242546</x:v>
      </x:c>
      <x:c r="F66" s="48" t="s">
        <x:v>67</x:v>
      </x:c>
      <x:c r="G66" s="48" t="s">
        <x:v>66</x:v>
      </x:c>
      <x:c r="H66" s="48" t="s">
        <x:v>66</x:v>
      </x:c>
      <x:c r="I66" s="48" t="s">
        <x:v>66</x:v>
      </x:c>
      <x:c r="J66" s="48" t="s">
        <x:v>66</x:v>
      </x:c>
      <x:c r="K66" s="64"/>
      <x:c r="L66" s="64"/>
      <x:c r="M66" s="50"/>
      <x:c r="N66" s="49"/>
      <x:c r="O66" s="50"/>
      <x:c r="P66" s="50"/>
      <x:c r="Q66" s="30">
        <x:v>62</x:v>
      </x:c>
      <x:c r="R66" s="65"/>
      <x:c r="S66" s="46" t="n">
        <x:f>INDEX('Locations'!$D$6:$D$453,MATCH(B66,'Locations'!$A$6:$A$453,0))</x:f>
        <x:v>42.7274441395419</x:v>
      </x:c>
      <x:c r="T66" s="46" t="n">
        <x:f>INDEX('Locations'!$E$6:$E$453,MATCH(B66,'Locations'!$A$6:$A$453,0))</x:f>
        <x:v>-73.6747014413277</x:v>
      </x:c>
      <x:c r="U66" s="46" t="n">
        <x:f>INDEX('Locations'!$D$6:$D$453,MATCH(C66,'Locations'!$A$6:$A$453,0))</x:f>
        <x:v>42.7274275472005</x:v>
      </x:c>
      <x:c r="V66" s="66" t="n">
        <x:f>INDEX('Locations'!$E$6:$E$453,MATCH(C66,'Locations'!$A$6:$A$453,0))</x:f>
        <x:v>-73.6750424434785</x:v>
      </x:c>
      <x:c r="W66" s="44"/>
    </x:row>
    <x:row r="67" ht="23" customHeight="1">
      <x:c r="A67" s="24" t="s">
        <x:v>668</x:v>
      </x:c>
      <x:c r="B67" s="53" t="s">
        <x:v>114</x:v>
      </x:c>
      <x:c r="C67" s="53" t="s">
        <x:v>257</x:v>
      </x:c>
      <x:c r="D67" s="53" t="s">
        <x:v>606</x:v>
      </x:c>
      <x:c r="E67" s="67" t="n">
        <x:f>2*6371000*ASIN(SQRT(MIN(1,SIN(RADIANS(U67-S67)/2)^2+COS(RADIANS(S67))*COS(RADIANS(U67))*SIN(RADIANS(V67-T67)/2)^2)))</x:f>
        <x:v>22.043182471597326</x:v>
      </x:c>
      <x:c r="F67" s="48" t="s">
        <x:v>67</x:v>
      </x:c>
      <x:c r="G67" s="48" t="s">
        <x:v>66</x:v>
      </x:c>
      <x:c r="H67" s="48" t="s">
        <x:v>66</x:v>
      </x:c>
      <x:c r="I67" s="48" t="s">
        <x:v>66</x:v>
      </x:c>
      <x:c r="J67" s="48" t="s">
        <x:v>66</x:v>
      </x:c>
      <x:c r="K67" s="64"/>
      <x:c r="L67" s="64"/>
      <x:c r="M67" s="50"/>
      <x:c r="N67" s="49"/>
      <x:c r="O67" s="50"/>
      <x:c r="P67" s="50"/>
      <x:c r="Q67" s="32">
        <x:v>63</x:v>
      </x:c>
      <x:c r="R67" s="68"/>
      <x:c r="S67" s="54" t="n">
        <x:f>INDEX('Locations'!$D$6:$D$453,MATCH(B67,'Locations'!$A$6:$A$453,0))</x:f>
        <x:v>42.7272453915547</x:v>
      </x:c>
      <x:c r="T67" s="54" t="n">
        <x:f>INDEX('Locations'!$E$6:$E$453,MATCH(B67,'Locations'!$A$6:$A$453,0))</x:f>
        <x:v>-73.6740848801283</x:v>
      </x:c>
      <x:c r="U67" s="54" t="n">
        <x:f>INDEX('Locations'!$D$6:$D$453,MATCH(C67,'Locations'!$A$6:$A$453,0))</x:f>
        <x:v>42.7274257473319</x:v>
      </x:c>
      <x:c r="V67" s="69" t="n">
        <x:f>INDEX('Locations'!$E$6:$E$453,MATCH(C67,'Locations'!$A$6:$A$453,0))</x:f>
        <x:v>-73.6741968924826</x:v>
      </x:c>
      <x:c r="W67" s="44"/>
    </x:row>
    <x:row r="68" ht="23" customHeight="1">
      <x:c r="A68" s="21" t="s">
        <x:v>669</x:v>
      </x:c>
      <x:c r="B68" s="45" t="s">
        <x:v>260</x:v>
      </x:c>
      <x:c r="C68" s="45" t="s">
        <x:v>257</x:v>
      </x:c>
      <x:c r="D68" s="45" t="s">
        <x:v>606</x:v>
      </x:c>
      <x:c r="E68" s="63" t="n">
        <x:f>2*6371000*ASIN(SQRT(MIN(1,SIN(RADIANS(U68-S68)/2)^2+COS(RADIANS(S68))*COS(RADIANS(U68))*SIN(RADIANS(V68-T68)/2)^2)))</x:f>
        <x:v>32.27559522880638</x:v>
      </x:c>
      <x:c r="F68" s="48" t="s">
        <x:v>67</x:v>
      </x:c>
      <x:c r="G68" s="48" t="s">
        <x:v>66</x:v>
      </x:c>
      <x:c r="H68" s="48" t="s">
        <x:v>66</x:v>
      </x:c>
      <x:c r="I68" s="48" t="s">
        <x:v>66</x:v>
      </x:c>
      <x:c r="J68" s="48" t="s">
        <x:v>66</x:v>
      </x:c>
      <x:c r="K68" s="64"/>
      <x:c r="L68" s="64"/>
      <x:c r="M68" s="50"/>
      <x:c r="N68" s="49"/>
      <x:c r="O68" s="50"/>
      <x:c r="P68" s="50"/>
      <x:c r="Q68" s="30">
        <x:v>64</x:v>
      </x:c>
      <x:c r="R68" s="65"/>
      <x:c r="S68" s="46" t="n">
        <x:f>INDEX('Locations'!$D$6:$D$453,MATCH(B68,'Locations'!$A$6:$A$453,0))</x:f>
        <x:v>42.7271429671031</x:v>
      </x:c>
      <x:c r="T68" s="46" t="n">
        <x:f>INDEX('Locations'!$E$6:$E$453,MATCH(B68,'Locations'!$A$6:$A$453,0))</x:f>
        <x:v>-73.6742860241398</x:v>
      </x:c>
      <x:c r="U68" s="46" t="n">
        <x:f>INDEX('Locations'!$D$6:$D$453,MATCH(C68,'Locations'!$A$6:$A$453,0))</x:f>
        <x:v>42.7274257473319</x:v>
      </x:c>
      <x:c r="V68" s="66" t="n">
        <x:f>INDEX('Locations'!$E$6:$E$453,MATCH(C68,'Locations'!$A$6:$A$453,0))</x:f>
        <x:v>-73.6741968924826</x:v>
      </x:c>
      <x:c r="W68" s="44"/>
    </x:row>
    <x:row r="69" ht="23" customHeight="1">
      <x:c r="A69" s="24" t="s">
        <x:v>670</x:v>
      </x:c>
      <x:c r="B69" s="53" t="s">
        <x:v>259</x:v>
      </x:c>
      <x:c r="C69" s="53" t="s">
        <x:v>257</x:v>
      </x:c>
      <x:c r="D69" s="53" t="s">
        <x:v>606</x:v>
      </x:c>
      <x:c r="E69" s="67" t="n">
        <x:f>2*6371000*ASIN(SQRT(MIN(1,SIN(RADIANS(U69-S69)/2)^2+COS(RADIANS(S69))*COS(RADIANS(U69))*SIN(RADIANS(V69-T69)/2)^2)))</x:f>
        <x:v>51.67489416051713</x:v>
      </x:c>
      <x:c r="F69" s="48" t="s">
        <x:v>67</x:v>
      </x:c>
      <x:c r="G69" s="48" t="s">
        <x:v>66</x:v>
      </x:c>
      <x:c r="H69" s="48" t="s">
        <x:v>66</x:v>
      </x:c>
      <x:c r="I69" s="48" t="s">
        <x:v>66</x:v>
      </x:c>
      <x:c r="J69" s="48" t="s">
        <x:v>66</x:v>
      </x:c>
      <x:c r="K69" s="64"/>
      <x:c r="L69" s="64"/>
      <x:c r="M69" s="50"/>
      <x:c r="N69" s="49"/>
      <x:c r="O69" s="50"/>
      <x:c r="P69" s="50"/>
      <x:c r="Q69" s="32">
        <x:v>65</x:v>
      </x:c>
      <x:c r="R69" s="68"/>
      <x:c r="S69" s="54" t="n">
        <x:f>INDEX('Locations'!$D$6:$D$453,MATCH(B69,'Locations'!$A$6:$A$453,0))</x:f>
        <x:v>42.7271889476281</x:v>
      </x:c>
      <x:c r="T69" s="54" t="n">
        <x:f>INDEX('Locations'!$E$6:$E$453,MATCH(B69,'Locations'!$A$6:$A$453,0))</x:f>
        <x:v>-73.674741232246</x:v>
      </x:c>
      <x:c r="U69" s="54" t="n">
        <x:f>INDEX('Locations'!$D$6:$D$453,MATCH(C69,'Locations'!$A$6:$A$453,0))</x:f>
        <x:v>42.7274257473319</x:v>
      </x:c>
      <x:c r="V69" s="69" t="n">
        <x:f>INDEX('Locations'!$E$6:$E$453,MATCH(C69,'Locations'!$A$6:$A$453,0))</x:f>
        <x:v>-73.6741968924826</x:v>
      </x:c>
      <x:c r="W69" s="44"/>
    </x:row>
    <x:row r="70" ht="23" customHeight="1">
      <x:c r="A70" s="21" t="s">
        <x:v>671</x:v>
      </x:c>
      <x:c r="B70" s="45" t="s">
        <x:v>258</x:v>
      </x:c>
      <x:c r="C70" s="45" t="s">
        <x:v>260</x:v>
      </x:c>
      <x:c r="D70" s="45" t="s">
        <x:v>606</x:v>
      </x:c>
      <x:c r="E70" s="63" t="n">
        <x:f>2*6371000*ASIN(SQRT(MIN(1,SIN(RADIANS(U70-S70)/2)^2+COS(RADIANS(S70))*COS(RADIANS(U70))*SIN(RADIANS(V70-T70)/2)^2)))</x:f>
        <x:v>47.675093539807996</x:v>
      </x:c>
      <x:c r="F70" s="48" t="s">
        <x:v>67</x:v>
      </x:c>
      <x:c r="G70" s="48" t="s">
        <x:v>66</x:v>
      </x:c>
      <x:c r="H70" s="48" t="s">
        <x:v>66</x:v>
      </x:c>
      <x:c r="I70" s="48" t="s">
        <x:v>66</x:v>
      </x:c>
      <x:c r="J70" s="48" t="s">
        <x:v>66</x:v>
      </x:c>
      <x:c r="K70" s="64"/>
      <x:c r="L70" s="64"/>
      <x:c r="M70" s="50"/>
      <x:c r="N70" s="49"/>
      <x:c r="O70" s="50"/>
      <x:c r="P70" s="50"/>
      <x:c r="Q70" s="30">
        <x:v>66</x:v>
      </x:c>
      <x:c r="R70" s="65"/>
      <x:c r="S70" s="46" t="n">
        <x:f>INDEX('Locations'!$D$6:$D$453,MATCH(B70,'Locations'!$A$6:$A$453,0))</x:f>
        <x:v>42.7274441395419</x:v>
      </x:c>
      <x:c r="T70" s="46" t="n">
        <x:f>INDEX('Locations'!$E$6:$E$453,MATCH(B70,'Locations'!$A$6:$A$453,0))</x:f>
        <x:v>-73.6747014413277</x:v>
      </x:c>
      <x:c r="U70" s="46" t="n">
        <x:f>INDEX('Locations'!$D$6:$D$453,MATCH(C70,'Locations'!$A$6:$A$453,0))</x:f>
        <x:v>42.7271429671031</x:v>
      </x:c>
      <x:c r="V70" s="66" t="n">
        <x:f>INDEX('Locations'!$E$6:$E$453,MATCH(C70,'Locations'!$A$6:$A$453,0))</x:f>
        <x:v>-73.6742860241398</x:v>
      </x:c>
      <x:c r="W70" s="44"/>
    </x:row>
    <x:row r="71" ht="23" customHeight="1">
      <x:c r="A71" s="24" t="s">
        <x:v>672</x:v>
      </x:c>
      <x:c r="B71" s="53" t="s">
        <x:v>259</x:v>
      </x:c>
      <x:c r="C71" s="53" t="s">
        <x:v>258</x:v>
      </x:c>
      <x:c r="D71" s="53" t="s">
        <x:v>606</x:v>
      </x:c>
      <x:c r="E71" s="67" t="n">
        <x:f>2*6371000*ASIN(SQRT(MIN(1,SIN(RADIANS(U71-S71)/2)^2+COS(RADIANS(S71))*COS(RADIANS(U71))*SIN(RADIANS(V71-T71)/2)^2)))</x:f>
        <x:v>28.561582875589757</x:v>
      </x:c>
      <x:c r="F71" s="48" t="s">
        <x:v>67</x:v>
      </x:c>
      <x:c r="G71" s="48" t="s">
        <x:v>66</x:v>
      </x:c>
      <x:c r="H71" s="48" t="s">
        <x:v>66</x:v>
      </x:c>
      <x:c r="I71" s="48" t="s">
        <x:v>66</x:v>
      </x:c>
      <x:c r="J71" s="48" t="s">
        <x:v>66</x:v>
      </x:c>
      <x:c r="K71" s="64"/>
      <x:c r="L71" s="64"/>
      <x:c r="M71" s="50"/>
      <x:c r="N71" s="49"/>
      <x:c r="O71" s="50"/>
      <x:c r="P71" s="50"/>
      <x:c r="Q71" s="32">
        <x:v>67</x:v>
      </x:c>
      <x:c r="R71" s="68"/>
      <x:c r="S71" s="54" t="n">
        <x:f>INDEX('Locations'!$D$6:$D$453,MATCH(B71,'Locations'!$A$6:$A$453,0))</x:f>
        <x:v>42.7271889476281</x:v>
      </x:c>
      <x:c r="T71" s="54" t="n">
        <x:f>INDEX('Locations'!$E$6:$E$453,MATCH(B71,'Locations'!$A$6:$A$453,0))</x:f>
        <x:v>-73.674741232246</x:v>
      </x:c>
      <x:c r="U71" s="54" t="n">
        <x:f>INDEX('Locations'!$D$6:$D$453,MATCH(C71,'Locations'!$A$6:$A$453,0))</x:f>
        <x:v>42.7274441395419</x:v>
      </x:c>
      <x:c r="V71" s="69" t="n">
        <x:f>INDEX('Locations'!$E$6:$E$453,MATCH(C71,'Locations'!$A$6:$A$453,0))</x:f>
        <x:v>-73.6747014413277</x:v>
      </x:c>
      <x:c r="W71" s="44"/>
    </x:row>
    <x:row r="72" ht="23" customHeight="1">
      <x:c r="A72" s="21" t="s">
        <x:v>673</x:v>
      </x:c>
      <x:c r="B72" s="45" t="s">
        <x:v>257</x:v>
      </x:c>
      <x:c r="C72" s="45" t="s">
        <x:v>258</x:v>
      </x:c>
      <x:c r="D72" s="45" t="s">
        <x:v>606</x:v>
      </x:c>
      <x:c r="E72" s="63" t="n">
        <x:f>2*6371000*ASIN(SQRT(MIN(1,SIN(RADIANS(U72-S72)/2)^2+COS(RADIANS(S72))*COS(RADIANS(U72))*SIN(RADIANS(V72-T72)/2)^2)))</x:f>
        <x:v>41.263602165491534</x:v>
      </x:c>
      <x:c r="F72" s="48" t="s">
        <x:v>67</x:v>
      </x:c>
      <x:c r="G72" s="48" t="s">
        <x:v>66</x:v>
      </x:c>
      <x:c r="H72" s="48" t="s">
        <x:v>66</x:v>
      </x:c>
      <x:c r="I72" s="48" t="s">
        <x:v>66</x:v>
      </x:c>
      <x:c r="J72" s="48" t="s">
        <x:v>66</x:v>
      </x:c>
      <x:c r="K72" s="64"/>
      <x:c r="L72" s="64"/>
      <x:c r="M72" s="50"/>
      <x:c r="N72" s="49"/>
      <x:c r="O72" s="50"/>
      <x:c r="P72" s="50"/>
      <x:c r="Q72" s="30">
        <x:v>68</x:v>
      </x:c>
      <x:c r="R72" s="65"/>
      <x:c r="S72" s="46" t="n">
        <x:f>INDEX('Locations'!$D$6:$D$453,MATCH(B72,'Locations'!$A$6:$A$453,0))</x:f>
        <x:v>42.7274257473319</x:v>
      </x:c>
      <x:c r="T72" s="46" t="n">
        <x:f>INDEX('Locations'!$E$6:$E$453,MATCH(B72,'Locations'!$A$6:$A$453,0))</x:f>
        <x:v>-73.6741968924826</x:v>
      </x:c>
      <x:c r="U72" s="46" t="n">
        <x:f>INDEX('Locations'!$D$6:$D$453,MATCH(C72,'Locations'!$A$6:$A$453,0))</x:f>
        <x:v>42.7274441395419</x:v>
      </x:c>
      <x:c r="V72" s="66" t="n">
        <x:f>INDEX('Locations'!$E$6:$E$453,MATCH(C72,'Locations'!$A$6:$A$453,0))</x:f>
        <x:v>-73.6747014413277</x:v>
      </x:c>
      <x:c r="W72" s="44"/>
    </x:row>
    <x:row r="73" ht="23" customHeight="1">
      <x:c r="A73" s="24" t="s">
        <x:v>674</x:v>
      </x:c>
      <x:c r="B73" s="53" t="s">
        <x:v>259</x:v>
      </x:c>
      <x:c r="C73" s="53" t="s">
        <x:v>260</x:v>
      </x:c>
      <x:c r="D73" s="53" t="s">
        <x:v>606</x:v>
      </x:c>
      <x:c r="E73" s="67" t="n">
        <x:f>2*6371000*ASIN(SQRT(MIN(1,SIN(RADIANS(U73-S73)/2)^2+COS(RADIANS(S73))*COS(RADIANS(U73))*SIN(RADIANS(V73-T73)/2)^2)))</x:f>
        <x:v>37.53263982484423</x:v>
      </x:c>
      <x:c r="F73" s="48" t="s">
        <x:v>67</x:v>
      </x:c>
      <x:c r="G73" s="48" t="s">
        <x:v>66</x:v>
      </x:c>
      <x:c r="H73" s="48" t="s">
        <x:v>66</x:v>
      </x:c>
      <x:c r="I73" s="48" t="s">
        <x:v>66</x:v>
      </x:c>
      <x:c r="J73" s="48" t="s">
        <x:v>66</x:v>
      </x:c>
      <x:c r="K73" s="64"/>
      <x:c r="L73" s="64"/>
      <x:c r="M73" s="50"/>
      <x:c r="N73" s="49"/>
      <x:c r="O73" s="50"/>
      <x:c r="P73" s="50"/>
      <x:c r="Q73" s="32">
        <x:v>69</x:v>
      </x:c>
      <x:c r="R73" s="68"/>
      <x:c r="S73" s="54" t="n">
        <x:f>INDEX('Locations'!$D$6:$D$453,MATCH(B73,'Locations'!$A$6:$A$453,0))</x:f>
        <x:v>42.7271889476281</x:v>
      </x:c>
      <x:c r="T73" s="54" t="n">
        <x:f>INDEX('Locations'!$E$6:$E$453,MATCH(B73,'Locations'!$A$6:$A$453,0))</x:f>
        <x:v>-73.674741232246</x:v>
      </x:c>
      <x:c r="U73" s="54" t="n">
        <x:f>INDEX('Locations'!$D$6:$D$453,MATCH(C73,'Locations'!$A$6:$A$453,0))</x:f>
        <x:v>42.7271429671031</x:v>
      </x:c>
      <x:c r="V73" s="69" t="n">
        <x:f>INDEX('Locations'!$E$6:$E$453,MATCH(C73,'Locations'!$A$6:$A$453,0))</x:f>
        <x:v>-73.6742860241398</x:v>
      </x:c>
      <x:c r="W73" s="44"/>
    </x:row>
    <x:row r="74" ht="23" customHeight="1">
      <x:c r="A74" s="21" t="s">
        <x:v>675</x:v>
      </x:c>
      <x:c r="B74" s="45" t="s">
        <x:v>190</x:v>
      </x:c>
      <x:c r="C74" s="45" t="s">
        <x:v>259</x:v>
      </x:c>
      <x:c r="D74" s="45" t="s">
        <x:v>606</x:v>
      </x:c>
      <x:c r="E74" s="63" t="n">
        <x:f>2*6371000*ASIN(SQRT(MIN(1,SIN(RADIANS(U74-S74)/2)^2+COS(RADIANS(S74))*COS(RADIANS(U74))*SIN(RADIANS(V74-T74)/2)^2)))</x:f>
        <x:v>19.75132560396349</x:v>
      </x:c>
      <x:c r="F74" s="48" t="s">
        <x:v>67</x:v>
      </x:c>
      <x:c r="G74" s="48" t="s">
        <x:v>66</x:v>
      </x:c>
      <x:c r="H74" s="48" t="s">
        <x:v>66</x:v>
      </x:c>
      <x:c r="I74" s="48" t="s">
        <x:v>66</x:v>
      </x:c>
      <x:c r="J74" s="48" t="s">
        <x:v>66</x:v>
      </x:c>
      <x:c r="K74" s="64"/>
      <x:c r="L74" s="64"/>
      <x:c r="M74" s="50"/>
      <x:c r="N74" s="49"/>
      <x:c r="O74" s="50"/>
      <x:c r="P74" s="50"/>
      <x:c r="Q74" s="30">
        <x:v>70</x:v>
      </x:c>
      <x:c r="R74" s="65"/>
      <x:c r="S74" s="46" t="n">
        <x:f>INDEX('Locations'!$D$6:$D$453,MATCH(B74,'Locations'!$A$6:$A$453,0))</x:f>
        <x:v>42.7270250661145</x:v>
      </x:c>
      <x:c r="T74" s="46" t="n">
        <x:f>INDEX('Locations'!$E$6:$E$453,MATCH(B74,'Locations'!$A$6:$A$453,0))</x:f>
        <x:v>-73.6746479607236</x:v>
      </x:c>
      <x:c r="U74" s="46" t="n">
        <x:f>INDEX('Locations'!$D$6:$D$453,MATCH(C74,'Locations'!$A$6:$A$453,0))</x:f>
        <x:v>42.7271889476281</x:v>
      </x:c>
      <x:c r="V74" s="66" t="n">
        <x:f>INDEX('Locations'!$E$6:$E$453,MATCH(C74,'Locations'!$A$6:$A$453,0))</x:f>
        <x:v>-73.674741232246</x:v>
      </x:c>
      <x:c r="W74" s="44"/>
    </x:row>
    <x:row r="75" ht="23" customHeight="1">
      <x:c r="A75" s="24" t="s">
        <x:v>676</x:v>
      </x:c>
      <x:c r="B75" s="53" t="s">
        <x:v>260</x:v>
      </x:c>
      <x:c r="C75" s="53" t="s">
        <x:v>190</x:v>
      </x:c>
      <x:c r="D75" s="53" t="s">
        <x:v>606</x:v>
      </x:c>
      <x:c r="E75" s="67" t="n">
        <x:f>2*6371000*ASIN(SQRT(MIN(1,SIN(RADIANS(U75-S75)/2)^2+COS(RADIANS(S75))*COS(RADIANS(U75))*SIN(RADIANS(V75-T75)/2)^2)))</x:f>
        <x:v>32.34050775705351</x:v>
      </x:c>
      <x:c r="F75" s="48" t="s">
        <x:v>67</x:v>
      </x:c>
      <x:c r="G75" s="48" t="s">
        <x:v>66</x:v>
      </x:c>
      <x:c r="H75" s="48" t="s">
        <x:v>66</x:v>
      </x:c>
      <x:c r="I75" s="48" t="s">
        <x:v>66</x:v>
      </x:c>
      <x:c r="J75" s="48" t="s">
        <x:v>66</x:v>
      </x:c>
      <x:c r="K75" s="64"/>
      <x:c r="L75" s="64"/>
      <x:c r="M75" s="50"/>
      <x:c r="N75" s="49"/>
      <x:c r="O75" s="50"/>
      <x:c r="P75" s="50"/>
      <x:c r="Q75" s="32">
        <x:v>71</x:v>
      </x:c>
      <x:c r="R75" s="68"/>
      <x:c r="S75" s="54" t="n">
        <x:f>INDEX('Locations'!$D$6:$D$453,MATCH(B75,'Locations'!$A$6:$A$453,0))</x:f>
        <x:v>42.7271429671031</x:v>
      </x:c>
      <x:c r="T75" s="54" t="n">
        <x:f>INDEX('Locations'!$E$6:$E$453,MATCH(B75,'Locations'!$A$6:$A$453,0))</x:f>
        <x:v>-73.6742860241398</x:v>
      </x:c>
      <x:c r="U75" s="54" t="n">
        <x:f>INDEX('Locations'!$D$6:$D$453,MATCH(C75,'Locations'!$A$6:$A$453,0))</x:f>
        <x:v>42.7270250661145</x:v>
      </x:c>
      <x:c r="V75" s="69" t="n">
        <x:f>INDEX('Locations'!$E$6:$E$453,MATCH(C75,'Locations'!$A$6:$A$453,0))</x:f>
        <x:v>-73.6746479607236</x:v>
      </x:c>
      <x:c r="W75" s="44"/>
    </x:row>
    <x:row r="76" ht="23" customHeight="1">
      <x:c r="A76" s="21" t="s">
        <x:v>677</x:v>
      </x:c>
      <x:c r="B76" s="45" t="s">
        <x:v>257</x:v>
      </x:c>
      <x:c r="C76" s="45" t="s">
        <x:v>256</x:v>
      </x:c>
      <x:c r="D76" s="45" t="s">
        <x:v>606</x:v>
      </x:c>
      <x:c r="E76" s="63" t="n">
        <x:f>2*6371000*ASIN(SQRT(MIN(1,SIN(RADIANS(U76-S76)/2)^2+COS(RADIANS(S76))*COS(RADIANS(U76))*SIN(RADIANS(V76-T76)/2)^2)))</x:f>
        <x:v>48.57142462453567</x:v>
      </x:c>
      <x:c r="F76" s="48" t="s">
        <x:v>67</x:v>
      </x:c>
      <x:c r="G76" s="48" t="s">
        <x:v>66</x:v>
      </x:c>
      <x:c r="H76" s="48" t="s">
        <x:v>66</x:v>
      </x:c>
      <x:c r="I76" s="48" t="s">
        <x:v>66</x:v>
      </x:c>
      <x:c r="J76" s="48" t="s">
        <x:v>66</x:v>
      </x:c>
      <x:c r="K76" s="64"/>
      <x:c r="L76" s="64"/>
      <x:c r="M76" s="50"/>
      <x:c r="N76" s="49"/>
      <x:c r="O76" s="50"/>
      <x:c r="P76" s="50"/>
      <x:c r="Q76" s="30">
        <x:v>72</x:v>
      </x:c>
      <x:c r="R76" s="65"/>
      <x:c r="S76" s="46" t="n">
        <x:f>INDEX('Locations'!$D$6:$D$453,MATCH(B76,'Locations'!$A$6:$A$453,0))</x:f>
        <x:v>42.7274257473319</x:v>
      </x:c>
      <x:c r="T76" s="46" t="n">
        <x:f>INDEX('Locations'!$E$6:$E$453,MATCH(B76,'Locations'!$A$6:$A$453,0))</x:f>
        <x:v>-73.6741968924826</x:v>
      </x:c>
      <x:c r="U76" s="46" t="n">
        <x:f>INDEX('Locations'!$D$6:$D$453,MATCH(C76,'Locations'!$A$6:$A$453,0))</x:f>
        <x:v>42.7278361235176</x:v>
      </x:c>
      <x:c r="V76" s="66" t="n">
        <x:f>INDEX('Locations'!$E$6:$E$453,MATCH(C76,'Locations'!$A$6:$A$453,0))</x:f>
        <x:v>-73.6739931629805</x:v>
      </x:c>
      <x:c r="W76" s="44"/>
    </x:row>
    <x:row r="77" ht="23" customHeight="1">
      <x:c r="A77" s="24" t="s">
        <x:v>678</x:v>
      </x:c>
      <x:c r="B77" s="53" t="s">
        <x:v>247</x:v>
      </x:c>
      <x:c r="C77" s="53" t="s">
        <x:v>261</x:v>
      </x:c>
      <x:c r="D77" s="53" t="s">
        <x:v>606</x:v>
      </x:c>
      <x:c r="E77" s="67" t="n">
        <x:f>2*6371000*ASIN(SQRT(MIN(1,SIN(RADIANS(U77-S77)/2)^2+COS(RADIANS(S77))*COS(RADIANS(U77))*SIN(RADIANS(V77-T77)/2)^2)))</x:f>
        <x:v>18.161002828112988</x:v>
      </x:c>
      <x:c r="F77" s="48" t="s">
        <x:v>67</x:v>
      </x:c>
      <x:c r="G77" s="48" t="s">
        <x:v>66</x:v>
      </x:c>
      <x:c r="H77" s="48" t="s">
        <x:v>66</x:v>
      </x:c>
      <x:c r="I77" s="48" t="s">
        <x:v>66</x:v>
      </x:c>
      <x:c r="J77" s="48" t="s">
        <x:v>66</x:v>
      </x:c>
      <x:c r="K77" s="64"/>
      <x:c r="L77" s="64"/>
      <x:c r="M77" s="50"/>
      <x:c r="N77" s="49"/>
      <x:c r="O77" s="50"/>
      <x:c r="P77" s="50"/>
      <x:c r="Q77" s="32">
        <x:v>73</x:v>
      </x:c>
      <x:c r="R77" s="68"/>
      <x:c r="S77" s="54" t="n">
        <x:f>INDEX('Locations'!$D$6:$D$453,MATCH(B77,'Locations'!$A$6:$A$453,0))</x:f>
        <x:v>42.7281039600758</x:v>
      </x:c>
      <x:c r="T77" s="54" t="n">
        <x:f>INDEX('Locations'!$E$6:$E$453,MATCH(B77,'Locations'!$A$6:$A$453,0))</x:f>
        <x:v>-73.6737225847355</x:v>
      </x:c>
      <x:c r="U77" s="54" t="n">
        <x:f>INDEX('Locations'!$D$6:$D$453,MATCH(C77,'Locations'!$A$6:$A$453,0))</x:f>
        <x:v>42.7280441853933</x:v>
      </x:c>
      <x:c r="V77" s="69" t="n">
        <x:f>INDEX('Locations'!$E$6:$E$453,MATCH(C77,'Locations'!$A$6:$A$453,0))</x:f>
        <x:v>-73.6739294975111</x:v>
      </x:c>
      <x:c r="W77" s="44"/>
    </x:row>
    <x:row r="78" ht="23" customHeight="1">
      <x:c r="A78" s="21" t="s">
        <x:v>679</x:v>
      </x:c>
      <x:c r="B78" s="45" t="s">
        <x:v>256</x:v>
      </x:c>
      <x:c r="C78" s="45" t="s">
        <x:v>261</x:v>
      </x:c>
      <x:c r="D78" s="45" t="s">
        <x:v>606</x:v>
      </x:c>
      <x:c r="E78" s="63" t="n">
        <x:f>2*6371000*ASIN(SQRT(MIN(1,SIN(RADIANS(U78-S78)/2)^2+COS(RADIANS(S78))*COS(RADIANS(U78))*SIN(RADIANS(V78-T78)/2)^2)))</x:f>
        <x:v>23.712681060662145</x:v>
      </x:c>
      <x:c r="F78" s="48" t="s">
        <x:v>67</x:v>
      </x:c>
      <x:c r="G78" s="48" t="s">
        <x:v>66</x:v>
      </x:c>
      <x:c r="H78" s="48" t="s">
        <x:v>66</x:v>
      </x:c>
      <x:c r="I78" s="48" t="s">
        <x:v>66</x:v>
      </x:c>
      <x:c r="J78" s="48" t="s">
        <x:v>66</x:v>
      </x:c>
      <x:c r="K78" s="64"/>
      <x:c r="L78" s="64"/>
      <x:c r="M78" s="50"/>
      <x:c r="N78" s="49"/>
      <x:c r="O78" s="50"/>
      <x:c r="P78" s="50"/>
      <x:c r="Q78" s="30">
        <x:v>74</x:v>
      </x:c>
      <x:c r="R78" s="65"/>
      <x:c r="S78" s="46" t="n">
        <x:f>INDEX('Locations'!$D$6:$D$453,MATCH(B78,'Locations'!$A$6:$A$453,0))</x:f>
        <x:v>42.7278361235176</x:v>
      </x:c>
      <x:c r="T78" s="46" t="n">
        <x:f>INDEX('Locations'!$E$6:$E$453,MATCH(B78,'Locations'!$A$6:$A$453,0))</x:f>
        <x:v>-73.6739931629805</x:v>
      </x:c>
      <x:c r="U78" s="46" t="n">
        <x:f>INDEX('Locations'!$D$6:$D$453,MATCH(C78,'Locations'!$A$6:$A$453,0))</x:f>
        <x:v>42.7280441853933</x:v>
      </x:c>
      <x:c r="V78" s="66" t="n">
        <x:f>INDEX('Locations'!$E$6:$E$453,MATCH(C78,'Locations'!$A$6:$A$453,0))</x:f>
        <x:v>-73.6739294975111</x:v>
      </x:c>
      <x:c r="W78" s="44"/>
    </x:row>
    <x:row r="79" ht="23" customHeight="1">
      <x:c r="A79" s="24" t="s">
        <x:v>680</x:v>
      </x:c>
      <x:c r="B79" s="53" t="s">
        <x:v>256</x:v>
      </x:c>
      <x:c r="C79" s="53" t="s">
        <x:v>255</x:v>
      </x:c>
      <x:c r="D79" s="53" t="s">
        <x:v>606</x:v>
      </x:c>
      <x:c r="E79" s="67" t="n">
        <x:f>2*6371000*ASIN(SQRT(MIN(1,SIN(RADIANS(U79-S79)/2)^2+COS(RADIANS(S79))*COS(RADIANS(U79))*SIN(RADIANS(V79-T79)/2)^2)))</x:f>
        <x:v>58.66992546671455</x:v>
      </x:c>
      <x:c r="F79" s="48" t="s">
        <x:v>67</x:v>
      </x:c>
      <x:c r="G79" s="48" t="s">
        <x:v>66</x:v>
      </x:c>
      <x:c r="H79" s="48" t="s">
        <x:v>66</x:v>
      </x:c>
      <x:c r="I79" s="48" t="s">
        <x:v>66</x:v>
      </x:c>
      <x:c r="J79" s="48" t="s">
        <x:v>66</x:v>
      </x:c>
      <x:c r="K79" s="64"/>
      <x:c r="L79" s="64"/>
      <x:c r="M79" s="50"/>
      <x:c r="N79" s="49"/>
      <x:c r="O79" s="50"/>
      <x:c r="P79" s="50"/>
      <x:c r="Q79" s="32">
        <x:v>75</x:v>
      </x:c>
      <x:c r="R79" s="68"/>
      <x:c r="S79" s="54" t="n">
        <x:f>INDEX('Locations'!$D$6:$D$453,MATCH(B79,'Locations'!$A$6:$A$453,0))</x:f>
        <x:v>42.7278361235176</x:v>
      </x:c>
      <x:c r="T79" s="54" t="n">
        <x:f>INDEX('Locations'!$E$6:$E$453,MATCH(B79,'Locations'!$A$6:$A$453,0))</x:f>
        <x:v>-73.6739931629805</x:v>
      </x:c>
      <x:c r="U79" s="54" t="n">
        <x:f>INDEX('Locations'!$D$6:$D$453,MATCH(C79,'Locations'!$A$6:$A$453,0))</x:f>
        <x:v>42.7279165894364</x:v>
      </x:c>
      <x:c r="V79" s="69" t="n">
        <x:f>INDEX('Locations'!$E$6:$E$453,MATCH(C79,'Locations'!$A$6:$A$453,0))</x:f>
        <x:v>-73.6747030329644</x:v>
      </x:c>
      <x:c r="W79" s="44"/>
    </x:row>
    <x:row r="80" ht="23" customHeight="1">
      <x:c r="A80" s="21" t="s">
        <x:v>681</x:v>
      </x:c>
      <x:c r="B80" s="45" t="s">
        <x:v>152</x:v>
      </x:c>
      <x:c r="C80" s="45" t="s">
        <x:v>256</x:v>
      </x:c>
      <x:c r="D80" s="45" t="s">
        <x:v>606</x:v>
      </x:c>
      <x:c r="E80" s="63" t="n">
        <x:f>2*6371000*ASIN(SQRT(MIN(1,SIN(RADIANS(U80-S80)/2)^2+COS(RADIANS(S80))*COS(RADIANS(U80))*SIN(RADIANS(V80-T80)/2)^2)))</x:f>
        <x:v>35.61714219067186</x:v>
      </x:c>
      <x:c r="F80" s="48" t="s">
        <x:v>67</x:v>
      </x:c>
      <x:c r="G80" s="48" t="s">
        <x:v>66</x:v>
      </x:c>
      <x:c r="H80" s="48" t="s">
        <x:v>66</x:v>
      </x:c>
      <x:c r="I80" s="48" t="s">
        <x:v>66</x:v>
      </x:c>
      <x:c r="J80" s="48" t="s">
        <x:v>66</x:v>
      </x:c>
      <x:c r="K80" s="64"/>
      <x:c r="L80" s="64"/>
      <x:c r="M80" s="50"/>
      <x:c r="N80" s="49"/>
      <x:c r="O80" s="50"/>
      <x:c r="P80" s="50"/>
      <x:c r="Q80" s="30">
        <x:v>76</x:v>
      </x:c>
      <x:c r="R80" s="65"/>
      <x:c r="S80" s="46" t="n">
        <x:f>INDEX('Locations'!$D$6:$D$453,MATCH(B80,'Locations'!$A$6:$A$453,0))</x:f>
        <x:v>42.727659785464</x:v>
      </x:c>
      <x:c r="T80" s="46" t="n">
        <x:f>INDEX('Locations'!$E$6:$E$453,MATCH(B80,'Locations'!$A$6:$A$453,0))</x:f>
        <x:v>-73.6736291425345</x:v>
      </x:c>
      <x:c r="U80" s="46" t="n">
        <x:f>INDEX('Locations'!$D$6:$D$453,MATCH(C80,'Locations'!$A$6:$A$453,0))</x:f>
        <x:v>42.7278361235176</x:v>
      </x:c>
      <x:c r="V80" s="66" t="n">
        <x:f>INDEX('Locations'!$E$6:$E$453,MATCH(C80,'Locations'!$A$6:$A$453,0))</x:f>
        <x:v>-73.6739931629805</x:v>
      </x:c>
      <x:c r="W80" s="44"/>
    </x:row>
    <x:row r="81" ht="23" customHeight="1">
      <x:c r="A81" s="24" t="s">
        <x:v>682</x:v>
      </x:c>
      <x:c r="B81" s="53" t="s">
        <x:v>202</x:v>
      </x:c>
      <x:c r="C81" s="53" t="s">
        <x:v>255</x:v>
      </x:c>
      <x:c r="D81" s="53" t="s">
        <x:v>606</x:v>
      </x:c>
      <x:c r="E81" s="67" t="n">
        <x:f>2*6371000*ASIN(SQRT(MIN(1,SIN(RADIANS(U81-S81)/2)^2+COS(RADIANS(S81))*COS(RADIANS(U81))*SIN(RADIANS(V81-T81)/2)^2)))</x:f>
        <x:v>46.00494840201363</x:v>
      </x:c>
      <x:c r="F81" s="48" t="s">
        <x:v>67</x:v>
      </x:c>
      <x:c r="G81" s="48" t="s">
        <x:v>66</x:v>
      </x:c>
      <x:c r="H81" s="48" t="s">
        <x:v>66</x:v>
      </x:c>
      <x:c r="I81" s="48" t="s">
        <x:v>66</x:v>
      </x:c>
      <x:c r="J81" s="48" t="s">
        <x:v>66</x:v>
      </x:c>
      <x:c r="K81" s="64"/>
      <x:c r="L81" s="64"/>
      <x:c r="M81" s="50"/>
      <x:c r="N81" s="49"/>
      <x:c r="O81" s="50"/>
      <x:c r="P81" s="50"/>
      <x:c r="Q81" s="32">
        <x:v>77</x:v>
      </x:c>
      <x:c r="R81" s="68"/>
      <x:c r="S81" s="54" t="n">
        <x:f>INDEX('Locations'!$D$6:$D$453,MATCH(B81,'Locations'!$A$6:$A$453,0))</x:f>
        <x:v>42.7279134886281</x:v>
      </x:c>
      <x:c r="T81" s="54" t="n">
        <x:f>INDEX('Locations'!$E$6:$E$453,MATCH(B81,'Locations'!$A$6:$A$453,0))</x:f>
        <x:v>-73.6752662371224</x:v>
      </x:c>
      <x:c r="U81" s="54" t="n">
        <x:f>INDEX('Locations'!$D$6:$D$453,MATCH(C81,'Locations'!$A$6:$A$453,0))</x:f>
        <x:v>42.7279165894364</x:v>
      </x:c>
      <x:c r="V81" s="69" t="n">
        <x:f>INDEX('Locations'!$E$6:$E$453,MATCH(C81,'Locations'!$A$6:$A$453,0))</x:f>
        <x:v>-73.6747030329644</x:v>
      </x:c>
      <x:c r="W81" s="44"/>
    </x:row>
    <x:row r="82" ht="23" customHeight="1">
      <x:c r="A82" s="21" t="s">
        <x:v>683</x:v>
      </x:c>
      <x:c r="B82" s="45" t="s">
        <x:v>227</x:v>
      </x:c>
      <x:c r="C82" s="45" t="s">
        <x:v>262</x:v>
      </x:c>
      <x:c r="D82" s="45" t="s">
        <x:v>606</x:v>
      </x:c>
      <x:c r="E82" s="63" t="n">
        <x:f>2*6371000*ASIN(SQRT(MIN(1,SIN(RADIANS(U82-S82)/2)^2+COS(RADIANS(S82))*COS(RADIANS(U82))*SIN(RADIANS(V82-T82)/2)^2)))</x:f>
        <x:v>57.66554211722655</x:v>
      </x:c>
      <x:c r="F82" s="48" t="s">
        <x:v>67</x:v>
      </x:c>
      <x:c r="G82" s="48" t="s">
        <x:v>66</x:v>
      </x:c>
      <x:c r="H82" s="48" t="s">
        <x:v>66</x:v>
      </x:c>
      <x:c r="I82" s="48" t="s">
        <x:v>66</x:v>
      </x:c>
      <x:c r="J82" s="48" t="s">
        <x:v>66</x:v>
      </x:c>
      <x:c r="K82" s="64"/>
      <x:c r="L82" s="64"/>
      <x:c r="M82" s="50"/>
      <x:c r="N82" s="49"/>
      <x:c r="O82" s="50"/>
      <x:c r="P82" s="50"/>
      <x:c r="Q82" s="30">
        <x:v>78</x:v>
      </x:c>
      <x:c r="R82" s="65"/>
      <x:c r="S82" s="46" t="n">
        <x:f>INDEX('Locations'!$D$6:$D$453,MATCH(B82,'Locations'!$A$6:$A$453,0))</x:f>
        <x:v>42.7303075767371</x:v>
      </x:c>
      <x:c r="T82" s="46" t="n">
        <x:f>INDEX('Locations'!$E$6:$E$453,MATCH(B82,'Locations'!$A$6:$A$453,0))</x:f>
        <x:v>-73.6758617445077</x:v>
      </x:c>
      <x:c r="U82" s="46" t="n">
        <x:f>INDEX('Locations'!$D$6:$D$453,MATCH(C82,'Locations'!$A$6:$A$453,0))</x:f>
        <x:v>42.72979374437</x:v>
      </x:c>
      <x:c r="V82" s="66" t="n">
        <x:f>INDEX('Locations'!$E$6:$E$453,MATCH(C82,'Locations'!$A$6:$A$453,0))</x:f>
        <x:v>-73.6757662463036</x:v>
      </x:c>
      <x:c r="W82" s="44"/>
    </x:row>
    <x:row r="83" ht="23" customHeight="1">
      <x:c r="A83" s="24" t="s">
        <x:v>684</x:v>
      </x:c>
      <x:c r="B83" s="53" t="s">
        <x:v>252</x:v>
      </x:c>
      <x:c r="C83" s="53" t="s">
        <x:v>262</x:v>
      </x:c>
      <x:c r="D83" s="53" t="s">
        <x:v>606</x:v>
      </x:c>
      <x:c r="E83" s="67" t="n">
        <x:f>2*6371000*ASIN(SQRT(MIN(1,SIN(RADIANS(U83-S83)/2)^2+COS(RADIANS(S83))*COS(RADIANS(U83))*SIN(RADIANS(V83-T83)/2)^2)))</x:f>
        <x:v>60.64245934096646</x:v>
      </x:c>
      <x:c r="F83" s="48" t="s">
        <x:v>67</x:v>
      </x:c>
      <x:c r="G83" s="48" t="s">
        <x:v>66</x:v>
      </x:c>
      <x:c r="H83" s="48" t="s">
        <x:v>66</x:v>
      </x:c>
      <x:c r="I83" s="48" t="s">
        <x:v>66</x:v>
      </x:c>
      <x:c r="J83" s="48" t="s">
        <x:v>66</x:v>
      </x:c>
      <x:c r="K83" s="64"/>
      <x:c r="L83" s="64"/>
      <x:c r="M83" s="50"/>
      <x:c r="N83" s="49"/>
      <x:c r="O83" s="50"/>
      <x:c r="P83" s="50"/>
      <x:c r="Q83" s="32">
        <x:v>79</x:v>
      </x:c>
      <x:c r="R83" s="68"/>
      <x:c r="S83" s="54" t="n">
        <x:f>INDEX('Locations'!$D$6:$D$453,MATCH(B83,'Locations'!$A$6:$A$453,0))</x:f>
        <x:v>42.7292488751486</x:v>
      </x:c>
      <x:c r="T83" s="54" t="n">
        <x:f>INDEX('Locations'!$E$6:$E$453,MATCH(B83,'Locations'!$A$6:$A$453,0))</x:f>
        <x:v>-73.6757344135688</x:v>
      </x:c>
      <x:c r="U83" s="54" t="n">
        <x:f>INDEX('Locations'!$D$6:$D$453,MATCH(C83,'Locations'!$A$6:$A$453,0))</x:f>
        <x:v>42.72979374437</x:v>
      </x:c>
      <x:c r="V83" s="69" t="n">
        <x:f>INDEX('Locations'!$E$6:$E$453,MATCH(C83,'Locations'!$A$6:$A$453,0))</x:f>
        <x:v>-73.6757662463036</x:v>
      </x:c>
      <x:c r="W83" s="44"/>
    </x:row>
    <x:row r="84" ht="23" customHeight="1">
      <x:c r="A84" s="21" t="s">
        <x:v>685</x:v>
      </x:c>
      <x:c r="B84" s="45" t="s">
        <x:v>164</x:v>
      </x:c>
      <x:c r="C84" s="45" t="s">
        <x:v>263</x:v>
      </x:c>
      <x:c r="D84" s="45" t="s">
        <x:v>606</x:v>
      </x:c>
      <x:c r="E84" s="63" t="n">
        <x:f>2*6371000*ASIN(SQRT(MIN(1,SIN(RADIANS(U84-S84)/2)^2+COS(RADIANS(S84))*COS(RADIANS(U84))*SIN(RADIANS(V84-T84)/2)^2)))</x:f>
        <x:v>25.554446922887248</x:v>
      </x:c>
      <x:c r="F84" s="48" t="s">
        <x:v>67</x:v>
      </x:c>
      <x:c r="G84" s="48" t="s">
        <x:v>66</x:v>
      </x:c>
      <x:c r="H84" s="48" t="s">
        <x:v>66</x:v>
      </x:c>
      <x:c r="I84" s="48" t="s">
        <x:v>66</x:v>
      </x:c>
      <x:c r="J84" s="48" t="s">
        <x:v>66</x:v>
      </x:c>
      <x:c r="K84" s="64"/>
      <x:c r="L84" s="64"/>
      <x:c r="M84" s="50"/>
      <x:c r="N84" s="49"/>
      <x:c r="O84" s="50"/>
      <x:c r="P84" s="50"/>
      <x:c r="Q84" s="30">
        <x:v>80</x:v>
      </x:c>
      <x:c r="R84" s="65"/>
      <x:c r="S84" s="46" t="n">
        <x:f>INDEX('Locations'!$D$6:$D$453,MATCH(B84,'Locations'!$A$6:$A$453,0))</x:f>
        <x:v>42.7301321088195</x:v>
      </x:c>
      <x:c r="T84" s="46" t="n">
        <x:f>INDEX('Locations'!$E$6:$E$453,MATCH(B84,'Locations'!$A$6:$A$453,0))</x:f>
        <x:v>-73.6777225353032</x:v>
      </x:c>
      <x:c r="U84" s="46" t="n">
        <x:f>INDEX('Locations'!$D$6:$D$453,MATCH(C84,'Locations'!$A$6:$A$453,0))</x:f>
        <x:v>42.7300581323889</x:v>
      </x:c>
      <x:c r="V84" s="66" t="n">
        <x:f>INDEX('Locations'!$E$6:$E$453,MATCH(C84,'Locations'!$A$6:$A$453,0))</x:f>
        <x:v>-73.6774263234184</x:v>
      </x:c>
      <x:c r="W84" s="44"/>
    </x:row>
    <x:row r="85" ht="23" customHeight="1">
      <x:c r="A85" s="24" t="s">
        <x:v>686</x:v>
      </x:c>
      <x:c r="B85" s="53" t="s">
        <x:v>212</x:v>
      </x:c>
      <x:c r="C85" s="53" t="s">
        <x:v>263</x:v>
      </x:c>
      <x:c r="D85" s="53" t="s">
        <x:v>606</x:v>
      </x:c>
      <x:c r="E85" s="67" t="n">
        <x:f>2*6371000*ASIN(SQRT(MIN(1,SIN(RADIANS(U85-S85)/2)^2+COS(RADIANS(S85))*COS(RADIANS(U85))*SIN(RADIANS(V85-T85)/2)^2)))</x:f>
        <x:v>80.95000783069355</x:v>
      </x:c>
      <x:c r="F85" s="48" t="s">
        <x:v>67</x:v>
      </x:c>
      <x:c r="G85" s="48" t="s">
        <x:v>66</x:v>
      </x:c>
      <x:c r="H85" s="48" t="s">
        <x:v>66</x:v>
      </x:c>
      <x:c r="I85" s="48" t="s">
        <x:v>66</x:v>
      </x:c>
      <x:c r="J85" s="48" t="s">
        <x:v>66</x:v>
      </x:c>
      <x:c r="K85" s="64"/>
      <x:c r="L85" s="64"/>
      <x:c r="M85" s="50"/>
      <x:c r="N85" s="49"/>
      <x:c r="O85" s="50"/>
      <x:c r="P85" s="50"/>
      <x:c r="Q85" s="32">
        <x:v>81</x:v>
      </x:c>
      <x:c r="R85" s="68"/>
      <x:c r="S85" s="54" t="n">
        <x:f>INDEX('Locations'!$D$6:$D$453,MATCH(B85,'Locations'!$A$6:$A$453,0))</x:f>
        <x:v>42.7307708305265</x:v>
      </x:c>
      <x:c r="T85" s="54" t="n">
        <x:f>INDEX('Locations'!$E$6:$E$453,MATCH(B85,'Locations'!$A$6:$A$453,0))</x:f>
        <x:v>-73.6772241855531</x:v>
      </x:c>
      <x:c r="U85" s="54" t="n">
        <x:f>INDEX('Locations'!$D$6:$D$453,MATCH(C85,'Locations'!$A$6:$A$453,0))</x:f>
        <x:v>42.7300581323889</x:v>
      </x:c>
      <x:c r="V85" s="69" t="n">
        <x:f>INDEX('Locations'!$E$6:$E$453,MATCH(C85,'Locations'!$A$6:$A$453,0))</x:f>
        <x:v>-73.6774263234184</x:v>
      </x:c>
      <x:c r="W85" s="44"/>
    </x:row>
    <x:row r="86" ht="23" customHeight="1">
      <x:c r="A86" s="21" t="s">
        <x:v>687</x:v>
      </x:c>
      <x:c r="B86" s="45" t="s">
        <x:v>262</x:v>
      </x:c>
      <x:c r="C86" s="45" t="s">
        <x:v>172</x:v>
      </x:c>
      <x:c r="D86" s="45" t="s">
        <x:v>606</x:v>
      </x:c>
      <x:c r="E86" s="63" t="n">
        <x:f>2*6371000*ASIN(SQRT(MIN(1,SIN(RADIANS(U86-S86)/2)^2+COS(RADIANS(S86))*COS(RADIANS(U86))*SIN(RADIANS(V86-T86)/2)^2)))</x:f>
        <x:v>74.72663155044867</x:v>
      </x:c>
      <x:c r="F86" s="48" t="s">
        <x:v>67</x:v>
      </x:c>
      <x:c r="G86" s="48" t="s">
        <x:v>66</x:v>
      </x:c>
      <x:c r="H86" s="48" t="s">
        <x:v>66</x:v>
      </x:c>
      <x:c r="I86" s="48" t="s">
        <x:v>66</x:v>
      </x:c>
      <x:c r="J86" s="48" t="s">
        <x:v>66</x:v>
      </x:c>
      <x:c r="K86" s="64"/>
      <x:c r="L86" s="64"/>
      <x:c r="M86" s="50"/>
      <x:c r="N86" s="49"/>
      <x:c r="O86" s="50"/>
      <x:c r="P86" s="50"/>
      <x:c r="Q86" s="30">
        <x:v>82</x:v>
      </x:c>
      <x:c r="R86" s="65"/>
      <x:c r="S86" s="46" t="n">
        <x:f>INDEX('Locations'!$D$6:$D$453,MATCH(B86,'Locations'!$A$6:$A$453,0))</x:f>
        <x:v>42.72979374437</x:v>
      </x:c>
      <x:c r="T86" s="46" t="n">
        <x:f>INDEX('Locations'!$E$6:$E$453,MATCH(B86,'Locations'!$A$6:$A$453,0))</x:f>
        <x:v>-73.6757662463036</x:v>
      </x:c>
      <x:c r="U86" s="46" t="n">
        <x:f>INDEX('Locations'!$D$6:$D$453,MATCH(C86,'Locations'!$A$6:$A$453,0))</x:f>
        <x:v>42.7298997202713</x:v>
      </x:c>
      <x:c r="V86" s="66" t="n">
        <x:f>INDEX('Locations'!$E$6:$E$453,MATCH(C86,'Locations'!$A$6:$A$453,0))</x:f>
        <x:v>-73.6766696757312</x:v>
      </x:c>
      <x:c r="W86" s="44"/>
    </x:row>
    <x:row r="87" ht="23" customHeight="1">
      <x:c r="A87" s="24" t="s">
        <x:v>688</x:v>
      </x:c>
      <x:c r="B87" s="53" t="s">
        <x:v>213</x:v>
      </x:c>
      <x:c r="C87" s="53" t="s">
        <x:v>172</x:v>
      </x:c>
      <x:c r="D87" s="53" t="s">
        <x:v>606</x:v>
      </x:c>
      <x:c r="E87" s="67" t="n">
        <x:f>2*6371000*ASIN(SQRT(MIN(1,SIN(RADIANS(U87-S87)/2)^2+COS(RADIANS(S87))*COS(RADIANS(U87))*SIN(RADIANS(V87-T87)/2)^2)))</x:f>
        <x:v>90.53518215448709</x:v>
      </x:c>
      <x:c r="F87" s="48" t="s">
        <x:v>67</x:v>
      </x:c>
      <x:c r="G87" s="48" t="s">
        <x:v>66</x:v>
      </x:c>
      <x:c r="H87" s="48" t="s">
        <x:v>66</x:v>
      </x:c>
      <x:c r="I87" s="48" t="s">
        <x:v>66</x:v>
      </x:c>
      <x:c r="J87" s="48" t="s">
        <x:v>66</x:v>
      </x:c>
      <x:c r="K87" s="64"/>
      <x:c r="L87" s="64"/>
      <x:c r="M87" s="50"/>
      <x:c r="N87" s="49"/>
      <x:c r="O87" s="50"/>
      <x:c r="P87" s="50"/>
      <x:c r="Q87" s="32">
        <x:v>83</x:v>
      </x:c>
      <x:c r="R87" s="68"/>
      <x:c r="S87" s="54" t="n">
        <x:f>INDEX('Locations'!$D$6:$D$453,MATCH(B87,'Locations'!$A$6:$A$453,0))</x:f>
        <x:v>42.7306443840828</x:v>
      </x:c>
      <x:c r="T87" s="54" t="n">
        <x:f>INDEX('Locations'!$E$6:$E$453,MATCH(B87,'Locations'!$A$6:$A$453,0))</x:f>
        <x:v>-73.6762214544098</x:v>
      </x:c>
      <x:c r="U87" s="54" t="n">
        <x:f>INDEX('Locations'!$D$6:$D$453,MATCH(C87,'Locations'!$A$6:$A$453,0))</x:f>
        <x:v>42.7298997202713</x:v>
      </x:c>
      <x:c r="V87" s="69" t="n">
        <x:f>INDEX('Locations'!$E$6:$E$453,MATCH(C87,'Locations'!$A$6:$A$453,0))</x:f>
        <x:v>-73.6766696757312</x:v>
      </x:c>
      <x:c r="W87" s="44"/>
    </x:row>
    <x:row r="88" ht="23" customHeight="1">
      <x:c r="A88" s="21" t="s">
        <x:v>689</x:v>
      </x:c>
      <x:c r="B88" s="45" t="s">
        <x:v>264</x:v>
      </x:c>
      <x:c r="C88" s="45" t="s">
        <x:v>172</x:v>
      </x:c>
      <x:c r="D88" s="45" t="s">
        <x:v>606</x:v>
      </x:c>
      <x:c r="E88" s="63" t="n">
        <x:f>2*6371000*ASIN(SQRT(MIN(1,SIN(RADIANS(U88-S88)/2)^2+COS(RADIANS(S88))*COS(RADIANS(U88))*SIN(RADIANS(V88-T88)/2)^2)))</x:f>
        <x:v>45.43511463529173</x:v>
      </x:c>
      <x:c r="F88" s="48" t="s">
        <x:v>67</x:v>
      </x:c>
      <x:c r="G88" s="48" t="s">
        <x:v>66</x:v>
      </x:c>
      <x:c r="H88" s="48" t="s">
        <x:v>66</x:v>
      </x:c>
      <x:c r="I88" s="48" t="s">
        <x:v>66</x:v>
      </x:c>
      <x:c r="J88" s="48" t="s">
        <x:v>66</x:v>
      </x:c>
      <x:c r="K88" s="64"/>
      <x:c r="L88" s="64"/>
      <x:c r="M88" s="50"/>
      <x:c r="N88" s="49"/>
      <x:c r="O88" s="50"/>
      <x:c r="P88" s="50"/>
      <x:c r="Q88" s="30">
        <x:v>84</x:v>
      </x:c>
      <x:c r="R88" s="65"/>
      <x:c r="S88" s="46" t="n">
        <x:f>INDEX('Locations'!$D$6:$D$453,MATCH(B88,'Locations'!$A$6:$A$453,0))</x:f>
        <x:v>42.7295109641412</x:v>
      </x:c>
      <x:c r="T88" s="46" t="n">
        <x:f>INDEX('Locations'!$E$6:$E$453,MATCH(B88,'Locations'!$A$6:$A$453,0))</x:f>
        <x:v>-73.6764983992018</x:v>
      </x:c>
      <x:c r="U88" s="46" t="n">
        <x:f>INDEX('Locations'!$D$6:$D$453,MATCH(C88,'Locations'!$A$6:$A$453,0))</x:f>
        <x:v>42.7298997202713</x:v>
      </x:c>
      <x:c r="V88" s="66" t="n">
        <x:f>INDEX('Locations'!$E$6:$E$453,MATCH(C88,'Locations'!$A$6:$A$453,0))</x:f>
        <x:v>-73.6766696757312</x:v>
      </x:c>
      <x:c r="W88" s="44"/>
    </x:row>
    <x:row r="89" ht="23" customHeight="1">
      <x:c r="A89" s="24" t="s">
        <x:v>690</x:v>
      </x:c>
      <x:c r="B89" s="53" t="s">
        <x:v>264</x:v>
      </x:c>
      <x:c r="C89" s="53" t="s">
        <x:v>252</x:v>
      </x:c>
      <x:c r="D89" s="53" t="s">
        <x:v>606</x:v>
      </x:c>
      <x:c r="E89" s="67" t="n">
        <x:f>2*6371000*ASIN(SQRT(MIN(1,SIN(RADIANS(U89-S89)/2)^2+COS(RADIANS(S89))*COS(RADIANS(U89))*SIN(RADIANS(V89-T89)/2)^2)))</x:f>
        <x:v>68.87216072001874</x:v>
      </x:c>
      <x:c r="F89" s="48" t="s">
        <x:v>67</x:v>
      </x:c>
      <x:c r="G89" s="48" t="s">
        <x:v>66</x:v>
      </x:c>
      <x:c r="H89" s="48" t="s">
        <x:v>66</x:v>
      </x:c>
      <x:c r="I89" s="48" t="s">
        <x:v>66</x:v>
      </x:c>
      <x:c r="J89" s="48" t="s">
        <x:v>66</x:v>
      </x:c>
      <x:c r="K89" s="64"/>
      <x:c r="L89" s="64"/>
      <x:c r="M89" s="50"/>
      <x:c r="N89" s="49"/>
      <x:c r="O89" s="50"/>
      <x:c r="P89" s="50"/>
      <x:c r="Q89" s="32">
        <x:v>85</x:v>
      </x:c>
      <x:c r="R89" s="68"/>
      <x:c r="S89" s="54" t="n">
        <x:f>INDEX('Locations'!$D$6:$D$453,MATCH(B89,'Locations'!$A$6:$A$453,0))</x:f>
        <x:v>42.7295109641412</x:v>
      </x:c>
      <x:c r="T89" s="54" t="n">
        <x:f>INDEX('Locations'!$E$6:$E$453,MATCH(B89,'Locations'!$A$6:$A$453,0))</x:f>
        <x:v>-73.6764983992018</x:v>
      </x:c>
      <x:c r="U89" s="54" t="n">
        <x:f>INDEX('Locations'!$D$6:$D$453,MATCH(C89,'Locations'!$A$6:$A$453,0))</x:f>
        <x:v>42.7292488751486</x:v>
      </x:c>
      <x:c r="V89" s="69" t="n">
        <x:f>INDEX('Locations'!$E$6:$E$453,MATCH(C89,'Locations'!$A$6:$A$453,0))</x:f>
        <x:v>-73.6757344135688</x:v>
      </x:c>
      <x:c r="W89" s="44"/>
    </x:row>
    <x:row r="90" ht="23" customHeight="1">
      <x:c r="A90" s="21" t="s">
        <x:v>691</x:v>
      </x:c>
      <x:c r="B90" s="45" t="s">
        <x:v>164</x:v>
      </x:c>
      <x:c r="C90" s="45" t="s">
        <x:v>265</x:v>
      </x:c>
      <x:c r="D90" s="45" t="s">
        <x:v>661</x:v>
      </x:c>
      <x:c r="E90" s="63" t="n">
        <x:f>2*6371000*ASIN(SQRT(MIN(1,SIN(RADIANS(U90-S90)/2)^2+COS(RADIANS(S90))*COS(RADIANS(U90))*SIN(RADIANS(V90-T90)/2)^2)))</x:f>
        <x:v>34.23591324777316</x:v>
      </x:c>
      <x:c r="F90" s="48" t="s">
        <x:v>67</x:v>
      </x:c>
      <x:c r="G90" s="48" t="s">
        <x:v>66</x:v>
      </x:c>
      <x:c r="H90" s="48" t="s">
        <x:v>66</x:v>
      </x:c>
      <x:c r="I90" s="48" t="s">
        <x:v>66</x:v>
      </x:c>
      <x:c r="J90" s="48" t="s">
        <x:v>66</x:v>
      </x:c>
      <x:c r="K90" s="64"/>
      <x:c r="L90" s="64"/>
      <x:c r="M90" s="50"/>
      <x:c r="N90" s="49"/>
      <x:c r="O90" s="50"/>
      <x:c r="P90" s="50"/>
      <x:c r="Q90" s="30">
        <x:v>86</x:v>
      </x:c>
      <x:c r="R90" s="65"/>
      <x:c r="S90" s="46" t="n">
        <x:f>INDEX('Locations'!$D$6:$D$453,MATCH(B90,'Locations'!$A$6:$A$453,0))</x:f>
        <x:v>42.7301321088195</x:v>
      </x:c>
      <x:c r="T90" s="46" t="n">
        <x:f>INDEX('Locations'!$E$6:$E$453,MATCH(B90,'Locations'!$A$6:$A$453,0))</x:f>
        <x:v>-73.6777225353032</x:v>
      </x:c>
      <x:c r="U90" s="46" t="n">
        <x:f>INDEX('Locations'!$D$6:$D$453,MATCH(C90,'Locations'!$A$6:$A$453,0))</x:f>
        <x:v>42.7302822874483</x:v>
      </x:c>
      <x:c r="V90" s="66" t="n">
        <x:f>INDEX('Locations'!$E$6:$E$453,MATCH(C90,'Locations'!$A$6:$A$453,0))</x:f>
        <x:v>-73.6780884443003</x:v>
      </x:c>
      <x:c r="W90" s="44"/>
    </x:row>
    <x:row r="91" ht="23" customHeight="1">
      <x:c r="A91" s="24" t="s">
        <x:v>692</x:v>
      </x:c>
      <x:c r="B91" s="53" t="s">
        <x:v>266</x:v>
      </x:c>
      <x:c r="C91" s="53" t="s">
        <x:v>265</x:v>
      </x:c>
      <x:c r="D91" s="53" t="s">
        <x:v>606</x:v>
      </x:c>
      <x:c r="E91" s="67" t="n">
        <x:f>2*6371000*ASIN(SQRT(MIN(1,SIN(RADIANS(U91-S91)/2)^2+COS(RADIANS(S91))*COS(RADIANS(U91))*SIN(RADIANS(V91-T91)/2)^2)))</x:f>
        <x:v>26.55198050748518</x:v>
      </x:c>
      <x:c r="F91" s="48" t="s">
        <x:v>67</x:v>
      </x:c>
      <x:c r="G91" s="48" t="s">
        <x:v>66</x:v>
      </x:c>
      <x:c r="H91" s="48" t="s">
        <x:v>66</x:v>
      </x:c>
      <x:c r="I91" s="48" t="s">
        <x:v>66</x:v>
      </x:c>
      <x:c r="J91" s="48" t="s">
        <x:v>66</x:v>
      </x:c>
      <x:c r="K91" s="64"/>
      <x:c r="L91" s="64"/>
      <x:c r="M91" s="50"/>
      <x:c r="N91" s="49"/>
      <x:c r="O91" s="50"/>
      <x:c r="P91" s="50"/>
      <x:c r="Q91" s="32">
        <x:v>87</x:v>
      </x:c>
      <x:c r="R91" s="68"/>
      <x:c r="S91" s="54" t="n">
        <x:f>INDEX('Locations'!$D$6:$D$453,MATCH(B91,'Locations'!$A$6:$A$453,0))</x:f>
        <x:v>42.730517937639</x:v>
      </x:c>
      <x:c r="T91" s="54" t="n">
        <x:f>INDEX('Locations'!$E$6:$E$453,MATCH(B91,'Locations'!$A$6:$A$453,0))</x:f>
        <x:v>-73.678035920288</x:v>
      </x:c>
      <x:c r="U91" s="54" t="n">
        <x:f>INDEX('Locations'!$D$6:$D$453,MATCH(C91,'Locations'!$A$6:$A$453,0))</x:f>
        <x:v>42.7302822874483</x:v>
      </x:c>
      <x:c r="V91" s="69" t="n">
        <x:f>INDEX('Locations'!$E$6:$E$453,MATCH(C91,'Locations'!$A$6:$A$453,0))</x:f>
        <x:v>-73.6780884443003</x:v>
      </x:c>
      <x:c r="W91" s="44"/>
    </x:row>
    <x:row r="92" ht="23" customHeight="1">
      <x:c r="A92" s="21" t="s">
        <x:v>693</x:v>
      </x:c>
      <x:c r="B92" s="45" t="s">
        <x:v>267</x:v>
      </x:c>
      <x:c r="C92" s="45" t="s">
        <x:v>265</x:v>
      </x:c>
      <x:c r="D92" s="45" t="s">
        <x:v>606</x:v>
      </x:c>
      <x:c r="E92" s="63" t="n">
        <x:f>2*6371000*ASIN(SQRT(MIN(1,SIN(RADIANS(U92-S92)/2)^2+COS(RADIANS(S92))*COS(RADIANS(U92))*SIN(RADIANS(V92-T92)/2)^2)))</x:f>
        <x:v>45.90328481094059</x:v>
      </x:c>
      <x:c r="F92" s="48" t="s">
        <x:v>67</x:v>
      </x:c>
      <x:c r="G92" s="48" t="s">
        <x:v>66</x:v>
      </x:c>
      <x:c r="H92" s="48" t="s">
        <x:v>66</x:v>
      </x:c>
      <x:c r="I92" s="48" t="s">
        <x:v>66</x:v>
      </x:c>
      <x:c r="J92" s="48" t="s">
        <x:v>66</x:v>
      </x:c>
      <x:c r="K92" s="64"/>
      <x:c r="L92" s="64"/>
      <x:c r="M92" s="50"/>
      <x:c r="N92" s="49"/>
      <x:c r="O92" s="50"/>
      <x:c r="P92" s="50"/>
      <x:c r="Q92" s="30">
        <x:v>88</x:v>
      </x:c>
      <x:c r="R92" s="65"/>
      <x:c r="S92" s="46" t="n">
        <x:f>INDEX('Locations'!$D$6:$D$453,MATCH(B92,'Locations'!$A$6:$A$453,0))</x:f>
        <x:v>42.7300121518638</x:v>
      </x:c>
      <x:c r="T92" s="46" t="n">
        <x:f>INDEX('Locations'!$E$6:$E$453,MATCH(B92,'Locations'!$A$6:$A$453,0))</x:f>
        <x:v>-73.6785134113086</x:v>
      </x:c>
      <x:c r="U92" s="46" t="n">
        <x:f>INDEX('Locations'!$D$6:$D$453,MATCH(C92,'Locations'!$A$6:$A$453,0))</x:f>
        <x:v>42.7302822874483</x:v>
      </x:c>
      <x:c r="V92" s="66" t="n">
        <x:f>INDEX('Locations'!$E$6:$E$453,MATCH(C92,'Locations'!$A$6:$A$453,0))</x:f>
        <x:v>-73.6780884443003</x:v>
      </x:c>
      <x:c r="W92" s="44"/>
    </x:row>
    <x:row r="93" ht="23" customHeight="1">
      <x:c r="A93" s="24" t="s">
        <x:v>694</x:v>
      </x:c>
      <x:c r="B93" s="53" t="s">
        <x:v>267</x:v>
      </x:c>
      <x:c r="C93" s="53" t="s">
        <x:v>268</x:v>
      </x:c>
      <x:c r="D93" s="53" t="s">
        <x:v>661</x:v>
      </x:c>
      <x:c r="E93" s="67" t="n">
        <x:f>2*6371000*ASIN(SQRT(MIN(1,SIN(RADIANS(U93-S93)/2)^2+COS(RADIANS(S93))*COS(RADIANS(U93))*SIN(RADIANS(V93-T93)/2)^2)))</x:f>
        <x:v>49.004633050131126</x:v>
      </x:c>
      <x:c r="F93" s="48" t="s">
        <x:v>67</x:v>
      </x:c>
      <x:c r="G93" s="48" t="s">
        <x:v>66</x:v>
      </x:c>
      <x:c r="H93" s="48" t="s">
        <x:v>66</x:v>
      </x:c>
      <x:c r="I93" s="48" t="s">
        <x:v>66</x:v>
      </x:c>
      <x:c r="J93" s="48" t="s">
        <x:v>66</x:v>
      </x:c>
      <x:c r="K93" s="64"/>
      <x:c r="L93" s="64"/>
      <x:c r="M93" s="50"/>
      <x:c r="N93" s="49"/>
      <x:c r="O93" s="50"/>
      <x:c r="P93" s="50"/>
      <x:c r="Q93" s="32">
        <x:v>89</x:v>
      </x:c>
      <x:c r="R93" s="68"/>
      <x:c r="S93" s="54" t="n">
        <x:f>INDEX('Locations'!$D$6:$D$453,MATCH(B93,'Locations'!$A$6:$A$453,0))</x:f>
        <x:v>42.7300121518638</x:v>
      </x:c>
      <x:c r="T93" s="54" t="n">
        <x:f>INDEX('Locations'!$E$6:$E$453,MATCH(B93,'Locations'!$A$6:$A$453,0))</x:f>
        <x:v>-73.6785134113086</x:v>
      </x:c>
      <x:c r="U93" s="54" t="n">
        <x:f>INDEX('Locations'!$D$6:$D$453,MATCH(C93,'Locations'!$A$6:$A$453,0))</x:f>
        <x:v>42.7295753368762</x:v>
      </x:c>
      <x:c r="V93" s="69" t="n">
        <x:f>INDEX('Locations'!$E$6:$E$453,MATCH(C93,'Locations'!$A$6:$A$453,0))</x:f>
        <x:v>-73.6785929931454</x:v>
      </x:c>
      <x:c r="W93" s="44"/>
    </x:row>
    <x:row r="94" ht="23" customHeight="1">
      <x:c r="A94" s="21" t="s">
        <x:v>695</x:v>
      </x:c>
      <x:c r="B94" s="45" t="s">
        <x:v>182</x:v>
      </x:c>
      <x:c r="C94" s="45" t="s">
        <x:v>268</x:v>
      </x:c>
      <x:c r="D94" s="45" t="s">
        <x:v>606</x:v>
      </x:c>
      <x:c r="E94" s="63" t="n">
        <x:f>2*6371000*ASIN(SQRT(MIN(1,SIN(RADIANS(U94-S94)/2)^2+COS(RADIANS(S94))*COS(RADIANS(U94))*SIN(RADIANS(V94-T94)/2)^2)))</x:f>
        <x:v>39.09600467567156</x:v>
      </x:c>
      <x:c r="F94" s="48" t="s">
        <x:v>67</x:v>
      </x:c>
      <x:c r="G94" s="48" t="s">
        <x:v>66</x:v>
      </x:c>
      <x:c r="H94" s="48" t="s">
        <x:v>66</x:v>
      </x:c>
      <x:c r="I94" s="48" t="s">
        <x:v>66</x:v>
      </x:c>
      <x:c r="J94" s="48" t="s">
        <x:v>66</x:v>
      </x:c>
      <x:c r="K94" s="64"/>
      <x:c r="L94" s="64"/>
      <x:c r="M94" s="50"/>
      <x:c r="N94" s="49"/>
      <x:c r="O94" s="50"/>
      <x:c r="P94" s="50"/>
      <x:c r="Q94" s="30">
        <x:v>90</x:v>
      </x:c>
      <x:c r="R94" s="45" t="s">
        <x:v>696</x:v>
      </x:c>
      <x:c r="S94" s="46" t="n">
        <x:f>INDEX('Locations'!$D$6:$D$453,MATCH(B94,'Locations'!$A$6:$A$453,0))</x:f>
        <x:v>42.7297841661032</x:v>
      </x:c>
      <x:c r="T94" s="46" t="n">
        <x:f>INDEX('Locations'!$E$6:$E$453,MATCH(B94,'Locations'!$A$6:$A$453,0))</x:f>
        <x:v>-73.678207915226</x:v>
      </x:c>
      <x:c r="U94" s="46" t="n">
        <x:f>INDEX('Locations'!$D$6:$D$453,MATCH(C94,'Locations'!$A$6:$A$453,0))</x:f>
        <x:v>42.7295753368762</x:v>
      </x:c>
      <x:c r="V94" s="66" t="n">
        <x:f>INDEX('Locations'!$E$6:$E$453,MATCH(C94,'Locations'!$A$6:$A$453,0))</x:f>
        <x:v>-73.6785929931454</x:v>
      </x:c>
      <x:c r="W94" s="44"/>
    </x:row>
    <x:row r="95" ht="23" customHeight="1">
      <x:c r="A95" s="24" t="s">
        <x:v>697</x:v>
      </x:c>
      <x:c r="B95" s="53" t="s">
        <x:v>269</x:v>
      </x:c>
      <x:c r="C95" s="53" t="s">
        <x:v>270</x:v>
      </x:c>
      <x:c r="D95" s="53" t="s">
        <x:v>606</x:v>
      </x:c>
      <x:c r="E95" s="67" t="n">
        <x:f>2*6371000*ASIN(SQRT(MIN(1,SIN(RADIANS(U95-S95)/2)^2+COS(RADIANS(S95))*COS(RADIANS(U95))*SIN(RADIANS(V95-T95)/2)^2)))</x:f>
        <x:v>49.40579295429555</x:v>
      </x:c>
      <x:c r="F95" s="48" t="s">
        <x:v>67</x:v>
      </x:c>
      <x:c r="G95" s="48" t="s">
        <x:v>66</x:v>
      </x:c>
      <x:c r="H95" s="48" t="s">
        <x:v>66</x:v>
      </x:c>
      <x:c r="I95" s="48" t="s">
        <x:v>66</x:v>
      </x:c>
      <x:c r="J95" s="48" t="s">
        <x:v>66</x:v>
      </x:c>
      <x:c r="K95" s="64"/>
      <x:c r="L95" s="64"/>
      <x:c r="M95" s="50"/>
      <x:c r="N95" s="49"/>
      <x:c r="O95" s="50"/>
      <x:c r="P95" s="50"/>
      <x:c r="Q95" s="32">
        <x:v>91</x:v>
      </x:c>
      <x:c r="R95" s="68"/>
      <x:c r="S95" s="54" t="n">
        <x:f>INDEX('Locations'!$D$6:$D$453,MATCH(B95,'Locations'!$A$6:$A$453,0))</x:f>
        <x:v>42.7293799196449</x:v>
      </x:c>
      <x:c r="T95" s="54" t="n">
        <x:f>INDEX('Locations'!$E$6:$E$453,MATCH(B95,'Locations'!$A$6:$A$453,0))</x:f>
        <x:v>-73.6779722548186</x:v>
      </x:c>
      <x:c r="U95" s="54" t="n">
        <x:f>INDEX('Locations'!$D$6:$D$453,MATCH(C95,'Locations'!$A$6:$A$453,0))</x:f>
        <x:v>42.7292948556737</x:v>
      </x:c>
      <x:c r="V95" s="69" t="n">
        <x:f>INDEX('Locations'!$E$6:$E$453,MATCH(C95,'Locations'!$A$6:$A$453,0))</x:f>
        <x:v>-73.6773785743164</x:v>
      </x:c>
      <x:c r="W95" s="44"/>
    </x:row>
    <x:row r="96" ht="23" customHeight="1">
      <x:c r="A96" s="21" t="s">
        <x:v>698</x:v>
      </x:c>
      <x:c r="B96" s="45" t="s">
        <x:v>269</x:v>
      </x:c>
      <x:c r="C96" s="45" t="s">
        <x:v>271</x:v>
      </x:c>
      <x:c r="D96" s="45" t="s">
        <x:v>661</x:v>
      </x:c>
      <x:c r="E96" s="63" t="n">
        <x:f>2*6371000*ASIN(SQRT(MIN(1,SIN(RADIANS(U96-S96)/2)^2+COS(RADIANS(S96))*COS(RADIANS(U96))*SIN(RADIANS(V96-T96)/2)^2)))</x:f>
        <x:v>47.323598272363974</x:v>
      </x:c>
      <x:c r="F96" s="48" t="s">
        <x:v>67</x:v>
      </x:c>
      <x:c r="G96" s="48" t="s">
        <x:v>66</x:v>
      </x:c>
      <x:c r="H96" s="48" t="s">
        <x:v>66</x:v>
      </x:c>
      <x:c r="I96" s="48" t="s">
        <x:v>66</x:v>
      </x:c>
      <x:c r="J96" s="48" t="s">
        <x:v>66</x:v>
      </x:c>
      <x:c r="K96" s="64"/>
      <x:c r="L96" s="64"/>
      <x:c r="M96" s="50"/>
      <x:c r="N96" s="49"/>
      <x:c r="O96" s="50"/>
      <x:c r="P96" s="50"/>
      <x:c r="Q96" s="30">
        <x:v>92</x:v>
      </x:c>
      <x:c r="R96" s="65"/>
      <x:c r="S96" s="46" t="n">
        <x:f>INDEX('Locations'!$D$6:$D$453,MATCH(B96,'Locations'!$A$6:$A$453,0))</x:f>
        <x:v>42.7293799196449</x:v>
      </x:c>
      <x:c r="T96" s="46" t="n">
        <x:f>INDEX('Locations'!$E$6:$E$453,MATCH(B96,'Locations'!$A$6:$A$453,0))</x:f>
        <x:v>-73.6779722548186</x:v>
      </x:c>
      <x:c r="U96" s="46" t="n">
        <x:f>INDEX('Locations'!$D$6:$D$453,MATCH(C96,'Locations'!$A$6:$A$453,0))</x:f>
        <x:v>42.7298052395013</x:v>
      </x:c>
      <x:c r="V96" s="66" t="n">
        <x:f>INDEX('Locations'!$E$6:$E$453,MATCH(C96,'Locations'!$A$6:$A$453,0))</x:f>
        <x:v>-73.6779515635411</x:v>
      </x:c>
      <x:c r="W96" s="44"/>
    </x:row>
    <x:row r="97" ht="23" customHeight="1">
      <x:c r="A97" s="24" t="s">
        <x:v>699</x:v>
      </x:c>
      <x:c r="B97" s="53" t="s">
        <x:v>265</x:v>
      </x:c>
      <x:c r="C97" s="53" t="s">
        <x:v>271</x:v>
      </x:c>
      <x:c r="D97" s="53" t="s">
        <x:v>606</x:v>
      </x:c>
      <x:c r="E97" s="67" t="n">
        <x:f>2*6371000*ASIN(SQRT(MIN(1,SIN(RADIANS(U97-S97)/2)^2+COS(RADIANS(S97))*COS(RADIANS(U97))*SIN(RADIANS(V97-T97)/2)^2)))</x:f>
        <x:v>54.21074145405969</x:v>
      </x:c>
      <x:c r="F97" s="48" t="s">
        <x:v>67</x:v>
      </x:c>
      <x:c r="G97" s="48" t="s">
        <x:v>66</x:v>
      </x:c>
      <x:c r="H97" s="48" t="s">
        <x:v>66</x:v>
      </x:c>
      <x:c r="I97" s="48" t="s">
        <x:v>66</x:v>
      </x:c>
      <x:c r="J97" s="48" t="s">
        <x:v>66</x:v>
      </x:c>
      <x:c r="K97" s="64"/>
      <x:c r="L97" s="64"/>
      <x:c r="M97" s="50"/>
      <x:c r="N97" s="49"/>
      <x:c r="O97" s="50"/>
      <x:c r="P97" s="50"/>
      <x:c r="Q97" s="32">
        <x:v>93</x:v>
      </x:c>
      <x:c r="R97" s="68"/>
      <x:c r="S97" s="54" t="n">
        <x:f>INDEX('Locations'!$D$6:$D$453,MATCH(B97,'Locations'!$A$6:$A$453,0))</x:f>
        <x:v>42.7302822874483</x:v>
      </x:c>
      <x:c r="T97" s="54" t="n">
        <x:f>INDEX('Locations'!$E$6:$E$453,MATCH(B97,'Locations'!$A$6:$A$453,0))</x:f>
        <x:v>-73.6780884443003</x:v>
      </x:c>
      <x:c r="U97" s="54" t="n">
        <x:f>INDEX('Locations'!$D$6:$D$453,MATCH(C97,'Locations'!$A$6:$A$453,0))</x:f>
        <x:v>42.7298052395013</x:v>
      </x:c>
      <x:c r="V97" s="69" t="n">
        <x:f>INDEX('Locations'!$E$6:$E$453,MATCH(C97,'Locations'!$A$6:$A$453,0))</x:f>
        <x:v>-73.6779515635411</x:v>
      </x:c>
      <x:c r="W97" s="44"/>
    </x:row>
    <x:row r="98" ht="23" customHeight="1">
      <x:c r="A98" s="21" t="s">
        <x:v>700</x:v>
      </x:c>
      <x:c r="B98" s="45" t="s">
        <x:v>268</x:v>
      </x:c>
      <x:c r="C98" s="45" t="s">
        <x:v>146</x:v>
      </x:c>
      <x:c r="D98" s="45" t="s">
        <x:v>606</x:v>
      </x:c>
      <x:c r="E98" s="63" t="n">
        <x:f>2*6371000*ASIN(SQRT(MIN(1,SIN(RADIANS(U98-S98)/2)^2+COS(RADIANS(S98))*COS(RADIANS(U98))*SIN(RADIANS(V98-T98)/2)^2)))</x:f>
        <x:v>20.69169997099892</x:v>
      </x:c>
      <x:c r="F98" s="48" t="s">
        <x:v>67</x:v>
      </x:c>
      <x:c r="G98" s="48" t="s">
        <x:v>66</x:v>
      </x:c>
      <x:c r="H98" s="48" t="s">
        <x:v>66</x:v>
      </x:c>
      <x:c r="I98" s="48" t="s">
        <x:v>66</x:v>
      </x:c>
      <x:c r="J98" s="48" t="s">
        <x:v>66</x:v>
      </x:c>
      <x:c r="K98" s="64"/>
      <x:c r="L98" s="64"/>
      <x:c r="M98" s="50"/>
      <x:c r="N98" s="49"/>
      <x:c r="O98" s="50"/>
      <x:c r="P98" s="50"/>
      <x:c r="Q98" s="30">
        <x:v>94</x:v>
      </x:c>
      <x:c r="R98" s="65"/>
      <x:c r="S98" s="46" t="n">
        <x:f>INDEX('Locations'!$D$6:$D$453,MATCH(B98,'Locations'!$A$6:$A$453,0))</x:f>
        <x:v>42.7295753368762</x:v>
      </x:c>
      <x:c r="T98" s="46" t="n">
        <x:f>INDEX('Locations'!$E$6:$E$453,MATCH(B98,'Locations'!$A$6:$A$453,0))</x:f>
        <x:v>-73.6785929931454</x:v>
      </x:c>
      <x:c r="U98" s="46" t="n">
        <x:f>INDEX('Locations'!$D$6:$D$453,MATCH(C98,'Locations'!$A$6:$A$453,0))</x:f>
        <x:v>42.7294025452251</x:v>
      </x:c>
      <x:c r="V98" s="66" t="n">
        <x:f>INDEX('Locations'!$E$6:$E$453,MATCH(C98,'Locations'!$A$6:$A$453,0))</x:f>
        <x:v>-73.6786870213376</x:v>
      </x:c>
      <x:c r="W98" s="44"/>
    </x:row>
    <x:row r="99" ht="23" customHeight="1">
      <x:c r="A99" s="24" t="s">
        <x:v>701</x:v>
      </x:c>
      <x:c r="B99" s="53" t="s">
        <x:v>112</x:v>
      </x:c>
      <x:c r="C99" s="53" t="s">
        <x:v>272</x:v>
      </x:c>
      <x:c r="D99" s="53" t="s">
        <x:v>606</x:v>
      </x:c>
      <x:c r="E99" s="67" t="n">
        <x:f>2*6371000*ASIN(SQRT(MIN(1,SIN(RADIANS(U99-S99)/2)^2+COS(RADIANS(S99))*COS(RADIANS(U99))*SIN(RADIANS(V99-T99)/2)^2)))</x:f>
        <x:v>15.456242416351264</x:v>
      </x:c>
      <x:c r="F99" s="48" t="s">
        <x:v>67</x:v>
      </x:c>
      <x:c r="G99" s="48" t="s">
        <x:v>66</x:v>
      </x:c>
      <x:c r="H99" s="48" t="s">
        <x:v>66</x:v>
      </x:c>
      <x:c r="I99" s="48" t="s">
        <x:v>66</x:v>
      </x:c>
      <x:c r="J99" s="48" t="s">
        <x:v>66</x:v>
      </x:c>
      <x:c r="K99" s="64"/>
      <x:c r="L99" s="64"/>
      <x:c r="M99" s="50"/>
      <x:c r="N99" s="49"/>
      <x:c r="O99" s="50"/>
      <x:c r="P99" s="50"/>
      <x:c r="Q99" s="32">
        <x:v>95</x:v>
      </x:c>
      <x:c r="R99" s="68"/>
      <x:c r="S99" s="54" t="n">
        <x:f>INDEX('Locations'!$D$6:$D$453,MATCH(B99,'Locations'!$A$6:$A$453,0))</x:f>
        <x:v>42.7294710085669</x:v>
      </x:c>
      <x:c r="T99" s="54" t="n">
        <x:f>INDEX('Locations'!$E$6:$E$453,MATCH(B99,'Locations'!$A$6:$A$453,0))</x:f>
        <x:v>-73.6792553928234</x:v>
      </x:c>
      <x:c r="U99" s="54" t="n">
        <x:f>INDEX('Locations'!$D$6:$D$453,MATCH(C99,'Locations'!$A$6:$A$453,0))</x:f>
        <x:v>42.72960982227</x:v>
      </x:c>
      <x:c r="V99" s="69" t="n">
        <x:f>INDEX('Locations'!$E$6:$E$453,MATCH(C99,'Locations'!$A$6:$A$453,0))</x:f>
        <x:v>-73.6792455642068</x:v>
      </x:c>
      <x:c r="W99" s="44"/>
    </x:row>
    <x:row r="100" ht="23" customHeight="1">
      <x:c r="A100" s="21" t="s">
        <x:v>702</x:v>
      </x:c>
      <x:c r="B100" s="45" t="s">
        <x:v>268</x:v>
      </x:c>
      <x:c r="C100" s="45" t="s">
        <x:v>272</x:v>
      </x:c>
      <x:c r="D100" s="45" t="s">
        <x:v>606</x:v>
      </x:c>
      <x:c r="E100" s="63" t="n">
        <x:f>2*6371000*ASIN(SQRT(MIN(1,SIN(RADIANS(U100-S100)/2)^2+COS(RADIANS(S100))*COS(RADIANS(U100))*SIN(RADIANS(V100-T100)/2)^2)))</x:f>
        <x:v>53.43963928977216</x:v>
      </x:c>
      <x:c r="F100" s="48" t="s">
        <x:v>67</x:v>
      </x:c>
      <x:c r="G100" s="48" t="s">
        <x:v>66</x:v>
      </x:c>
      <x:c r="H100" s="48" t="s">
        <x:v>66</x:v>
      </x:c>
      <x:c r="I100" s="48" t="s">
        <x:v>66</x:v>
      </x:c>
      <x:c r="J100" s="48" t="s">
        <x:v>66</x:v>
      </x:c>
      <x:c r="K100" s="64"/>
      <x:c r="L100" s="64"/>
      <x:c r="M100" s="50"/>
      <x:c r="N100" s="49"/>
      <x:c r="O100" s="50"/>
      <x:c r="P100" s="50"/>
      <x:c r="Q100" s="30">
        <x:v>96</x:v>
      </x:c>
      <x:c r="R100" s="65"/>
      <x:c r="S100" s="46" t="n">
        <x:f>INDEX('Locations'!$D$6:$D$453,MATCH(B100,'Locations'!$A$6:$A$453,0))</x:f>
        <x:v>42.7295753368762</x:v>
      </x:c>
      <x:c r="T100" s="46" t="n">
        <x:f>INDEX('Locations'!$E$6:$E$453,MATCH(B100,'Locations'!$A$6:$A$453,0))</x:f>
        <x:v>-73.6785929931454</x:v>
      </x:c>
      <x:c r="U100" s="46" t="n">
        <x:f>INDEX('Locations'!$D$6:$D$453,MATCH(C100,'Locations'!$A$6:$A$453,0))</x:f>
        <x:v>42.72960982227</x:v>
      </x:c>
      <x:c r="V100" s="66" t="n">
        <x:f>INDEX('Locations'!$E$6:$E$453,MATCH(C100,'Locations'!$A$6:$A$453,0))</x:f>
        <x:v>-73.6792455642068</x:v>
      </x:c>
      <x:c r="W100" s="44"/>
    </x:row>
    <x:row r="101" ht="23" customHeight="1">
      <x:c r="A101" s="24" t="s">
        <x:v>703</x:v>
      </x:c>
      <x:c r="B101" s="53" t="s">
        <x:v>274</x:v>
      </x:c>
      <x:c r="C101" s="53" t="s">
        <x:v>273</x:v>
      </x:c>
      <x:c r="D101" s="53" t="s">
        <x:v>606</x:v>
      </x:c>
      <x:c r="E101" s="67" t="n">
        <x:f>2*6371000*ASIN(SQRT(MIN(1,SIN(RADIANS(U101-S101)/2)^2+COS(RADIANS(S101))*COS(RADIANS(U101))*SIN(RADIANS(V101-T101)/2)^2)))</x:f>
        <x:v>44.27270873509168</x:v>
      </x:c>
      <x:c r="F101" s="48" t="s">
        <x:v>67</x:v>
      </x:c>
      <x:c r="G101" s="48" t="s">
        <x:v>66</x:v>
      </x:c>
      <x:c r="H101" s="48" t="s">
        <x:v>66</x:v>
      </x:c>
      <x:c r="I101" s="48" t="s">
        <x:v>66</x:v>
      </x:c>
      <x:c r="J101" s="48" t="s">
        <x:v>66</x:v>
      </x:c>
      <x:c r="K101" s="64"/>
      <x:c r="L101" s="64"/>
      <x:c r="M101" s="50"/>
      <x:c r="N101" s="49"/>
      <x:c r="O101" s="50"/>
      <x:c r="P101" s="50"/>
      <x:c r="Q101" s="32">
        <x:v>97</x:v>
      </x:c>
      <x:c r="R101" s="68"/>
      <x:c r="S101" s="54" t="n">
        <x:f>INDEX('Locations'!$D$6:$D$453,MATCH(B101,'Locations'!$A$6:$A$453,0))</x:f>
        <x:v>42.7306673743453</x:v>
      </x:c>
      <x:c r="T101" s="54" t="n">
        <x:f>INDEX('Locations'!$E$6:$E$453,MATCH(B101,'Locations'!$A$6:$A$453,0))</x:f>
        <x:v>-73.6793808533293</x:v>
      </x:c>
      <x:c r="U101" s="54" t="n">
        <x:f>INDEX('Locations'!$D$6:$D$453,MATCH(C101,'Locations'!$A$6:$A$453,0))</x:f>
        <x:v>42.7310582088079</x:v>
      </x:c>
      <x:c r="V101" s="69" t="n">
        <x:f>INDEX('Locations'!$E$6:$E$453,MATCH(C101,'Locations'!$A$6:$A$453,0))</x:f>
        <x:v>-73.6792773969415</x:v>
      </x:c>
      <x:c r="W101" s="44"/>
    </x:row>
    <x:row r="102" ht="23" customHeight="1">
      <x:c r="A102" s="21" t="s">
        <x:v>704</x:v>
      </x:c>
      <x:c r="B102" s="45" t="s">
        <x:v>274</x:v>
      </x:c>
      <x:c r="C102" s="45" t="s">
        <x:v>275</x:v>
      </x:c>
      <x:c r="D102" s="45" t="s">
        <x:v>606</x:v>
      </x:c>
      <x:c r="E102" s="63" t="n">
        <x:f>2*6371000*ASIN(SQRT(MIN(1,SIN(RADIANS(U102-S102)/2)^2+COS(RADIANS(S102))*COS(RADIANS(U102))*SIN(RADIANS(V102-T102)/2)^2)))</x:f>
        <x:v>54.48437677800845</x:v>
      </x:c>
      <x:c r="F102" s="48" t="s">
        <x:v>67</x:v>
      </x:c>
      <x:c r="G102" s="48" t="s">
        <x:v>66</x:v>
      </x:c>
      <x:c r="H102" s="48" t="s">
        <x:v>66</x:v>
      </x:c>
      <x:c r="I102" s="48" t="s">
        <x:v>66</x:v>
      </x:c>
      <x:c r="J102" s="48" t="s">
        <x:v>66</x:v>
      </x:c>
      <x:c r="K102" s="64"/>
      <x:c r="L102" s="64"/>
      <x:c r="M102" s="50"/>
      <x:c r="N102" s="49"/>
      <x:c r="O102" s="50"/>
      <x:c r="P102" s="50"/>
      <x:c r="Q102" s="30">
        <x:v>98</x:v>
      </x:c>
      <x:c r="R102" s="65"/>
      <x:c r="S102" s="46" t="n">
        <x:f>INDEX('Locations'!$D$6:$D$453,MATCH(B102,'Locations'!$A$6:$A$453,0))</x:f>
        <x:v>42.7306673743453</x:v>
      </x:c>
      <x:c r="T102" s="46" t="n">
        <x:f>INDEX('Locations'!$E$6:$E$453,MATCH(B102,'Locations'!$A$6:$A$453,0))</x:f>
        <x:v>-73.6793808533293</x:v>
      </x:c>
      <x:c r="U102" s="46" t="n">
        <x:f>INDEX('Locations'!$D$6:$D$453,MATCH(C102,'Locations'!$A$6:$A$453,0))</x:f>
        <x:v>42.7302569981595</x:v>
      </x:c>
      <x:c r="V102" s="66" t="n">
        <x:f>INDEX('Locations'!$E$6:$E$453,MATCH(C102,'Locations'!$A$6:$A$453,0))</x:f>
        <x:v>-73.679016368517</x:v>
      </x:c>
      <x:c r="W102" s="44"/>
    </x:row>
    <x:row r="103" ht="23" customHeight="1">
      <x:c r="A103" s="24" t="s">
        <x:v>705</x:v>
      </x:c>
      <x:c r="B103" s="53" t="s">
        <x:v>276</x:v>
      </x:c>
      <x:c r="C103" s="53" t="s">
        <x:v>275</x:v>
      </x:c>
      <x:c r="D103" s="53" t="s">
        <x:v>606</x:v>
      </x:c>
      <x:c r="E103" s="67" t="n">
        <x:f>2*6371000*ASIN(SQRT(MIN(1,SIN(RADIANS(U103-S103)/2)^2+COS(RADIANS(S103))*COS(RADIANS(U103))*SIN(RADIANS(V103-T103)/2)^2)))</x:f>
        <x:v>48.36179397792136</x:v>
      </x:c>
      <x:c r="F103" s="48" t="s">
        <x:v>67</x:v>
      </x:c>
      <x:c r="G103" s="48" t="s">
        <x:v>66</x:v>
      </x:c>
      <x:c r="H103" s="48" t="s">
        <x:v>66</x:v>
      </x:c>
      <x:c r="I103" s="48" t="s">
        <x:v>66</x:v>
      </x:c>
      <x:c r="J103" s="48" t="s">
        <x:v>66</x:v>
      </x:c>
      <x:c r="K103" s="64"/>
      <x:c r="L103" s="64"/>
      <x:c r="M103" s="50"/>
      <x:c r="N103" s="49"/>
      <x:c r="O103" s="50"/>
      <x:c r="P103" s="50"/>
      <x:c r="Q103" s="32">
        <x:v>99</x:v>
      </x:c>
      <x:c r="R103" s="68"/>
      <x:c r="S103" s="54" t="n">
        <x:f>INDEX('Locations'!$D$6:$D$453,MATCH(B103,'Locations'!$A$6:$A$453,0))</x:f>
        <x:v>42.7298972005513</x:v>
      </x:c>
      <x:c r="T103" s="54" t="n">
        <x:f>INDEX('Locations'!$E$6:$E$453,MATCH(B103,'Locations'!$A$6:$A$453,0))</x:f>
        <x:v>-73.6793490205946</x:v>
      </x:c>
      <x:c r="U103" s="54" t="n">
        <x:f>INDEX('Locations'!$D$6:$D$453,MATCH(C103,'Locations'!$A$6:$A$453,0))</x:f>
        <x:v>42.7302569981595</x:v>
      </x:c>
      <x:c r="V103" s="69" t="n">
        <x:f>INDEX('Locations'!$E$6:$E$453,MATCH(C103,'Locations'!$A$6:$A$453,0))</x:f>
        <x:v>-73.679016368517</x:v>
      </x:c>
      <x:c r="W103" s="44"/>
    </x:row>
    <x:row r="104" ht="23" customHeight="1">
      <x:c r="A104" s="21" t="s">
        <x:v>706</x:v>
      </x:c>
      <x:c r="B104" s="45" t="s">
        <x:v>278</x:v>
      </x:c>
      <x:c r="C104" s="45" t="s">
        <x:v>277</x:v>
      </x:c>
      <x:c r="D104" s="45" t="s">
        <x:v>606</x:v>
      </x:c>
      <x:c r="E104" s="63" t="n">
        <x:f>2*6371000*ASIN(SQRT(MIN(1,SIN(RADIANS(U104-S104)/2)^2+COS(RADIANS(S104))*COS(RADIANS(U104))*SIN(RADIANS(V104-T104)/2)^2)))</x:f>
        <x:v>46.920865742323436</x:v>
      </x:c>
      <x:c r="F104" s="48" t="s">
        <x:v>67</x:v>
      </x:c>
      <x:c r="G104" s="48" t="s">
        <x:v>66</x:v>
      </x:c>
      <x:c r="H104" s="48" t="s">
        <x:v>66</x:v>
      </x:c>
      <x:c r="I104" s="48" t="s">
        <x:v>66</x:v>
      </x:c>
      <x:c r="J104" s="48" t="s">
        <x:v>66</x:v>
      </x:c>
      <x:c r="K104" s="64"/>
      <x:c r="L104" s="64"/>
      <x:c r="M104" s="50"/>
      <x:c r="N104" s="49"/>
      <x:c r="O104" s="50"/>
      <x:c r="P104" s="50"/>
      <x:c r="Q104" s="30">
        <x:v>100</x:v>
      </x:c>
      <x:c r="R104" s="65"/>
      <x:c r="S104" s="46" t="n">
        <x:f>INDEX('Locations'!$D$6:$D$453,MATCH(B104,'Locations'!$A$6:$A$453,0))</x:f>
        <x:v>42.7303650523933</x:v>
      </x:c>
      <x:c r="T104" s="46" t="n">
        <x:f>INDEX('Locations'!$E$6:$E$453,MATCH(B104,'Locations'!$A$6:$A$453,0))</x:f>
        <x:v>-73.6808690336768</x:v>
      </x:c>
      <x:c r="U104" s="46" t="n">
        <x:f>INDEX('Locations'!$D$6:$D$453,MATCH(C104,'Locations'!$A$6:$A$453,0))</x:f>
        <x:v>42.7299891616013</x:v>
      </x:c>
      <x:c r="V104" s="66" t="n">
        <x:f>INDEX('Locations'!$E$6:$E$453,MATCH(C104,'Locations'!$A$6:$A$453,0))</x:f>
        <x:v>-73.6806080052522</x:v>
      </x:c>
      <x:c r="W104" s="44"/>
    </x:row>
    <x:row r="105" ht="23" customHeight="1">
      <x:c r="A105" s="24" t="s">
        <x:v>707</x:v>
      </x:c>
      <x:c r="B105" s="53" t="s">
        <x:v>274</x:v>
      </x:c>
      <x:c r="C105" s="53" t="s">
        <x:v>281</x:v>
      </x:c>
      <x:c r="D105" s="53" t="s">
        <x:v>606</x:v>
      </x:c>
      <x:c r="E105" s="67" t="n">
        <x:f>2*6371000*ASIN(SQRT(MIN(1,SIN(RADIANS(U105-S105)/2)^2+COS(RADIANS(S105))*COS(RADIANS(U105))*SIN(RADIANS(V105-T105)/2)^2)))</x:f>
        <x:v>36.34354672992936</x:v>
      </x:c>
      <x:c r="F105" s="48" t="s">
        <x:v>67</x:v>
      </x:c>
      <x:c r="G105" s="48" t="s">
        <x:v>66</x:v>
      </x:c>
      <x:c r="H105" s="48" t="s">
        <x:v>66</x:v>
      </x:c>
      <x:c r="I105" s="48" t="s">
        <x:v>66</x:v>
      </x:c>
      <x:c r="J105" s="48" t="s">
        <x:v>66</x:v>
      </x:c>
      <x:c r="K105" s="64"/>
      <x:c r="L105" s="64"/>
      <x:c r="M105" s="50"/>
      <x:c r="N105" s="49"/>
      <x:c r="O105" s="50"/>
      <x:c r="P105" s="50"/>
      <x:c r="Q105" s="32">
        <x:v>101</x:v>
      </x:c>
      <x:c r="R105" s="68"/>
      <x:c r="S105" s="54" t="n">
        <x:f>INDEX('Locations'!$D$6:$D$453,MATCH(B105,'Locations'!$A$6:$A$453,0))</x:f>
        <x:v>42.7306673743453</x:v>
      </x:c>
      <x:c r="T105" s="54" t="n">
        <x:f>INDEX('Locations'!$E$6:$E$453,MATCH(B105,'Locations'!$A$6:$A$453,0))</x:f>
        <x:v>-73.6793808533293</x:v>
      </x:c>
      <x:c r="U105" s="54" t="n">
        <x:f>INDEX('Locations'!$D$6:$D$453,MATCH(C105,'Locations'!$A$6:$A$453,0))</x:f>
        <x:v>42.7306880655815</x:v>
      </x:c>
      <x:c r="V105" s="69" t="n">
        <x:f>INDEX('Locations'!$E$6:$E$453,MATCH(C105,'Locations'!$A$6:$A$453,0))</x:f>
        <x:v>-73.6798249199785</x:v>
      </x:c>
      <x:c r="W105" s="44"/>
    </x:row>
    <x:row r="106" ht="23" customHeight="1">
      <x:c r="A106" s="21" t="s">
        <x:v>708</x:v>
      </x:c>
      <x:c r="B106" s="45" t="s">
        <x:v>63</x:v>
      </x:c>
      <x:c r="C106" s="45" t="s">
        <x:v>281</x:v>
      </x:c>
      <x:c r="D106" s="45" t="s">
        <x:v>606</x:v>
      </x:c>
      <x:c r="E106" s="63" t="n">
        <x:f>2*6371000*ASIN(SQRT(MIN(1,SIN(RADIANS(U106-S106)/2)^2+COS(RADIANS(S106))*COS(RADIANS(U106))*SIN(RADIANS(V106-T106)/2)^2)))</x:f>
        <x:v>38.65380776743775</x:v>
      </x:c>
      <x:c r="F106" s="48" t="s">
        <x:v>67</x:v>
      </x:c>
      <x:c r="G106" s="48" t="s">
        <x:v>66</x:v>
      </x:c>
      <x:c r="H106" s="48" t="s">
        <x:v>66</x:v>
      </x:c>
      <x:c r="I106" s="48" t="s">
        <x:v>66</x:v>
      </x:c>
      <x:c r="J106" s="48" t="s">
        <x:v>66</x:v>
      </x:c>
      <x:c r="K106" s="64"/>
      <x:c r="L106" s="64"/>
      <x:c r="M106" s="50"/>
      <x:c r="N106" s="49"/>
      <x:c r="O106" s="50"/>
      <x:c r="P106" s="50"/>
      <x:c r="Q106" s="30">
        <x:v>102</x:v>
      </x:c>
      <x:c r="R106" s="65"/>
      <x:c r="S106" s="46" t="n">
        <x:f>INDEX('Locations'!$D$6:$D$453,MATCH(B106,'Locations'!$A$6:$A$453,0))</x:f>
        <x:v>42.7303527304942</x:v>
      </x:c>
      <x:c r="T106" s="46" t="n">
        <x:f>INDEX('Locations'!$E$6:$E$453,MATCH(B106,'Locations'!$A$6:$A$453,0))</x:f>
        <x:v>-73.6799496283524</x:v>
      </x:c>
      <x:c r="U106" s="46" t="n">
        <x:f>INDEX('Locations'!$D$6:$D$453,MATCH(C106,'Locations'!$A$6:$A$453,0))</x:f>
        <x:v>42.7306880655815</x:v>
      </x:c>
      <x:c r="V106" s="66" t="n">
        <x:f>INDEX('Locations'!$E$6:$E$453,MATCH(C106,'Locations'!$A$6:$A$453,0))</x:f>
        <x:v>-73.6798249199785</x:v>
      </x:c>
      <x:c r="W106" s="44"/>
    </x:row>
    <x:row r="107" ht="23" customHeight="1">
      <x:c r="A107" s="24" t="s">
        <x:v>709</x:v>
      </x:c>
      <x:c r="B107" s="53" t="s">
        <x:v>174</x:v>
      </x:c>
      <x:c r="C107" s="53" t="s">
        <x:v>281</x:v>
      </x:c>
      <x:c r="D107" s="53" t="s">
        <x:v>606</x:v>
      </x:c>
      <x:c r="E107" s="67" t="n">
        <x:f>2*6371000*ASIN(SQRT(MIN(1,SIN(RADIANS(U107-S107)/2)^2+COS(RADIANS(S107))*COS(RADIANS(U107))*SIN(RADIANS(V107-T107)/2)^2)))</x:f>
        <x:v>24.514056055475326</x:v>
      </x:c>
      <x:c r="F107" s="48" t="s">
        <x:v>67</x:v>
      </x:c>
      <x:c r="G107" s="48" t="s">
        <x:v>66</x:v>
      </x:c>
      <x:c r="H107" s="48" t="s">
        <x:v>66</x:v>
      </x:c>
      <x:c r="I107" s="48" t="s">
        <x:v>66</x:v>
      </x:c>
      <x:c r="J107" s="48" t="s">
        <x:v>66</x:v>
      </x:c>
      <x:c r="K107" s="64"/>
      <x:c r="L107" s="64"/>
      <x:c r="M107" s="50"/>
      <x:c r="N107" s="49"/>
      <x:c r="O107" s="50"/>
      <x:c r="P107" s="50"/>
      <x:c r="Q107" s="32">
        <x:v>103</x:v>
      </x:c>
      <x:c r="R107" s="68"/>
      <x:c r="S107" s="54" t="n">
        <x:f>INDEX('Locations'!$D$6:$D$453,MATCH(B107,'Locations'!$A$6:$A$453,0))</x:f>
        <x:v>42.7309017267168</x:v>
      </x:c>
      <x:c r="T107" s="54" t="n">
        <x:f>INDEX('Locations'!$E$6:$E$453,MATCH(B107,'Locations'!$A$6:$A$453,0))</x:f>
        <x:v>-73.6797509579396</x:v>
      </x:c>
      <x:c r="U107" s="54" t="n">
        <x:f>INDEX('Locations'!$D$6:$D$453,MATCH(C107,'Locations'!$A$6:$A$453,0))</x:f>
        <x:v>42.7306880655815</x:v>
      </x:c>
      <x:c r="V107" s="69" t="n">
        <x:f>INDEX('Locations'!$E$6:$E$453,MATCH(C107,'Locations'!$A$6:$A$453,0))</x:f>
        <x:v>-73.6798249199785</x:v>
      </x:c>
      <x:c r="W107" s="44"/>
    </x:row>
    <x:row r="108" ht="23" customHeight="1">
      <x:c r="A108" s="21" t="s">
        <x:v>710</x:v>
      </x:c>
      <x:c r="B108" s="45" t="s">
        <x:v>279</x:v>
      </x:c>
      <x:c r="C108" s="45" t="s">
        <x:v>281</x:v>
      </x:c>
      <x:c r="D108" s="45" t="s">
        <x:v>606</x:v>
      </x:c>
      <x:c r="E108" s="63" t="n">
        <x:f>2*6371000*ASIN(SQRT(MIN(1,SIN(RADIANS(U108-S108)/2)^2+COS(RADIANS(S108))*COS(RADIANS(U108))*SIN(RADIANS(V108-T108)/2)^2)))</x:f>
        <x:v>41.69964274937447</x:v>
      </x:c>
      <x:c r="F108" s="48" t="s">
        <x:v>67</x:v>
      </x:c>
      <x:c r="G108" s="48" t="s">
        <x:v>66</x:v>
      </x:c>
      <x:c r="H108" s="48" t="s">
        <x:v>66</x:v>
      </x:c>
      <x:c r="I108" s="48" t="s">
        <x:v>66</x:v>
      </x:c>
      <x:c r="J108" s="48" t="s">
        <x:v>66</x:v>
      </x:c>
      <x:c r="K108" s="64"/>
      <x:c r="L108" s="64"/>
      <x:c r="M108" s="50"/>
      <x:c r="N108" s="49"/>
      <x:c r="O108" s="50"/>
      <x:c r="P108" s="50"/>
      <x:c r="Q108" s="30">
        <x:v>104</x:v>
      </x:c>
      <x:c r="R108" s="65"/>
      <x:c r="S108" s="46" t="n">
        <x:f>INDEX('Locations'!$D$6:$D$453,MATCH(B108,'Locations'!$A$6:$A$453,0))</x:f>
        <x:v>42.7307524383165</x:v>
      </x:c>
      <x:c r="T108" s="46" t="n">
        <x:f>INDEX('Locations'!$E$6:$E$453,MATCH(B108,'Locations'!$A$6:$A$453,0))</x:f>
        <x:v>-73.6803278771868</x:v>
      </x:c>
      <x:c r="U108" s="46" t="n">
        <x:f>INDEX('Locations'!$D$6:$D$453,MATCH(C108,'Locations'!$A$6:$A$453,0))</x:f>
        <x:v>42.7306880655815</x:v>
      </x:c>
      <x:c r="V108" s="66" t="n">
        <x:f>INDEX('Locations'!$E$6:$E$453,MATCH(C108,'Locations'!$A$6:$A$453,0))</x:f>
        <x:v>-73.6798249199785</x:v>
      </x:c>
      <x:c r="W108" s="44"/>
    </x:row>
    <x:row r="109" ht="23" customHeight="1">
      <x:c r="A109" s="24" t="s">
        <x:v>711</x:v>
      </x:c>
      <x:c r="B109" s="53" t="s">
        <x:v>276</x:v>
      </x:c>
      <x:c r="C109" s="53" t="s">
        <x:v>283</x:v>
      </x:c>
      <x:c r="D109" s="53" t="s">
        <x:v>606</x:v>
      </x:c>
      <x:c r="E109" s="67" t="n">
        <x:f>2*6371000*ASIN(SQRT(MIN(1,SIN(RADIANS(U109-S109)/2)^2+COS(RADIANS(S109))*COS(RADIANS(U109))*SIN(RADIANS(V109-T109)/2)^2)))</x:f>
        <x:v>28.424037722986398</x:v>
      </x:c>
      <x:c r="F109" s="48" t="s">
        <x:v>67</x:v>
      </x:c>
      <x:c r="G109" s="48" t="s">
        <x:v>66</x:v>
      </x:c>
      <x:c r="H109" s="48" t="s">
        <x:v>66</x:v>
      </x:c>
      <x:c r="I109" s="48" t="s">
        <x:v>66</x:v>
      </x:c>
      <x:c r="J109" s="48" t="s">
        <x:v>66</x:v>
      </x:c>
      <x:c r="K109" s="64"/>
      <x:c r="L109" s="64"/>
      <x:c r="M109" s="50"/>
      <x:c r="N109" s="49"/>
      <x:c r="O109" s="50"/>
      <x:c r="P109" s="50"/>
      <x:c r="Q109" s="32">
        <x:v>105</x:v>
      </x:c>
      <x:c r="R109" s="68"/>
      <x:c r="S109" s="54" t="n">
        <x:f>INDEX('Locations'!$D$6:$D$453,MATCH(B109,'Locations'!$A$6:$A$453,0))</x:f>
        <x:v>42.7298972005513</x:v>
      </x:c>
      <x:c r="T109" s="54" t="n">
        <x:f>INDEX('Locations'!$E$6:$E$453,MATCH(B109,'Locations'!$A$6:$A$453,0))</x:f>
        <x:v>-73.6793490205946</x:v>
      </x:c>
      <x:c r="U109" s="54" t="n">
        <x:f>INDEX('Locations'!$D$6:$D$453,MATCH(C109,'Locations'!$A$6:$A$453,0))</x:f>
        <x:v>42.7299167422744</x:v>
      </x:c>
      <x:c r="V109" s="69" t="n">
        <x:f>INDEX('Locations'!$E$6:$E$453,MATCH(C109,'Locations'!$A$6:$A$453,0))</x:f>
        <x:v>-73.6796959974029</x:v>
      </x:c>
      <x:c r="W109" s="44"/>
    </x:row>
    <x:row r="110" ht="23" customHeight="1">
      <x:c r="A110" s="21" t="s">
        <x:v>712</x:v>
      </x:c>
      <x:c r="B110" s="45" t="s">
        <x:v>277</x:v>
      </x:c>
      <x:c r="C110" s="45" t="s">
        <x:v>283</x:v>
      </x:c>
      <x:c r="D110" s="45" t="s">
        <x:v>606</x:v>
      </x:c>
      <x:c r="E110" s="63" t="n">
        <x:f>2*6371000*ASIN(SQRT(MIN(1,SIN(RADIANS(U110-S110)/2)^2+COS(RADIANS(S110))*COS(RADIANS(U110))*SIN(RADIANS(V110-T110)/2)^2)))</x:f>
        <x:v>74.92618596244165</x:v>
      </x:c>
      <x:c r="F110" s="48" t="s">
        <x:v>67</x:v>
      </x:c>
      <x:c r="G110" s="48" t="s">
        <x:v>66</x:v>
      </x:c>
      <x:c r="H110" s="48" t="s">
        <x:v>66</x:v>
      </x:c>
      <x:c r="I110" s="48" t="s">
        <x:v>66</x:v>
      </x:c>
      <x:c r="J110" s="48" t="s">
        <x:v>66</x:v>
      </x:c>
      <x:c r="K110" s="64"/>
      <x:c r="L110" s="64"/>
      <x:c r="M110" s="50"/>
      <x:c r="N110" s="49"/>
      <x:c r="O110" s="50"/>
      <x:c r="P110" s="50"/>
      <x:c r="Q110" s="30">
        <x:v>106</x:v>
      </x:c>
      <x:c r="R110" s="65"/>
      <x:c r="S110" s="46" t="n">
        <x:f>INDEX('Locations'!$D$6:$D$453,MATCH(B110,'Locations'!$A$6:$A$453,0))</x:f>
        <x:v>42.7299891616013</x:v>
      </x:c>
      <x:c r="T110" s="46" t="n">
        <x:f>INDEX('Locations'!$E$6:$E$453,MATCH(B110,'Locations'!$A$6:$A$453,0))</x:f>
        <x:v>-73.6806080052522</x:v>
      </x:c>
      <x:c r="U110" s="46" t="n">
        <x:f>INDEX('Locations'!$D$6:$D$453,MATCH(C110,'Locations'!$A$6:$A$453,0))</x:f>
        <x:v>42.7299167422744</x:v>
      </x:c>
      <x:c r="V110" s="66" t="n">
        <x:f>INDEX('Locations'!$E$6:$E$453,MATCH(C110,'Locations'!$A$6:$A$453,0))</x:f>
        <x:v>-73.6796959974029</x:v>
      </x:c>
      <x:c r="W110" s="44"/>
    </x:row>
    <x:row r="111" ht="23" customHeight="1">
      <x:c r="A111" s="24" t="s">
        <x:v>713</x:v>
      </x:c>
      <x:c r="B111" s="53" t="s">
        <x:v>272</x:v>
      </x:c>
      <x:c r="C111" s="53" t="s">
        <x:v>282</x:v>
      </x:c>
      <x:c r="D111" s="53" t="s">
        <x:v>606</x:v>
      </x:c>
      <x:c r="E111" s="67" t="n">
        <x:f>2*6371000*ASIN(SQRT(MIN(1,SIN(RADIANS(U111-S111)/2)^2+COS(RADIANS(S111))*COS(RADIANS(U111))*SIN(RADIANS(V111-T111)/2)^2)))</x:f>
        <x:v>34.01799049489144</x:v>
      </x:c>
      <x:c r="F111" s="48" t="s">
        <x:v>67</x:v>
      </x:c>
      <x:c r="G111" s="48" t="s">
        <x:v>66</x:v>
      </x:c>
      <x:c r="H111" s="48" t="s">
        <x:v>66</x:v>
      </x:c>
      <x:c r="I111" s="48" t="s">
        <x:v>66</x:v>
      </x:c>
      <x:c r="J111" s="48" t="s">
        <x:v>66</x:v>
      </x:c>
      <x:c r="K111" s="64"/>
      <x:c r="L111" s="64"/>
      <x:c r="M111" s="50"/>
      <x:c r="N111" s="49"/>
      <x:c r="O111" s="50"/>
      <x:c r="P111" s="50"/>
      <x:c r="Q111" s="32">
        <x:v>107</x:v>
      </x:c>
      <x:c r="R111" s="68"/>
      <x:c r="S111" s="54" t="n">
        <x:f>INDEX('Locations'!$D$6:$D$453,MATCH(B111,'Locations'!$A$6:$A$453,0))</x:f>
        <x:v>42.72960982227</x:v>
      </x:c>
      <x:c r="T111" s="54" t="n">
        <x:f>INDEX('Locations'!$E$6:$E$453,MATCH(B111,'Locations'!$A$6:$A$453,0))</x:f>
        <x:v>-73.6792455642068</x:v>
      </x:c>
      <x:c r="U111" s="54" t="n">
        <x:f>INDEX('Locations'!$D$6:$D$453,MATCH(C111,'Locations'!$A$6:$A$453,0))</x:f>
        <x:v>42.7296443076638</x:v>
      </x:c>
      <x:c r="V111" s="69" t="n">
        <x:f>INDEX('Locations'!$E$6:$E$453,MATCH(C111,'Locations'!$A$6:$A$453,0))</x:f>
        <x:v>-73.679659389758</x:v>
      </x:c>
      <x:c r="W111" s="44"/>
    </x:row>
    <x:row r="112" ht="23" customHeight="1">
      <x:c r="A112" s="21" t="s">
        <x:v>714</x:v>
      </x:c>
      <x:c r="B112" s="45" t="s">
        <x:v>284</x:v>
      </x:c>
      <x:c r="C112" s="45" t="s">
        <x:v>282</x:v>
      </x:c>
      <x:c r="D112" s="45" t="s">
        <x:v>606</x:v>
      </x:c>
      <x:c r="E112" s="63" t="n">
        <x:f>2*6371000*ASIN(SQRT(MIN(1,SIN(RADIANS(U112-S112)/2)^2+COS(RADIANS(S112))*COS(RADIANS(U112))*SIN(RADIANS(V112-T112)/2)^2)))</x:f>
        <x:v>40.93657704407624</x:v>
      </x:c>
      <x:c r="F112" s="48" t="s">
        <x:v>67</x:v>
      </x:c>
      <x:c r="G112" s="48" t="s">
        <x:v>66</x:v>
      </x:c>
      <x:c r="H112" s="48" t="s">
        <x:v>66</x:v>
      </x:c>
      <x:c r="I112" s="48" t="s">
        <x:v>66</x:v>
      </x:c>
      <x:c r="J112" s="48" t="s">
        <x:v>66</x:v>
      </x:c>
      <x:c r="K112" s="64"/>
      <x:c r="L112" s="64"/>
      <x:c r="M112" s="50"/>
      <x:c r="N112" s="49"/>
      <x:c r="O112" s="50"/>
      <x:c r="P112" s="50"/>
      <x:c r="Q112" s="30">
        <x:v>108</x:v>
      </x:c>
      <x:c r="R112" s="65"/>
      <x:c r="S112" s="46" t="n">
        <x:f>INDEX('Locations'!$D$6:$D$453,MATCH(B112,'Locations'!$A$6:$A$453,0))</x:f>
        <x:v>42.7296845406231</x:v>
      </x:c>
      <x:c r="T112" s="46" t="n">
        <x:f>INDEX('Locations'!$E$6:$E$453,MATCH(B112,'Locations'!$A$6:$A$453,0))</x:f>
        <x:v>-73.6801575720561</x:v>
      </x:c>
      <x:c r="U112" s="46" t="n">
        <x:f>INDEX('Locations'!$D$6:$D$453,MATCH(C112,'Locations'!$A$6:$A$453,0))</x:f>
        <x:v>42.7296443076638</x:v>
      </x:c>
      <x:c r="V112" s="66" t="n">
        <x:f>INDEX('Locations'!$E$6:$E$453,MATCH(C112,'Locations'!$A$6:$A$453,0))</x:f>
        <x:v>-73.679659389758</x:v>
      </x:c>
      <x:c r="W112" s="44"/>
    </x:row>
    <x:row r="113" ht="23" customHeight="1">
      <x:c r="A113" s="24" t="s">
        <x:v>715</x:v>
      </x:c>
      <x:c r="B113" s="53" t="s">
        <x:v>284</x:v>
      </x:c>
      <x:c r="C113" s="53" t="s">
        <x:v>140</x:v>
      </x:c>
      <x:c r="D113" s="53" t="s">
        <x:v>606</x:v>
      </x:c>
      <x:c r="E113" s="67" t="n">
        <x:f>2*6371000*ASIN(SQRT(MIN(1,SIN(RADIANS(U113-S113)/2)^2+COS(RADIANS(S113))*COS(RADIANS(U113))*SIN(RADIANS(V113-T113)/2)^2)))</x:f>
        <x:v>9.45967572341941</x:v>
      </x:c>
      <x:c r="F113" s="48" t="s">
        <x:v>67</x:v>
      </x:c>
      <x:c r="G113" s="48" t="s">
        <x:v>66</x:v>
      </x:c>
      <x:c r="H113" s="48" t="s">
        <x:v>66</x:v>
      </x:c>
      <x:c r="I113" s="48" t="s">
        <x:v>66</x:v>
      </x:c>
      <x:c r="J113" s="48" t="s">
        <x:v>66</x:v>
      </x:c>
      <x:c r="K113" s="64"/>
      <x:c r="L113" s="64"/>
      <x:c r="M113" s="50"/>
      <x:c r="N113" s="49"/>
      <x:c r="O113" s="50"/>
      <x:c r="P113" s="50"/>
      <x:c r="Q113" s="32">
        <x:v>109</x:v>
      </x:c>
      <x:c r="R113" s="68"/>
      <x:c r="S113" s="54" t="n">
        <x:f>INDEX('Locations'!$D$6:$D$453,MATCH(B113,'Locations'!$A$6:$A$453,0))</x:f>
        <x:v>42.7296845406231</x:v>
      </x:c>
      <x:c r="T113" s="54" t="n">
        <x:f>INDEX('Locations'!$E$6:$E$453,MATCH(B113,'Locations'!$A$6:$A$453,0))</x:f>
        <x:v>-73.6801575720561</x:v>
      </x:c>
      <x:c r="U113" s="54" t="n">
        <x:f>INDEX('Locations'!$D$6:$D$453,MATCH(C113,'Locations'!$A$6:$A$453,0))</x:f>
        <x:v>42.7296023792144</x:v>
      </x:c>
      <x:c r="V113" s="69" t="n">
        <x:f>INDEX('Locations'!$E$6:$E$453,MATCH(C113,'Locations'!$A$6:$A$453,0))</x:f>
        <x:v>-73.6801876114796</x:v>
      </x:c>
      <x:c r="W113" s="44"/>
    </x:row>
    <x:row r="114" ht="23" customHeight="1">
      <x:c r="A114" s="21" t="s">
        <x:v>716</x:v>
      </x:c>
      <x:c r="B114" s="45" t="s">
        <x:v>285</x:v>
      </x:c>
      <x:c r="C114" s="45" t="s">
        <x:v>284</x:v>
      </x:c>
      <x:c r="D114" s="45" t="s">
        <x:v>606</x:v>
      </x:c>
      <x:c r="E114" s="63" t="n">
        <x:f>2*6371000*ASIN(SQRT(MIN(1,SIN(RADIANS(U114-S114)/2)^2+COS(RADIANS(S114))*COS(RADIANS(U114))*SIN(RADIANS(V114-T114)/2)^2)))</x:f>
        <x:v>66.56904983409902</x:v>
      </x:c>
      <x:c r="F114" s="48" t="s">
        <x:v>67</x:v>
      </x:c>
      <x:c r="G114" s="48" t="s">
        <x:v>66</x:v>
      </x:c>
      <x:c r="H114" s="48" t="s">
        <x:v>66</x:v>
      </x:c>
      <x:c r="I114" s="48" t="s">
        <x:v>66</x:v>
      </x:c>
      <x:c r="J114" s="48" t="s">
        <x:v>66</x:v>
      </x:c>
      <x:c r="K114" s="64"/>
      <x:c r="L114" s="64"/>
      <x:c r="M114" s="50"/>
      <x:c r="N114" s="49"/>
      <x:c r="O114" s="50"/>
      <x:c r="P114" s="50"/>
      <x:c r="Q114" s="30">
        <x:v>110</x:v>
      </x:c>
      <x:c r="R114" s="65"/>
      <x:c r="S114" s="46" t="n">
        <x:f>INDEX('Locations'!$D$6:$D$453,MATCH(B114,'Locations'!$A$6:$A$453,0))</x:f>
        <x:v>42.7297902958307</x:v>
      </x:c>
      <x:c r="T114" s="46" t="n">
        <x:f>INDEX('Locations'!$E$6:$E$453,MATCH(B114,'Locations'!$A$6:$A$453,0))</x:f>
        <x:v>-73.6809597569707</x:v>
      </x:c>
      <x:c r="U114" s="46" t="n">
        <x:f>INDEX('Locations'!$D$6:$D$453,MATCH(C114,'Locations'!$A$6:$A$453,0))</x:f>
        <x:v>42.7296845406231</x:v>
      </x:c>
      <x:c r="V114" s="66" t="n">
        <x:f>INDEX('Locations'!$E$6:$E$453,MATCH(C114,'Locations'!$A$6:$A$453,0))</x:f>
        <x:v>-73.6801575720561</x:v>
      </x:c>
      <x:c r="W114" s="44"/>
    </x:row>
    <x:row r="115" ht="23" customHeight="1">
      <x:c r="A115" s="24" t="s">
        <x:v>717</x:v>
      </x:c>
      <x:c r="B115" s="53" t="s">
        <x:v>274</x:v>
      </x:c>
      <x:c r="C115" s="53" t="s">
        <x:v>286</x:v>
      </x:c>
      <x:c r="D115" s="53" t="s">
        <x:v>606</x:v>
      </x:c>
      <x:c r="E115" s="67" t="n">
        <x:f>2*6371000*ASIN(SQRT(MIN(1,SIN(RADIANS(U115-S115)/2)^2+COS(RADIANS(S115))*COS(RADIANS(U115))*SIN(RADIANS(V115-T115)/2)^2)))</x:f>
        <x:v>41.75192568736405</x:v>
      </x:c>
      <x:c r="F115" s="48" t="s">
        <x:v>67</x:v>
      </x:c>
      <x:c r="G115" s="48" t="s">
        <x:v>66</x:v>
      </x:c>
      <x:c r="H115" s="48" t="s">
        <x:v>66</x:v>
      </x:c>
      <x:c r="I115" s="48" t="s">
        <x:v>66</x:v>
      </x:c>
      <x:c r="J115" s="48" t="s">
        <x:v>66</x:v>
      </x:c>
      <x:c r="K115" s="64"/>
      <x:c r="L115" s="64"/>
      <x:c r="M115" s="50"/>
      <x:c r="N115" s="49"/>
      <x:c r="O115" s="50"/>
      <x:c r="P115" s="50"/>
      <x:c r="Q115" s="32">
        <x:v>111</x:v>
      </x:c>
      <x:c r="R115" s="68"/>
      <x:c r="S115" s="54" t="n">
        <x:f>INDEX('Locations'!$D$6:$D$453,MATCH(B115,'Locations'!$A$6:$A$453,0))</x:f>
        <x:v>42.7306673743453</x:v>
      </x:c>
      <x:c r="T115" s="54" t="n">
        <x:f>INDEX('Locations'!$E$6:$E$453,MATCH(B115,'Locations'!$A$6:$A$453,0))</x:f>
        <x:v>-73.6793808533293</x:v>
      </x:c>
      <x:c r="U115" s="54" t="n">
        <x:f>INDEX('Locations'!$D$6:$D$453,MATCH(C115,'Locations'!$A$6:$A$453,0))</x:f>
        <x:v>42.7304604619827</x:v>
      </x:c>
      <x:c r="V115" s="69" t="n">
        <x:f>INDEX('Locations'!$E$6:$E$453,MATCH(C115,'Locations'!$A$6:$A$453,0))</x:f>
        <x:v>-73.6789542946843</x:v>
      </x:c>
      <x:c r="W115" s="44"/>
    </x:row>
    <x:row r="116" ht="23" customHeight="1">
      <x:c r="A116" s="21" t="s">
        <x:v>718</x:v>
      </x:c>
      <x:c r="B116" s="45" t="s">
        <x:v>68</x:v>
      </x:c>
      <x:c r="C116" s="45" t="s">
        <x:v>286</x:v>
      </x:c>
      <x:c r="D116" s="45" t="s">
        <x:v>606</x:v>
      </x:c>
      <x:c r="E116" s="63" t="n">
        <x:f>2*6371000*ASIN(SQRT(MIN(1,SIN(RADIANS(U116-S116)/2)^2+COS(RADIANS(S116))*COS(RADIANS(U116))*SIN(RADIANS(V116-T116)/2)^2)))</x:f>
        <x:v>36.80352141612368</x:v>
      </x:c>
      <x:c r="F116" s="48" t="s">
        <x:v>67</x:v>
      </x:c>
      <x:c r="G116" s="48" t="s">
        <x:v>66</x:v>
      </x:c>
      <x:c r="H116" s="48" t="s">
        <x:v>66</x:v>
      </x:c>
      <x:c r="I116" s="48" t="s">
        <x:v>66</x:v>
      </x:c>
      <x:c r="J116" s="48" t="s">
        <x:v>66</x:v>
      </x:c>
      <x:c r="K116" s="64"/>
      <x:c r="L116" s="64"/>
      <x:c r="M116" s="50"/>
      <x:c r="N116" s="49"/>
      <x:c r="O116" s="50"/>
      <x:c r="P116" s="50"/>
      <x:c r="Q116" s="30">
        <x:v>112</x:v>
      </x:c>
      <x:c r="R116" s="65"/>
      <x:c r="S116" s="46" t="n">
        <x:f>INDEX('Locations'!$D$6:$D$453,MATCH(B116,'Locations'!$A$6:$A$453,0))</x:f>
        <x:v>42.7307847736595</x:v>
      </x:c>
      <x:c r="T116" s="46" t="n">
        <x:f>INDEX('Locations'!$E$6:$E$453,MATCH(B116,'Locations'!$A$6:$A$453,0))</x:f>
        <x:v>-73.6788642890883</x:v>
      </x:c>
      <x:c r="U116" s="46" t="n">
        <x:f>INDEX('Locations'!$D$6:$D$453,MATCH(C116,'Locations'!$A$6:$A$453,0))</x:f>
        <x:v>42.7304604619827</x:v>
      </x:c>
      <x:c r="V116" s="66" t="n">
        <x:f>INDEX('Locations'!$E$6:$E$453,MATCH(C116,'Locations'!$A$6:$A$453,0))</x:f>
        <x:v>-73.6789542946843</x:v>
      </x:c>
      <x:c r="W116" s="44"/>
    </x:row>
    <x:row r="117" ht="23" customHeight="1">
      <x:c r="A117" s="24" t="s">
        <x:v>719</x:v>
      </x:c>
      <x:c r="B117" s="53" t="s">
        <x:v>287</x:v>
      </x:c>
      <x:c r="C117" s="53" t="s">
        <x:v>286</x:v>
      </x:c>
      <x:c r="D117" s="53" t="s">
        <x:v>661</x:v>
      </x:c>
      <x:c r="E117" s="67" t="n">
        <x:f>2*6371000*ASIN(SQRT(MIN(1,SIN(RADIANS(U117-S117)/2)^2+COS(RADIANS(S117))*COS(RADIANS(U117))*SIN(RADIANS(V117-T117)/2)^2)))</x:f>
        <x:v>33.071275030211886</x:v>
      </x:c>
      <x:c r="F117" s="48" t="s">
        <x:v>67</x:v>
      </x:c>
      <x:c r="G117" s="48" t="s">
        <x:v>66</x:v>
      </x:c>
      <x:c r="H117" s="48" t="s">
        <x:v>66</x:v>
      </x:c>
      <x:c r="I117" s="48" t="s">
        <x:v>66</x:v>
      </x:c>
      <x:c r="J117" s="48" t="s">
        <x:v>66</x:v>
      </x:c>
      <x:c r="K117" s="64"/>
      <x:c r="L117" s="64"/>
      <x:c r="M117" s="50"/>
      <x:c r="N117" s="49"/>
      <x:c r="O117" s="50"/>
      <x:c r="P117" s="50"/>
      <x:c r="Q117" s="32">
        <x:v>113</x:v>
      </x:c>
      <x:c r="R117" s="68"/>
      <x:c r="S117" s="54" t="n">
        <x:f>INDEX('Locations'!$D$6:$D$453,MATCH(B117,'Locations'!$A$6:$A$453,0))</x:f>
        <x:v>42.7304294251283</x:v>
      </x:c>
      <x:c r="T117" s="54" t="n">
        <x:f>INDEX('Locations'!$E$6:$E$453,MATCH(B117,'Locations'!$A$6:$A$453,0))</x:f>
        <x:v>-73.6785516105903</x:v>
      </x:c>
      <x:c r="U117" s="54" t="n">
        <x:f>INDEX('Locations'!$D$6:$D$453,MATCH(C117,'Locations'!$A$6:$A$453,0))</x:f>
        <x:v>42.7304604619827</x:v>
      </x:c>
      <x:c r="V117" s="69" t="n">
        <x:f>INDEX('Locations'!$E$6:$E$453,MATCH(C117,'Locations'!$A$6:$A$453,0))</x:f>
        <x:v>-73.6789542946843</x:v>
      </x:c>
      <x:c r="W117" s="44"/>
    </x:row>
    <x:row r="118" ht="23" customHeight="1">
      <x:c r="A118" s="21" t="s">
        <x:v>720</x:v>
      </x:c>
      <x:c r="B118" s="45" t="s">
        <x:v>287</x:v>
      </x:c>
      <x:c r="C118" s="45" t="s">
        <x:v>265</x:v>
      </x:c>
      <x:c r="D118" s="45" t="s">
        <x:v>606</x:v>
      </x:c>
      <x:c r="E118" s="63" t="n">
        <x:f>2*6371000*ASIN(SQRT(MIN(1,SIN(RADIANS(U118-S118)/2)^2+COS(RADIANS(S118))*COS(RADIANS(U118))*SIN(RADIANS(V118-T118)/2)^2)))</x:f>
        <x:v>41.21718088783511</x:v>
      </x:c>
      <x:c r="F118" s="48" t="s">
        <x:v>67</x:v>
      </x:c>
      <x:c r="G118" s="48" t="s">
        <x:v>66</x:v>
      </x:c>
      <x:c r="H118" s="48" t="s">
        <x:v>66</x:v>
      </x:c>
      <x:c r="I118" s="48" t="s">
        <x:v>66</x:v>
      </x:c>
      <x:c r="J118" s="48" t="s">
        <x:v>66</x:v>
      </x:c>
      <x:c r="K118" s="64"/>
      <x:c r="L118" s="64"/>
      <x:c r="M118" s="50"/>
      <x:c r="N118" s="49"/>
      <x:c r="O118" s="50"/>
      <x:c r="P118" s="50"/>
      <x:c r="Q118" s="30">
        <x:v>114</x:v>
      </x:c>
      <x:c r="R118" s="65"/>
      <x:c r="S118" s="46" t="n">
        <x:f>INDEX('Locations'!$D$6:$D$453,MATCH(B118,'Locations'!$A$6:$A$453,0))</x:f>
        <x:v>42.7304294251283</x:v>
      </x:c>
      <x:c r="T118" s="46" t="n">
        <x:f>INDEX('Locations'!$E$6:$E$453,MATCH(B118,'Locations'!$A$6:$A$453,0))</x:f>
        <x:v>-73.6785516105903</x:v>
      </x:c>
      <x:c r="U118" s="46" t="n">
        <x:f>INDEX('Locations'!$D$6:$D$453,MATCH(C118,'Locations'!$A$6:$A$453,0))</x:f>
        <x:v>42.7302822874483</x:v>
      </x:c>
      <x:c r="V118" s="66" t="n">
        <x:f>INDEX('Locations'!$E$6:$E$453,MATCH(C118,'Locations'!$A$6:$A$453,0))</x:f>
        <x:v>-73.6780884443003</x:v>
      </x:c>
      <x:c r="W118" s="44"/>
    </x:row>
    <x:row r="119" ht="23" customHeight="1">
      <x:c r="A119" s="24" t="s">
        <x:v>721</x:v>
      </x:c>
      <x:c r="B119" s="53" t="s">
        <x:v>273</x:v>
      </x:c>
      <x:c r="C119" s="53" t="s">
        <x:v>288</x:v>
      </x:c>
      <x:c r="D119" s="53" t="s">
        <x:v>606</x:v>
      </x:c>
      <x:c r="E119" s="67" t="n">
        <x:f>2*6371000*ASIN(SQRT(MIN(1,SIN(RADIANS(U119-S119)/2)^2+COS(RADIANS(S119))*COS(RADIANS(U119))*SIN(RADIANS(V119-T119)/2)^2)))</x:f>
        <x:v>71.9260580260137</x:v>
      </x:c>
      <x:c r="F119" s="48" t="s">
        <x:v>67</x:v>
      </x:c>
      <x:c r="G119" s="48" t="s">
        <x:v>66</x:v>
      </x:c>
      <x:c r="H119" s="48" t="s">
        <x:v>66</x:v>
      </x:c>
      <x:c r="I119" s="48" t="s">
        <x:v>66</x:v>
      </x:c>
      <x:c r="J119" s="48" t="s">
        <x:v>66</x:v>
      </x:c>
      <x:c r="K119" s="64"/>
      <x:c r="L119" s="64"/>
      <x:c r="M119" s="50"/>
      <x:c r="N119" s="49"/>
      <x:c r="O119" s="50"/>
      <x:c r="P119" s="50"/>
      <x:c r="Q119" s="32">
        <x:v>115</x:v>
      </x:c>
      <x:c r="R119" s="68"/>
      <x:c r="S119" s="54" t="n">
        <x:f>INDEX('Locations'!$D$6:$D$453,MATCH(B119,'Locations'!$A$6:$A$453,0))</x:f>
        <x:v>42.7310582088079</x:v>
      </x:c>
      <x:c r="T119" s="54" t="n">
        <x:f>INDEX('Locations'!$E$6:$E$453,MATCH(B119,'Locations'!$A$6:$A$453,0))</x:f>
        <x:v>-73.6792773969415</x:v>
      </x:c>
      <x:c r="U119" s="54" t="n">
        <x:f>INDEX('Locations'!$D$6:$D$453,MATCH(C119,'Locations'!$A$6:$A$453,0))</x:f>
        <x:v>42.7309283138247</x:v>
      </x:c>
      <x:c r="V119" s="69" t="n">
        <x:f>INDEX('Locations'!$E$6:$E$453,MATCH(C119,'Locations'!$A$6:$A$453,0))</x:f>
        <x:v>-73.678414729831</x:v>
      </x:c>
      <x:c r="W119" s="44"/>
    </x:row>
    <x:row r="120" ht="23" customHeight="1">
      <x:c r="A120" s="21" t="s">
        <x:v>722</x:v>
      </x:c>
      <x:c r="B120" s="45" t="s">
        <x:v>212</x:v>
      </x:c>
      <x:c r="C120" s="45" t="s">
        <x:v>288</x:v>
      </x:c>
      <x:c r="D120" s="45" t="s">
        <x:v>606</x:v>
      </x:c>
      <x:c r="E120" s="63" t="n">
        <x:f>2*6371000*ASIN(SQRT(MIN(1,SIN(RADIANS(U120-S120)/2)^2+COS(RADIANS(S120))*COS(RADIANS(U120))*SIN(RADIANS(V120-T120)/2)^2)))</x:f>
        <x:v>98.80561781688343</x:v>
      </x:c>
      <x:c r="F120" s="48" t="s">
        <x:v>67</x:v>
      </x:c>
      <x:c r="G120" s="48" t="s">
        <x:v>66</x:v>
      </x:c>
      <x:c r="H120" s="48" t="s">
        <x:v>66</x:v>
      </x:c>
      <x:c r="I120" s="48" t="s">
        <x:v>66</x:v>
      </x:c>
      <x:c r="J120" s="48" t="s">
        <x:v>66</x:v>
      </x:c>
      <x:c r="K120" s="64"/>
      <x:c r="L120" s="64"/>
      <x:c r="M120" s="50"/>
      <x:c r="N120" s="49"/>
      <x:c r="O120" s="50"/>
      <x:c r="P120" s="50"/>
      <x:c r="Q120" s="30">
        <x:v>116</x:v>
      </x:c>
      <x:c r="R120" s="65"/>
      <x:c r="S120" s="46" t="n">
        <x:f>INDEX('Locations'!$D$6:$D$453,MATCH(B120,'Locations'!$A$6:$A$453,0))</x:f>
        <x:v>42.7307708305265</x:v>
      </x:c>
      <x:c r="T120" s="46" t="n">
        <x:f>INDEX('Locations'!$E$6:$E$453,MATCH(B120,'Locations'!$A$6:$A$453,0))</x:f>
        <x:v>-73.6772241855531</x:v>
      </x:c>
      <x:c r="U120" s="46" t="n">
        <x:f>INDEX('Locations'!$D$6:$D$453,MATCH(C120,'Locations'!$A$6:$A$453,0))</x:f>
        <x:v>42.7309283138247</x:v>
      </x:c>
      <x:c r="V120" s="66" t="n">
        <x:f>INDEX('Locations'!$E$6:$E$453,MATCH(C120,'Locations'!$A$6:$A$453,0))</x:f>
        <x:v>-73.678414729831</x:v>
      </x:c>
      <x:c r="W120" s="44"/>
    </x:row>
    <x:row r="121" ht="23" customHeight="1">
      <x:c r="A121" s="24" t="s">
        <x:v>723</x:v>
      </x:c>
      <x:c r="B121" s="53" t="s">
        <x:v>287</x:v>
      </x:c>
      <x:c r="C121" s="53" t="s">
        <x:v>288</x:v>
      </x:c>
      <x:c r="D121" s="53" t="s">
        <x:v>661</x:v>
      </x:c>
      <x:c r="E121" s="67" t="n">
        <x:f>2*6371000*ASIN(SQRT(MIN(1,SIN(RADIANS(U121-S121)/2)^2+COS(RADIANS(S121))*COS(RADIANS(U121))*SIN(RADIANS(V121-T121)/2)^2)))</x:f>
        <x:v>56.58930600200914</x:v>
      </x:c>
      <x:c r="F121" s="48" t="s">
        <x:v>67</x:v>
      </x:c>
      <x:c r="G121" s="48" t="s">
        <x:v>66</x:v>
      </x:c>
      <x:c r="H121" s="48" t="s">
        <x:v>66</x:v>
      </x:c>
      <x:c r="I121" s="48" t="s">
        <x:v>66</x:v>
      </x:c>
      <x:c r="J121" s="48" t="s">
        <x:v>66</x:v>
      </x:c>
      <x:c r="K121" s="64"/>
      <x:c r="L121" s="64"/>
      <x:c r="M121" s="50"/>
      <x:c r="N121" s="49"/>
      <x:c r="O121" s="50"/>
      <x:c r="P121" s="50"/>
      <x:c r="Q121" s="32">
        <x:v>117</x:v>
      </x:c>
      <x:c r="R121" s="68"/>
      <x:c r="S121" s="54" t="n">
        <x:f>INDEX('Locations'!$D$6:$D$453,MATCH(B121,'Locations'!$A$6:$A$453,0))</x:f>
        <x:v>42.7304294251283</x:v>
      </x:c>
      <x:c r="T121" s="54" t="n">
        <x:f>INDEX('Locations'!$E$6:$E$453,MATCH(B121,'Locations'!$A$6:$A$453,0))</x:f>
        <x:v>-73.6785516105903</x:v>
      </x:c>
      <x:c r="U121" s="54" t="n">
        <x:f>INDEX('Locations'!$D$6:$D$453,MATCH(C121,'Locations'!$A$6:$A$453,0))</x:f>
        <x:v>42.7309283138247</x:v>
      </x:c>
      <x:c r="V121" s="69" t="n">
        <x:f>INDEX('Locations'!$E$6:$E$453,MATCH(C121,'Locations'!$A$6:$A$453,0))</x:f>
        <x:v>-73.678414729831</x:v>
      </x:c>
      <x:c r="W121" s="44"/>
    </x:row>
    <x:row r="122" ht="23" customHeight="1">
      <x:c r="A122" s="21" t="s">
        <x:v>724</x:v>
      </x:c>
      <x:c r="B122" s="45" t="s">
        <x:v>280</x:v>
      </x:c>
      <x:c r="C122" s="45" t="s">
        <x:v>289</x:v>
      </x:c>
      <x:c r="D122" s="45" t="s">
        <x:v>606</x:v>
      </x:c>
      <x:c r="E122" s="63" t="n">
        <x:f>2*6371000*ASIN(SQRT(MIN(1,SIN(RADIANS(U122-S122)/2)^2+COS(RADIANS(S122))*COS(RADIANS(U122))*SIN(RADIANS(V122-T122)/2)^2)))</x:f>
        <x:v>30.756013848606543</x:v>
      </x:c>
      <x:c r="F122" s="48" t="s">
        <x:v>67</x:v>
      </x:c>
      <x:c r="G122" s="48" t="s">
        <x:v>66</x:v>
      </x:c>
      <x:c r="H122" s="48" t="s">
        <x:v>66</x:v>
      </x:c>
      <x:c r="I122" s="48" t="s">
        <x:v>66</x:v>
      </x:c>
      <x:c r="J122" s="48" t="s">
        <x:v>66</x:v>
      </x:c>
      <x:c r="K122" s="64"/>
      <x:c r="L122" s="64"/>
      <x:c r="M122" s="50"/>
      <x:c r="N122" s="49"/>
      <x:c r="O122" s="50"/>
      <x:c r="P122" s="50"/>
      <x:c r="Q122" s="30">
        <x:v>118</x:v>
      </x:c>
      <x:c r="R122" s="65"/>
      <x:c r="S122" s="46" t="n">
        <x:f>INDEX('Locations'!$D$6:$D$453,MATCH(B122,'Locations'!$A$6:$A$453,0))</x:f>
        <x:v>42.7308168110516</x:v>
      </x:c>
      <x:c r="T122" s="46" t="n">
        <x:f>INDEX('Locations'!$E$6:$E$453,MATCH(B122,'Locations'!$A$6:$A$453,0))</x:f>
        <x:v>-73.6809167827789</x:v>
      </x:c>
      <x:c r="U122" s="46" t="n">
        <x:f>INDEX('Locations'!$D$6:$D$453,MATCH(C122,'Locations'!$A$6:$A$453,0))</x:f>
        <x:v>42.730609898689</x:v>
      </x:c>
      <x:c r="V122" s="66" t="n">
        <x:f>INDEX('Locations'!$E$6:$E$453,MATCH(C122,'Locations'!$A$6:$A$453,0))</x:f>
        <x:v>-73.6811666697463</x:v>
      </x:c>
      <x:c r="W122" s="44"/>
    </x:row>
    <x:row r="123" ht="23" customHeight="1">
      <x:c r="A123" s="24" t="s">
        <x:v>725</x:v>
      </x:c>
      <x:c r="B123" s="53" t="s">
        <x:v>285</x:v>
      </x:c>
      <x:c r="C123" s="53" t="s">
        <x:v>290</x:v>
      </x:c>
      <x:c r="D123" s="53" t="s">
        <x:v>606</x:v>
      </x:c>
      <x:c r="E123" s="67" t="n">
        <x:f>2*6371000*ASIN(SQRT(MIN(1,SIN(RADIANS(U123-S123)/2)^2+COS(RADIANS(S123))*COS(RADIANS(U123))*SIN(RADIANS(V123-T123)/2)^2)))</x:f>
        <x:v>24.506863262203645</x:v>
      </x:c>
      <x:c r="F123" s="48" t="s">
        <x:v>67</x:v>
      </x:c>
      <x:c r="G123" s="48" t="s">
        <x:v>66</x:v>
      </x:c>
      <x:c r="H123" s="48" t="s">
        <x:v>66</x:v>
      </x:c>
      <x:c r="I123" s="48" t="s">
        <x:v>66</x:v>
      </x:c>
      <x:c r="J123" s="48" t="s">
        <x:v>66</x:v>
      </x:c>
      <x:c r="K123" s="64"/>
      <x:c r="L123" s="64"/>
      <x:c r="M123" s="50"/>
      <x:c r="N123" s="49"/>
      <x:c r="O123" s="50"/>
      <x:c r="P123" s="50"/>
      <x:c r="Q123" s="32">
        <x:v>119</x:v>
      </x:c>
      <x:c r="R123" s="68"/>
      <x:c r="S123" s="54" t="n">
        <x:f>INDEX('Locations'!$D$6:$D$453,MATCH(B123,'Locations'!$A$6:$A$453,0))</x:f>
        <x:v>42.7297902958307</x:v>
      </x:c>
      <x:c r="T123" s="54" t="n">
        <x:f>INDEX('Locations'!$E$6:$E$453,MATCH(B123,'Locations'!$A$6:$A$453,0))</x:f>
        <x:v>-73.6809597569707</x:v>
      </x:c>
      <x:c r="U123" s="54" t="n">
        <x:f>INDEX('Locations'!$D$6:$D$453,MATCH(C123,'Locations'!$A$6:$A$453,0))</x:f>
        <x:v>42.7300064042982</x:v>
      </x:c>
      <x:c r="V123" s="69" t="n">
        <x:f>INDEX('Locations'!$E$6:$E$453,MATCH(C123,'Locations'!$A$6:$A$453,0))</x:f>
        <x:v>-73.6809008664115</x:v>
      </x:c>
      <x:c r="W123" s="44"/>
    </x:row>
    <x:row r="124" ht="23" customHeight="1">
      <x:c r="A124" s="21" t="s">
        <x:v>726</x:v>
      </x:c>
      <x:c r="B124" s="45" t="s">
        <x:v>277</x:v>
      </x:c>
      <x:c r="C124" s="45" t="s">
        <x:v>290</x:v>
      </x:c>
      <x:c r="D124" s="45" t="s">
        <x:v>661</x:v>
      </x:c>
      <x:c r="E124" s="63" t="n">
        <x:f>2*6371000*ASIN(SQRT(MIN(1,SIN(RADIANS(U124-S124)/2)^2+COS(RADIANS(S124))*COS(RADIANS(U124))*SIN(RADIANS(V124-T124)/2)^2)))</x:f>
        <x:v>23.997404520453635</x:v>
      </x:c>
      <x:c r="F124" s="48" t="s">
        <x:v>67</x:v>
      </x:c>
      <x:c r="G124" s="48" t="s">
        <x:v>66</x:v>
      </x:c>
      <x:c r="H124" s="48" t="s">
        <x:v>66</x:v>
      </x:c>
      <x:c r="I124" s="48" t="s">
        <x:v>66</x:v>
      </x:c>
      <x:c r="J124" s="48" t="s">
        <x:v>66</x:v>
      </x:c>
      <x:c r="K124" s="64"/>
      <x:c r="L124" s="64"/>
      <x:c r="M124" s="50"/>
      <x:c r="N124" s="49"/>
      <x:c r="O124" s="50"/>
      <x:c r="P124" s="50"/>
      <x:c r="Q124" s="30">
        <x:v>120</x:v>
      </x:c>
      <x:c r="R124" s="65"/>
      <x:c r="S124" s="46" t="n">
        <x:f>INDEX('Locations'!$D$6:$D$453,MATCH(B124,'Locations'!$A$6:$A$453,0))</x:f>
        <x:v>42.7299891616013</x:v>
      </x:c>
      <x:c r="T124" s="46" t="n">
        <x:f>INDEX('Locations'!$E$6:$E$453,MATCH(B124,'Locations'!$A$6:$A$453,0))</x:f>
        <x:v>-73.6806080052522</x:v>
      </x:c>
      <x:c r="U124" s="46" t="n">
        <x:f>INDEX('Locations'!$D$6:$D$453,MATCH(C124,'Locations'!$A$6:$A$453,0))</x:f>
        <x:v>42.7300064042982</x:v>
      </x:c>
      <x:c r="V124" s="66" t="n">
        <x:f>INDEX('Locations'!$E$6:$E$453,MATCH(C124,'Locations'!$A$6:$A$453,0))</x:f>
        <x:v>-73.6809008664115</x:v>
      </x:c>
      <x:c r="W124" s="44"/>
    </x:row>
    <x:row r="125" ht="23" customHeight="1">
      <x:c r="A125" s="24" t="s">
        <x:v>727</x:v>
      </x:c>
      <x:c r="B125" s="53" t="s">
        <x:v>124</x:v>
      </x:c>
      <x:c r="C125" s="53" t="s">
        <x:v>290</x:v>
      </x:c>
      <x:c r="D125" s="53" t="s">
        <x:v>606</x:v>
      </x:c>
      <x:c r="E125" s="67" t="n">
        <x:f>2*6371000*ASIN(SQRT(MIN(1,SIN(RADIANS(U125-S125)/2)^2+COS(RADIANS(S125))*COS(RADIANS(U125))*SIN(RADIANS(V125-T125)/2)^2)))</x:f>
        <x:v>21.96639844259157</x:v>
      </x:c>
      <x:c r="F125" s="48" t="s">
        <x:v>67</x:v>
      </x:c>
      <x:c r="G125" s="48" t="s">
        <x:v>66</x:v>
      </x:c>
      <x:c r="H125" s="48" t="s">
        <x:v>66</x:v>
      </x:c>
      <x:c r="I125" s="48" t="s">
        <x:v>66</x:v>
      </x:c>
      <x:c r="J125" s="48" t="s">
        <x:v>66</x:v>
      </x:c>
      <x:c r="K125" s="64"/>
      <x:c r="L125" s="64"/>
      <x:c r="M125" s="50"/>
      <x:c r="N125" s="49"/>
      <x:c r="O125" s="50"/>
      <x:c r="P125" s="50"/>
      <x:c r="Q125" s="32">
        <x:v>121</x:v>
      </x:c>
      <x:c r="R125" s="68"/>
      <x:c r="S125" s="54" t="n">
        <x:f>INDEX('Locations'!$D$6:$D$453,MATCH(B125,'Locations'!$A$6:$A$453,0))</x:f>
        <x:v>42.7300180143745</x:v>
      </x:c>
      <x:c r="T125" s="54" t="n">
        <x:f>INDEX('Locations'!$E$6:$E$453,MATCH(B125,'Locations'!$A$6:$A$453,0))</x:f>
        <x:v>-73.6811693363836</x:v>
      </x:c>
      <x:c r="U125" s="54" t="n">
        <x:f>INDEX('Locations'!$D$6:$D$453,MATCH(C125,'Locations'!$A$6:$A$453,0))</x:f>
        <x:v>42.7300064042982</x:v>
      </x:c>
      <x:c r="V125" s="69" t="n">
        <x:f>INDEX('Locations'!$E$6:$E$453,MATCH(C125,'Locations'!$A$6:$A$453,0))</x:f>
        <x:v>-73.6809008664115</x:v>
      </x:c>
      <x:c r="W125" s="44"/>
    </x:row>
    <x:row r="126" ht="23" customHeight="1">
      <x:c r="A126" s="21" t="s">
        <x:v>728</x:v>
      </x:c>
      <x:c r="B126" s="45" t="s">
        <x:v>293</x:v>
      </x:c>
      <x:c r="C126" s="45" t="s">
        <x:v>292</x:v>
      </x:c>
      <x:c r="D126" s="45" t="s">
        <x:v>606</x:v>
      </x:c>
      <x:c r="E126" s="63" t="n">
        <x:f>2*6371000*ASIN(SQRT(MIN(1,SIN(RADIANS(U126-S126)/2)^2+COS(RADIANS(S126))*COS(RADIANS(U126))*SIN(RADIANS(V126-T126)/2)^2)))</x:f>
        <x:v>15.600518299704659</x:v>
      </x:c>
      <x:c r="F126" s="48" t="s">
        <x:v>67</x:v>
      </x:c>
      <x:c r="G126" s="48" t="s">
        <x:v>66</x:v>
      </x:c>
      <x:c r="H126" s="48" t="s">
        <x:v>66</x:v>
      </x:c>
      <x:c r="I126" s="48" t="s">
        <x:v>66</x:v>
      </x:c>
      <x:c r="J126" s="48" t="s">
        <x:v>66</x:v>
      </x:c>
      <x:c r="K126" s="64"/>
      <x:c r="L126" s="64"/>
      <x:c r="M126" s="50"/>
      <x:c r="N126" s="49"/>
      <x:c r="O126" s="50"/>
      <x:c r="P126" s="50"/>
      <x:c r="Q126" s="30">
        <x:v>122</x:v>
      </x:c>
      <x:c r="R126" s="65"/>
      <x:c r="S126" s="46" t="n">
        <x:f>INDEX('Locations'!$D$6:$D$453,MATCH(B126,'Locations'!$A$6:$A$453,0))</x:f>
        <x:v>42.7297247735825</x:v>
      </x:c>
      <x:c r="T126" s="46" t="n">
        <x:f>INDEX('Locations'!$E$6:$E$453,MATCH(B126,'Locations'!$A$6:$A$453,0))</x:f>
        <x:v>-73.6817921829833</x:v>
      </x:c>
      <x:c r="U126" s="46" t="n">
        <x:f>INDEX('Locations'!$D$6:$D$453,MATCH(C126,'Locations'!$A$6:$A$453,0))</x:f>
        <x:v>42.7297247735825</x:v>
      </x:c>
      <x:c r="V126" s="66" t="n">
        <x:f>INDEX('Locations'!$E$6:$E$453,MATCH(C126,'Locations'!$A$6:$A$453,0))</x:f>
        <x:v>-73.681601186575</x:v>
      </x:c>
      <x:c r="W126" s="44"/>
    </x:row>
    <x:row r="127" ht="23" customHeight="1">
      <x:c r="A127" s="24" t="s">
        <x:v>729</x:v>
      </x:c>
      <x:c r="B127" s="53" t="s">
        <x:v>291</x:v>
      </x:c>
      <x:c r="C127" s="53" t="s">
        <x:v>292</x:v>
      </x:c>
      <x:c r="D127" s="53" t="s">
        <x:v>606</x:v>
      </x:c>
      <x:c r="E127" s="67" t="n">
        <x:f>2*6371000*ASIN(SQRT(MIN(1,SIN(RADIANS(U127-S127)/2)^2+COS(RADIANS(S127))*COS(RADIANS(U127))*SIN(RADIANS(V127-T127)/2)^2)))</x:f>
        <x:v>13.043773658889563</x:v>
      </x:c>
      <x:c r="F127" s="48" t="s">
        <x:v>67</x:v>
      </x:c>
      <x:c r="G127" s="48" t="s">
        <x:v>66</x:v>
      </x:c>
      <x:c r="H127" s="48" t="s">
        <x:v>66</x:v>
      </x:c>
      <x:c r="I127" s="48" t="s">
        <x:v>66</x:v>
      </x:c>
      <x:c r="J127" s="48" t="s">
        <x:v>66</x:v>
      </x:c>
      <x:c r="K127" s="64"/>
      <x:c r="L127" s="64"/>
      <x:c r="M127" s="50"/>
      <x:c r="N127" s="49"/>
      <x:c r="O127" s="50"/>
      <x:c r="P127" s="50"/>
      <x:c r="Q127" s="32">
        <x:v>123</x:v>
      </x:c>
      <x:c r="R127" s="68"/>
      <x:c r="S127" s="54" t="n">
        <x:f>INDEX('Locations'!$D$6:$D$453,MATCH(B127,'Locations'!$A$6:$A$453,0))</x:f>
        <x:v>42.729839724895</x:v>
      </x:c>
      <x:c r="T127" s="54" t="n">
        <x:f>INDEX('Locations'!$E$6:$E$453,MATCH(B127,'Locations'!$A$6:$A$453,0))</x:f>
        <x:v>-73.6816330193097</x:v>
      </x:c>
      <x:c r="U127" s="54" t="n">
        <x:f>INDEX('Locations'!$D$6:$D$453,MATCH(C127,'Locations'!$A$6:$A$453,0))</x:f>
        <x:v>42.7297247735825</x:v>
      </x:c>
      <x:c r="V127" s="69" t="n">
        <x:f>INDEX('Locations'!$E$6:$E$453,MATCH(C127,'Locations'!$A$6:$A$453,0))</x:f>
        <x:v>-73.681601186575</x:v>
      </x:c>
      <x:c r="W127" s="44"/>
    </x:row>
    <x:row r="128" ht="23" customHeight="1">
      <x:c r="A128" s="21" t="s">
        <x:v>730</x:v>
      </x:c>
      <x:c r="B128" s="45" t="s">
        <x:v>294</x:v>
      </x:c>
      <x:c r="C128" s="45" t="s">
        <x:v>293</x:v>
      </x:c>
      <x:c r="D128" s="45" t="s">
        <x:v>606</x:v>
      </x:c>
      <x:c r="E128" s="63" t="n">
        <x:f>2*6371000*ASIN(SQRT(MIN(1,SIN(RADIANS(U128-S128)/2)^2+COS(RADIANS(S128))*COS(RADIANS(U128))*SIN(RADIANS(V128-T128)/2)^2)))</x:f>
        <x:v>12.782002761608547</x:v>
      </x:c>
      <x:c r="F128" s="48" t="s">
        <x:v>67</x:v>
      </x:c>
      <x:c r="G128" s="48" t="s">
        <x:v>66</x:v>
      </x:c>
      <x:c r="H128" s="48" t="s">
        <x:v>66</x:v>
      </x:c>
      <x:c r="I128" s="48" t="s">
        <x:v>66</x:v>
      </x:c>
      <x:c r="J128" s="48" t="s">
        <x:v>66</x:v>
      </x:c>
      <x:c r="K128" s="64"/>
      <x:c r="L128" s="64"/>
      <x:c r="M128" s="50"/>
      <x:c r="N128" s="49"/>
      <x:c r="O128" s="50"/>
      <x:c r="P128" s="50"/>
      <x:c r="Q128" s="30">
        <x:v>124</x:v>
      </x:c>
      <x:c r="R128" s="65"/>
      <x:c r="S128" s="46" t="n">
        <x:f>INDEX('Locations'!$D$6:$D$453,MATCH(B128,'Locations'!$A$6:$A$453,0))</x:f>
        <x:v>42.729839724895</x:v>
      </x:c>
      <x:c r="T128" s="46" t="n">
        <x:f>INDEX('Locations'!$E$6:$E$453,MATCH(B128,'Locations'!$A$6:$A$453,0))</x:f>
        <x:v>-73.6817921829833</x:v>
      </x:c>
      <x:c r="U128" s="46" t="n">
        <x:f>INDEX('Locations'!$D$6:$D$453,MATCH(C128,'Locations'!$A$6:$A$453,0))</x:f>
        <x:v>42.7297247735825</x:v>
      </x:c>
      <x:c r="V128" s="66" t="n">
        <x:f>INDEX('Locations'!$E$6:$E$453,MATCH(C128,'Locations'!$A$6:$A$453,0))</x:f>
        <x:v>-73.6817921829833</x:v>
      </x:c>
      <x:c r="W128" s="44"/>
    </x:row>
    <x:row r="129" ht="23" customHeight="1">
      <x:c r="A129" s="24" t="s">
        <x:v>731</x:v>
      </x:c>
      <x:c r="B129" s="53" t="s">
        <x:v>285</x:v>
      </x:c>
      <x:c r="C129" s="53" t="s">
        <x:v>291</x:v>
      </x:c>
      <x:c r="D129" s="53" t="s">
        <x:v>606</x:v>
      </x:c>
      <x:c r="E129" s="67" t="n">
        <x:f>2*6371000*ASIN(SQRT(MIN(1,SIN(RADIANS(U129-S129)/2)^2+COS(RADIANS(S129))*COS(RADIANS(U129))*SIN(RADIANS(V129-T129)/2)^2)))</x:f>
        <x:v>55.26573190450677</x:v>
      </x:c>
      <x:c r="F129" s="48" t="s">
        <x:v>67</x:v>
      </x:c>
      <x:c r="G129" s="48" t="s">
        <x:v>66</x:v>
      </x:c>
      <x:c r="H129" s="48" t="s">
        <x:v>66</x:v>
      </x:c>
      <x:c r="I129" s="48" t="s">
        <x:v>66</x:v>
      </x:c>
      <x:c r="J129" s="48" t="s">
        <x:v>66</x:v>
      </x:c>
      <x:c r="K129" s="64"/>
      <x:c r="L129" s="64"/>
      <x:c r="M129" s="50"/>
      <x:c r="N129" s="49"/>
      <x:c r="O129" s="50"/>
      <x:c r="P129" s="50"/>
      <x:c r="Q129" s="32">
        <x:v>125</x:v>
      </x:c>
      <x:c r="R129" s="68"/>
      <x:c r="S129" s="54" t="n">
        <x:f>INDEX('Locations'!$D$6:$D$453,MATCH(B129,'Locations'!$A$6:$A$453,0))</x:f>
        <x:v>42.7297902958307</x:v>
      </x:c>
      <x:c r="T129" s="54" t="n">
        <x:f>INDEX('Locations'!$E$6:$E$453,MATCH(B129,'Locations'!$A$6:$A$453,0))</x:f>
        <x:v>-73.6809597569707</x:v>
      </x:c>
      <x:c r="U129" s="54" t="n">
        <x:f>INDEX('Locations'!$D$6:$D$453,MATCH(C129,'Locations'!$A$6:$A$453,0))</x:f>
        <x:v>42.729839724895</x:v>
      </x:c>
      <x:c r="V129" s="69" t="n">
        <x:f>INDEX('Locations'!$E$6:$E$453,MATCH(C129,'Locations'!$A$6:$A$453,0))</x:f>
        <x:v>-73.6816330193097</x:v>
      </x:c>
      <x:c r="W129" s="44"/>
    </x:row>
    <x:row r="130" ht="23" customHeight="1">
      <x:c r="A130" s="21" t="s">
        <x:v>732</x:v>
      </x:c>
      <x:c r="B130" s="45" t="s">
        <x:v>294</x:v>
      </x:c>
      <x:c r="C130" s="45" t="s">
        <x:v>297</x:v>
      </x:c>
      <x:c r="D130" s="45" t="s">
        <x:v>606</x:v>
      </x:c>
      <x:c r="E130" s="63" t="n">
        <x:f>2*6371000*ASIN(SQRT(MIN(1,SIN(RADIANS(U130-S130)/2)^2+COS(RADIANS(S130))*COS(RADIANS(U130))*SIN(RADIANS(V130-T130)/2)^2)))</x:f>
        <x:v>8.900662596057993</x:v>
      </x:c>
      <x:c r="F130" s="48" t="s">
        <x:v>67</x:v>
      </x:c>
      <x:c r="G130" s="48" t="s">
        <x:v>66</x:v>
      </x:c>
      <x:c r="H130" s="48" t="s">
        <x:v>66</x:v>
      </x:c>
      <x:c r="I130" s="48" t="s">
        <x:v>66</x:v>
      </x:c>
      <x:c r="J130" s="48" t="s">
        <x:v>66</x:v>
      </x:c>
      <x:c r="K130" s="64"/>
      <x:c r="L130" s="64"/>
      <x:c r="M130" s="50"/>
      <x:c r="N130" s="49"/>
      <x:c r="O130" s="50"/>
      <x:c r="P130" s="50"/>
      <x:c r="Q130" s="30">
        <x:v>126</x:v>
      </x:c>
      <x:c r="R130" s="65"/>
      <x:c r="S130" s="46" t="n">
        <x:f>INDEX('Locations'!$D$6:$D$453,MATCH(B130,'Locations'!$A$6:$A$453,0))</x:f>
        <x:v>42.729839724895</x:v>
      </x:c>
      <x:c r="T130" s="46" t="n">
        <x:f>INDEX('Locations'!$E$6:$E$453,MATCH(B130,'Locations'!$A$6:$A$453,0))</x:f>
        <x:v>-73.6817921829833</x:v>
      </x:c>
      <x:c r="U130" s="46" t="n">
        <x:f>INDEX('Locations'!$D$6:$D$453,MATCH(C130,'Locations'!$A$6:$A$453,0))</x:f>
        <x:v>42.7298822568807</x:v>
      </x:c>
      <x:c r="V130" s="66" t="n">
        <x:f>INDEX('Locations'!$E$6:$E$453,MATCH(C130,'Locations'!$A$6:$A$453,0))</x:f>
        <x:v>-73.6816998680526</x:v>
      </x:c>
      <x:c r="W130" s="44"/>
    </x:row>
    <x:row r="131" ht="23" customHeight="1">
      <x:c r="A131" s="24" t="s">
        <x:v>733</x:v>
      </x:c>
      <x:c r="B131" s="53" t="s">
        <x:v>291</x:v>
      </x:c>
      <x:c r="C131" s="53" t="s">
        <x:v>297</x:v>
      </x:c>
      <x:c r="D131" s="53" t="s">
        <x:v>606</x:v>
      </x:c>
      <x:c r="E131" s="67" t="n">
        <x:f>2*6371000*ASIN(SQRT(MIN(1,SIN(RADIANS(U131-S131)/2)^2+COS(RADIANS(S131))*COS(RADIANS(U131))*SIN(RADIANS(V131-T131)/2)^2)))</x:f>
        <x:v>7.223580594058345</x:v>
      </x:c>
      <x:c r="F131" s="48" t="s">
        <x:v>67</x:v>
      </x:c>
      <x:c r="G131" s="48" t="s">
        <x:v>66</x:v>
      </x:c>
      <x:c r="H131" s="48" t="s">
        <x:v>66</x:v>
      </x:c>
      <x:c r="I131" s="48" t="s">
        <x:v>66</x:v>
      </x:c>
      <x:c r="J131" s="48" t="s">
        <x:v>66</x:v>
      </x:c>
      <x:c r="K131" s="64"/>
      <x:c r="L131" s="64"/>
      <x:c r="M131" s="50"/>
      <x:c r="N131" s="49"/>
      <x:c r="O131" s="50"/>
      <x:c r="P131" s="50"/>
      <x:c r="Q131" s="32">
        <x:v>127</x:v>
      </x:c>
      <x:c r="R131" s="68"/>
      <x:c r="S131" s="54" t="n">
        <x:f>INDEX('Locations'!$D$6:$D$453,MATCH(B131,'Locations'!$A$6:$A$453,0))</x:f>
        <x:v>42.729839724895</x:v>
      </x:c>
      <x:c r="T131" s="54" t="n">
        <x:f>INDEX('Locations'!$E$6:$E$453,MATCH(B131,'Locations'!$A$6:$A$453,0))</x:f>
        <x:v>-73.6816330193097</x:v>
      </x:c>
      <x:c r="U131" s="54" t="n">
        <x:f>INDEX('Locations'!$D$6:$D$453,MATCH(C131,'Locations'!$A$6:$A$453,0))</x:f>
        <x:v>42.7298822568807</x:v>
      </x:c>
      <x:c r="V131" s="69" t="n">
        <x:f>INDEX('Locations'!$E$6:$E$453,MATCH(C131,'Locations'!$A$6:$A$453,0))</x:f>
        <x:v>-73.6816998680526</x:v>
      </x:c>
      <x:c r="W131" s="44"/>
    </x:row>
    <x:row r="132" ht="23" customHeight="1">
      <x:c r="A132" s="21" t="s">
        <x:v>734</x:v>
      </x:c>
      <x:c r="B132" s="45" t="s">
        <x:v>295</x:v>
      </x:c>
      <x:c r="C132" s="45" t="s">
        <x:v>297</x:v>
      </x:c>
      <x:c r="D132" s="45" t="s">
        <x:v>606</x:v>
      </x:c>
      <x:c r="E132" s="63" t="n">
        <x:f>2*6371000*ASIN(SQRT(MIN(1,SIN(RADIANS(U132-S132)/2)^2+COS(RADIANS(S132))*COS(RADIANS(U132))*SIN(RADIANS(V132-T132)/2)^2)))</x:f>
        <x:v>14.446003192729663</x:v>
      </x:c>
      <x:c r="F132" s="48" t="s">
        <x:v>67</x:v>
      </x:c>
      <x:c r="G132" s="48" t="s">
        <x:v>66</x:v>
      </x:c>
      <x:c r="H132" s="48" t="s">
        <x:v>66</x:v>
      </x:c>
      <x:c r="I132" s="48" t="s">
        <x:v>66</x:v>
      </x:c>
      <x:c r="J132" s="48" t="s">
        <x:v>66</x:v>
      </x:c>
      <x:c r="K132" s="64"/>
      <x:c r="L132" s="64"/>
      <x:c r="M132" s="50"/>
      <x:c r="N132" s="49"/>
      <x:c r="O132" s="50"/>
      <x:c r="P132" s="50"/>
      <x:c r="Q132" s="30">
        <x:v>128</x:v>
      </x:c>
      <x:c r="R132" s="65"/>
      <x:c r="S132" s="46" t="n">
        <x:f>INDEX('Locations'!$D$6:$D$453,MATCH(B132,'Locations'!$A$6:$A$453,0))</x:f>
        <x:v>42.7300121518638</x:v>
      </x:c>
      <x:c r="T132" s="46" t="n">
        <x:f>INDEX('Locations'!$E$6:$E$453,MATCH(B132,'Locations'!$A$6:$A$453,0))</x:f>
        <x:v>-73.6816966847791</x:v>
      </x:c>
      <x:c r="U132" s="46" t="n">
        <x:f>INDEX('Locations'!$D$6:$D$453,MATCH(C132,'Locations'!$A$6:$A$453,0))</x:f>
        <x:v>42.7298822568807</x:v>
      </x:c>
      <x:c r="V132" s="66" t="n">
        <x:f>INDEX('Locations'!$E$6:$E$453,MATCH(C132,'Locations'!$A$6:$A$453,0))</x:f>
        <x:v>-73.6816998680526</x:v>
      </x:c>
      <x:c r="W132" s="44"/>
    </x:row>
    <x:row r="133" ht="23" customHeight="1">
      <x:c r="A133" s="24" t="s">
        <x:v>735</x:v>
      </x:c>
      <x:c r="B133" s="53" t="s">
        <x:v>296</x:v>
      </x:c>
      <x:c r="C133" s="53" t="s">
        <x:v>295</x:v>
      </x:c>
      <x:c r="D133" s="53" t="s">
        <x:v>606</x:v>
      </x:c>
      <x:c r="E133" s="67" t="n">
        <x:f>2*6371000*ASIN(SQRT(MIN(1,SIN(RADIANS(U133-S133)/2)^2+COS(RADIANS(S133))*COS(RADIANS(U133))*SIN(RADIANS(V133-T133)/2)^2)))</x:f>
        <x:v>18.451938106799293</x:v>
      </x:c>
      <x:c r="F133" s="48" t="s">
        <x:v>67</x:v>
      </x:c>
      <x:c r="G133" s="48" t="s">
        <x:v>66</x:v>
      </x:c>
      <x:c r="H133" s="48" t="s">
        <x:v>66</x:v>
      </x:c>
      <x:c r="I133" s="48" t="s">
        <x:v>66</x:v>
      </x:c>
      <x:c r="J133" s="48" t="s">
        <x:v>66</x:v>
      </x:c>
      <x:c r="K133" s="64"/>
      <x:c r="L133" s="64"/>
      <x:c r="M133" s="50"/>
      <x:c r="N133" s="49"/>
      <x:c r="O133" s="50"/>
      <x:c r="P133" s="50"/>
      <x:c r="Q133" s="32">
        <x:v>129</x:v>
      </x:c>
      <x:c r="R133" s="68"/>
      <x:c r="S133" s="54" t="n">
        <x:f>INDEX('Locations'!$D$6:$D$453,MATCH(B133,'Locations'!$A$6:$A$453,0))</x:f>
        <x:v>42.7301776817539</x:v>
      </x:c>
      <x:c r="T133" s="54" t="n">
        <x:f>INDEX('Locations'!$E$6:$E$453,MATCH(B133,'Locations'!$A$6:$A$453,0))</x:f>
        <x:v>-73.6817126011465</x:v>
      </x:c>
      <x:c r="U133" s="54" t="n">
        <x:f>INDEX('Locations'!$D$6:$D$453,MATCH(C133,'Locations'!$A$6:$A$453,0))</x:f>
        <x:v>42.7300121518638</x:v>
      </x:c>
      <x:c r="V133" s="69" t="n">
        <x:f>INDEX('Locations'!$E$6:$E$453,MATCH(C133,'Locations'!$A$6:$A$453,0))</x:f>
        <x:v>-73.6816966847791</x:v>
      </x:c>
      <x:c r="W133" s="44"/>
    </x:row>
    <x:row r="134" ht="23" customHeight="1">
      <x:c r="A134" s="21" t="s">
        <x:v>736</x:v>
      </x:c>
      <x:c r="B134" s="45" t="s">
        <x:v>144</x:v>
      </x:c>
      <x:c r="C134" s="45" t="s">
        <x:v>295</x:v>
      </x:c>
      <x:c r="D134" s="45" t="s">
        <x:v>606</x:v>
      </x:c>
      <x:c r="E134" s="63" t="n">
        <x:f>2*6371000*ASIN(SQRT(MIN(1,SIN(RADIANS(U134-S134)/2)^2+COS(RADIANS(S134))*COS(RADIANS(U134))*SIN(RADIANS(V134-T134)/2)^2)))</x:f>
        <x:v>18.334576131522102</x:v>
      </x:c>
      <x:c r="F134" s="48" t="s">
        <x:v>67</x:v>
      </x:c>
      <x:c r="G134" s="48" t="s">
        <x:v>66</x:v>
      </x:c>
      <x:c r="H134" s="48" t="s">
        <x:v>66</x:v>
      </x:c>
      <x:c r="I134" s="48" t="s">
        <x:v>66</x:v>
      </x:c>
      <x:c r="J134" s="48" t="s">
        <x:v>66</x:v>
      </x:c>
      <x:c r="K134" s="64"/>
      <x:c r="L134" s="64"/>
      <x:c r="M134" s="50"/>
      <x:c r="N134" s="49"/>
      <x:c r="O134" s="50"/>
      <x:c r="P134" s="50"/>
      <x:c r="Q134" s="30">
        <x:v>130</x:v>
      </x:c>
      <x:c r="R134" s="65"/>
      <x:c r="S134" s="46" t="n">
        <x:f>INDEX('Locations'!$D$6:$D$453,MATCH(B134,'Locations'!$A$6:$A$453,0))</x:f>
        <x:v>42.7300826547069</x:v>
      </x:c>
      <x:c r="T134" s="46" t="n">
        <x:f>INDEX('Locations'!$E$6:$E$453,MATCH(B134,'Locations'!$A$6:$A$453,0))</x:f>
        <x:v>-73.6818996007287</x:v>
      </x:c>
      <x:c r="U134" s="46" t="n">
        <x:f>INDEX('Locations'!$D$6:$D$453,MATCH(C134,'Locations'!$A$6:$A$453,0))</x:f>
        <x:v>42.7300121518638</x:v>
      </x:c>
      <x:c r="V134" s="66" t="n">
        <x:f>INDEX('Locations'!$E$6:$E$453,MATCH(C134,'Locations'!$A$6:$A$453,0))</x:f>
        <x:v>-73.6816966847791</x:v>
      </x:c>
      <x:c r="W134" s="44"/>
    </x:row>
    <x:row r="135" ht="23" customHeight="1">
      <x:c r="A135" s="24" t="s">
        <x:v>737</x:v>
      </x:c>
      <x:c r="B135" s="53" t="s">
        <x:v>301</x:v>
      </x:c>
      <x:c r="C135" s="53" t="s">
        <x:v>296</x:v>
      </x:c>
      <x:c r="D135" s="53" t="s">
        <x:v>606</x:v>
      </x:c>
      <x:c r="E135" s="67" t="n">
        <x:f>2*6371000*ASIN(SQRT(MIN(1,SIN(RADIANS(U135-S135)/2)^2+COS(RADIANS(S135))*COS(RADIANS(U135))*SIN(RADIANS(V135-T135)/2)^2)))</x:f>
        <x:v>39.5419231839906</x:v>
      </x:c>
      <x:c r="F135" s="48" t="s">
        <x:v>67</x:v>
      </x:c>
      <x:c r="G135" s="48" t="s">
        <x:v>66</x:v>
      </x:c>
      <x:c r="H135" s="48" t="s">
        <x:v>66</x:v>
      </x:c>
      <x:c r="I135" s="48" t="s">
        <x:v>66</x:v>
      </x:c>
      <x:c r="J135" s="48" t="s">
        <x:v>66</x:v>
      </x:c>
      <x:c r="K135" s="64"/>
      <x:c r="L135" s="64"/>
      <x:c r="M135" s="50"/>
      <x:c r="N135" s="49"/>
      <x:c r="O135" s="50"/>
      <x:c r="P135" s="50"/>
      <x:c r="Q135" s="32">
        <x:v>131</x:v>
      </x:c>
      <x:c r="R135" s="68"/>
      <x:c r="S135" s="54" t="n">
        <x:f>INDEX('Locations'!$D$6:$D$453,MATCH(B135,'Locations'!$A$6:$A$453,0))</x:f>
        <x:v>42.7301466448995</x:v>
      </x:c>
      <x:c r="T135" s="54" t="n">
        <x:f>INDEX('Locations'!$E$6:$E$453,MATCH(B135,'Locations'!$A$6:$A$453,0))</x:f>
        <x:v>-73.6812303352157</x:v>
      </x:c>
      <x:c r="U135" s="54" t="n">
        <x:f>INDEX('Locations'!$D$6:$D$453,MATCH(C135,'Locations'!$A$6:$A$453,0))</x:f>
        <x:v>42.7301776817539</x:v>
      </x:c>
      <x:c r="V135" s="69" t="n">
        <x:f>INDEX('Locations'!$E$6:$E$453,MATCH(C135,'Locations'!$A$6:$A$453,0))</x:f>
        <x:v>-73.6817126011465</x:v>
      </x:c>
      <x:c r="W135" s="44"/>
    </x:row>
    <x:row r="136" ht="23" customHeight="1">
      <x:c r="A136" s="21" t="s">
        <x:v>738</x:v>
      </x:c>
      <x:c r="B136" s="45" t="s">
        <x:v>300</x:v>
      </x:c>
      <x:c r="C136" s="45" t="s">
        <x:v>296</x:v>
      </x:c>
      <x:c r="D136" s="45" t="s">
        <x:v>606</x:v>
      </x:c>
      <x:c r="E136" s="63" t="n">
        <x:f>2*6371000*ASIN(SQRT(MIN(1,SIN(RADIANS(U136-S136)/2)^2+COS(RADIANS(S136))*COS(RADIANS(U136))*SIN(RADIANS(V136-T136)/2)^2)))</x:f>
        <x:v>25.372894335793315</x:v>
      </x:c>
      <x:c r="F136" s="48" t="s">
        <x:v>67</x:v>
      </x:c>
      <x:c r="G136" s="48" t="s">
        <x:v>66</x:v>
      </x:c>
      <x:c r="H136" s="48" t="s">
        <x:v>66</x:v>
      </x:c>
      <x:c r="I136" s="48" t="s">
        <x:v>66</x:v>
      </x:c>
      <x:c r="J136" s="48" t="s">
        <x:v>66</x:v>
      </x:c>
      <x:c r="K136" s="64"/>
      <x:c r="L136" s="64"/>
      <x:c r="M136" s="50"/>
      <x:c r="N136" s="49"/>
      <x:c r="O136" s="50"/>
      <x:c r="P136" s="50"/>
      <x:c r="Q136" s="30">
        <x:v>132</x:v>
      </x:c>
      <x:c r="R136" s="65"/>
      <x:c r="S136" s="46" t="n">
        <x:f>INDEX('Locations'!$D$6:$D$453,MATCH(B136,'Locations'!$A$6:$A$453,0))</x:f>
        <x:v>42.7303236699208</x:v>
      </x:c>
      <x:c r="T136" s="46" t="n">
        <x:f>INDEX('Locations'!$E$6:$E$453,MATCH(B136,'Locations'!$A$6:$A$453,0))</x:f>
        <x:v>-73.6814738556362</x:v>
      </x:c>
      <x:c r="U136" s="46" t="n">
        <x:f>INDEX('Locations'!$D$6:$D$453,MATCH(C136,'Locations'!$A$6:$A$453,0))</x:f>
        <x:v>42.7301776817539</x:v>
      </x:c>
      <x:c r="V136" s="66" t="n">
        <x:f>INDEX('Locations'!$E$6:$E$453,MATCH(C136,'Locations'!$A$6:$A$453,0))</x:f>
        <x:v>-73.6817126011465</x:v>
      </x:c>
      <x:c r="W136" s="44"/>
    </x:row>
    <x:row r="137" ht="23" customHeight="1">
      <x:c r="A137" s="24" t="s">
        <x:v>739</x:v>
      </x:c>
      <x:c r="B137" s="53" t="s">
        <x:v>301</x:v>
      </x:c>
      <x:c r="C137" s="53" t="s">
        <x:v>300</x:v>
      </x:c>
      <x:c r="D137" s="53" t="s">
        <x:v>606</x:v>
      </x:c>
      <x:c r="E137" s="67" t="n">
        <x:f>2*6371000*ASIN(SQRT(MIN(1,SIN(RADIANS(U137-S137)/2)^2+COS(RADIANS(S137))*COS(RADIANS(U137))*SIN(RADIANS(V137-T137)/2)^2)))</x:f>
        <x:v>27.983976196008534</x:v>
      </x:c>
      <x:c r="F137" s="48" t="s">
        <x:v>67</x:v>
      </x:c>
      <x:c r="G137" s="48" t="s">
        <x:v>66</x:v>
      </x:c>
      <x:c r="H137" s="48" t="s">
        <x:v>66</x:v>
      </x:c>
      <x:c r="I137" s="48" t="s">
        <x:v>66</x:v>
      </x:c>
      <x:c r="J137" s="48" t="s">
        <x:v>66</x:v>
      </x:c>
      <x:c r="K137" s="64"/>
      <x:c r="L137" s="64"/>
      <x:c r="M137" s="50"/>
      <x:c r="N137" s="49"/>
      <x:c r="O137" s="50"/>
      <x:c r="P137" s="50"/>
      <x:c r="Q137" s="32">
        <x:v>133</x:v>
      </x:c>
      <x:c r="R137" s="68"/>
      <x:c r="S137" s="54" t="n">
        <x:f>INDEX('Locations'!$D$6:$D$453,MATCH(B137,'Locations'!$A$6:$A$453,0))</x:f>
        <x:v>42.7301466448995</x:v>
      </x:c>
      <x:c r="T137" s="54" t="n">
        <x:f>INDEX('Locations'!$E$6:$E$453,MATCH(B137,'Locations'!$A$6:$A$453,0))</x:f>
        <x:v>-73.6812303352157</x:v>
      </x:c>
      <x:c r="U137" s="54" t="n">
        <x:f>INDEX('Locations'!$D$6:$D$453,MATCH(C137,'Locations'!$A$6:$A$453,0))</x:f>
        <x:v>42.7303236699208</x:v>
      </x:c>
      <x:c r="V137" s="69" t="n">
        <x:f>INDEX('Locations'!$E$6:$E$453,MATCH(C137,'Locations'!$A$6:$A$453,0))</x:f>
        <x:v>-73.6814738556362</x:v>
      </x:c>
      <x:c r="W137" s="44"/>
    </x:row>
    <x:row r="138" ht="23" customHeight="1">
      <x:c r="A138" s="21" t="s">
        <x:v>740</x:v>
      </x:c>
      <x:c r="B138" s="45" t="s">
        <x:v>302</x:v>
      </x:c>
      <x:c r="C138" s="45" t="s">
        <x:v>278</x:v>
      </x:c>
      <x:c r="D138" s="45" t="s">
        <x:v>661</x:v>
      </x:c>
      <x:c r="E138" s="63" t="n">
        <x:f>2*6371000*ASIN(SQRT(MIN(1,SIN(RADIANS(U138-S138)/2)^2+COS(RADIANS(S138))*COS(RADIANS(U138))*SIN(RADIANS(V138-T138)/2)^2)))</x:f>
        <x:v>25.626209533991407</x:v>
      </x:c>
      <x:c r="F138" s="48" t="s">
        <x:v>67</x:v>
      </x:c>
      <x:c r="G138" s="48" t="s">
        <x:v>66</x:v>
      </x:c>
      <x:c r="H138" s="48" t="s">
        <x:v>66</x:v>
      </x:c>
      <x:c r="I138" s="48" t="s">
        <x:v>66</x:v>
      </x:c>
      <x:c r="J138" s="48" t="s">
        <x:v>66</x:v>
      </x:c>
      <x:c r="K138" s="64"/>
      <x:c r="L138" s="64"/>
      <x:c r="M138" s="50"/>
      <x:c r="N138" s="49"/>
      <x:c r="O138" s="50"/>
      <x:c r="P138" s="50"/>
      <x:c r="Q138" s="30">
        <x:v>134</x:v>
      </x:c>
      <x:c r="R138" s="65"/>
      <x:c r="S138" s="46" t="n">
        <x:f>INDEX('Locations'!$D$6:$D$453,MATCH(B138,'Locations'!$A$6:$A$453,0))</x:f>
        <x:v>42.7303730989852</x:v>
      </x:c>
      <x:c r="T138" s="46" t="n">
        <x:f>INDEX('Locations'!$E$6:$E$453,MATCH(B138,'Locations'!$A$6:$A$453,0))</x:f>
        <x:v>-73.6811825861136</x:v>
      </x:c>
      <x:c r="U138" s="46" t="n">
        <x:f>INDEX('Locations'!$D$6:$D$453,MATCH(C138,'Locations'!$A$6:$A$453,0))</x:f>
        <x:v>42.7303650523933</x:v>
      </x:c>
      <x:c r="V138" s="66" t="n">
        <x:f>INDEX('Locations'!$E$6:$E$453,MATCH(C138,'Locations'!$A$6:$A$453,0))</x:f>
        <x:v>-73.6808690336768</x:v>
      </x:c>
      <x:c r="W138" s="44"/>
    </x:row>
    <x:row r="139" ht="23" customHeight="1">
      <x:c r="A139" s="24" t="s">
        <x:v>741</x:v>
      </x:c>
      <x:c r="B139" s="53" t="s">
        <x:v>289</x:v>
      </x:c>
      <x:c r="C139" s="53" t="s">
        <x:v>302</x:v>
      </x:c>
      <x:c r="D139" s="53" t="s">
        <x:v>606</x:v>
      </x:c>
      <x:c r="E139" s="67" t="n">
        <x:f>2*6371000*ASIN(SQRT(MIN(1,SIN(RADIANS(U139-S139)/2)^2+COS(RADIANS(S139))*COS(RADIANS(U139))*SIN(RADIANS(V139-T139)/2)^2)))</x:f>
        <x:v>26.362999040608443</x:v>
      </x:c>
      <x:c r="F139" s="48" t="s">
        <x:v>67</x:v>
      </x:c>
      <x:c r="G139" s="48" t="s">
        <x:v>66</x:v>
      </x:c>
      <x:c r="H139" s="48" t="s">
        <x:v>66</x:v>
      </x:c>
      <x:c r="I139" s="48" t="s">
        <x:v>66</x:v>
      </x:c>
      <x:c r="J139" s="48" t="s">
        <x:v>66</x:v>
      </x:c>
      <x:c r="K139" s="64"/>
      <x:c r="L139" s="64"/>
      <x:c r="M139" s="50"/>
      <x:c r="N139" s="49"/>
      <x:c r="O139" s="50"/>
      <x:c r="P139" s="50"/>
      <x:c r="Q139" s="32">
        <x:v>135</x:v>
      </x:c>
      <x:c r="R139" s="68"/>
      <x:c r="S139" s="54" t="n">
        <x:f>INDEX('Locations'!$D$6:$D$453,MATCH(B139,'Locations'!$A$6:$A$453,0))</x:f>
        <x:v>42.730609898689</x:v>
      </x:c>
      <x:c r="T139" s="54" t="n">
        <x:f>INDEX('Locations'!$E$6:$E$453,MATCH(B139,'Locations'!$A$6:$A$453,0))</x:f>
        <x:v>-73.6811666697463</x:v>
      </x:c>
      <x:c r="U139" s="54" t="n">
        <x:f>INDEX('Locations'!$D$6:$D$453,MATCH(C139,'Locations'!$A$6:$A$453,0))</x:f>
        <x:v>42.7303730989852</x:v>
      </x:c>
      <x:c r="V139" s="69" t="n">
        <x:f>INDEX('Locations'!$E$6:$E$453,MATCH(C139,'Locations'!$A$6:$A$453,0))</x:f>
        <x:v>-73.6811825861136</x:v>
      </x:c>
      <x:c r="W139" s="44"/>
    </x:row>
    <x:row r="140" ht="23" customHeight="1">
      <x:c r="A140" s="21" t="s">
        <x:v>742</x:v>
      </x:c>
      <x:c r="B140" s="45" t="s">
        <x:v>301</x:v>
      </x:c>
      <x:c r="C140" s="45" t="s">
        <x:v>302</x:v>
      </x:c>
      <x:c r="D140" s="45" t="s">
        <x:v>606</x:v>
      </x:c>
      <x:c r="E140" s="63" t="n">
        <x:f>2*6371000*ASIN(SQRT(MIN(1,SIN(RADIANS(U140-S140)/2)^2+COS(RADIANS(S140))*COS(RADIANS(U140))*SIN(RADIANS(V140-T140)/2)^2)))</x:f>
        <x:v>25.480789181461986</x:v>
      </x:c>
      <x:c r="F140" s="48" t="s">
        <x:v>67</x:v>
      </x:c>
      <x:c r="G140" s="48" t="s">
        <x:v>66</x:v>
      </x:c>
      <x:c r="H140" s="48" t="s">
        <x:v>66</x:v>
      </x:c>
      <x:c r="I140" s="48" t="s">
        <x:v>66</x:v>
      </x:c>
      <x:c r="J140" s="48" t="s">
        <x:v>66</x:v>
      </x:c>
      <x:c r="K140" s="64"/>
      <x:c r="L140" s="64"/>
      <x:c r="M140" s="50"/>
      <x:c r="N140" s="49"/>
      <x:c r="O140" s="50"/>
      <x:c r="P140" s="50"/>
      <x:c r="Q140" s="30">
        <x:v>136</x:v>
      </x:c>
      <x:c r="R140" s="65"/>
      <x:c r="S140" s="46" t="n">
        <x:f>INDEX('Locations'!$D$6:$D$453,MATCH(B140,'Locations'!$A$6:$A$453,0))</x:f>
        <x:v>42.7301466448995</x:v>
      </x:c>
      <x:c r="T140" s="46" t="n">
        <x:f>INDEX('Locations'!$E$6:$E$453,MATCH(B140,'Locations'!$A$6:$A$453,0))</x:f>
        <x:v>-73.6812303352157</x:v>
      </x:c>
      <x:c r="U140" s="46" t="n">
        <x:f>INDEX('Locations'!$D$6:$D$453,MATCH(C140,'Locations'!$A$6:$A$453,0))</x:f>
        <x:v>42.7303730989852</x:v>
      </x:c>
      <x:c r="V140" s="66" t="n">
        <x:f>INDEX('Locations'!$E$6:$E$453,MATCH(C140,'Locations'!$A$6:$A$453,0))</x:f>
        <x:v>-73.6811825861136</x:v>
      </x:c>
      <x:c r="W140" s="44"/>
    </x:row>
    <x:row r="141" ht="23" customHeight="1">
      <x:c r="A141" s="24" t="s">
        <x:v>743</x:v>
      </x:c>
      <x:c r="B141" s="53" t="s">
        <x:v>299</x:v>
      </x:c>
      <x:c r="C141" s="53" t="s">
        <x:v>300</x:v>
      </x:c>
      <x:c r="D141" s="53" t="s">
        <x:v>606</x:v>
      </x:c>
      <x:c r="E141" s="67" t="n">
        <x:f>2*6371000*ASIN(SQRT(MIN(1,SIN(RADIANS(U141-S141)/2)^2+COS(RADIANS(S141))*COS(RADIANS(U141))*SIN(RADIANS(V141-T141)/2)^2)))</x:f>
        <x:v>13.942006027517003</x:v>
      </x:c>
      <x:c r="F141" s="48" t="s">
        <x:v>67</x:v>
      </x:c>
      <x:c r="G141" s="48" t="s">
        <x:v>66</x:v>
      </x:c>
      <x:c r="H141" s="48" t="s">
        <x:v>66</x:v>
      </x:c>
      <x:c r="I141" s="48" t="s">
        <x:v>66</x:v>
      </x:c>
      <x:c r="J141" s="48" t="s">
        <x:v>66</x:v>
      </x:c>
      <x:c r="K141" s="64"/>
      <x:c r="L141" s="64"/>
      <x:c r="M141" s="50"/>
      <x:c r="N141" s="49"/>
      <x:c r="O141" s="50"/>
      <x:c r="P141" s="50"/>
      <x:c r="Q141" s="32">
        <x:v>137</x:v>
      </x:c>
      <x:c r="R141" s="68"/>
      <x:c r="S141" s="54" t="n">
        <x:f>INDEX('Locations'!$D$6:$D$453,MATCH(B141,'Locations'!$A$6:$A$453,0))</x:f>
        <x:v>42.730425976589</x:v>
      </x:c>
      <x:c r="T141" s="54" t="n">
        <x:f>INDEX('Locations'!$E$6:$E$453,MATCH(B141,'Locations'!$A$6:$A$453,0))</x:f>
        <x:v>-73.6815725371138</x:v>
      </x:c>
      <x:c r="U141" s="54" t="n">
        <x:f>INDEX('Locations'!$D$6:$D$453,MATCH(C141,'Locations'!$A$6:$A$453,0))</x:f>
        <x:v>42.7303236699208</x:v>
      </x:c>
      <x:c r="V141" s="69" t="n">
        <x:f>INDEX('Locations'!$E$6:$E$453,MATCH(C141,'Locations'!$A$6:$A$453,0))</x:f>
        <x:v>-73.6814738556362</x:v>
      </x:c>
      <x:c r="W141" s="44"/>
    </x:row>
    <x:row r="142" ht="23" customHeight="1">
      <x:c r="A142" s="21" t="s">
        <x:v>744</x:v>
      </x:c>
      <x:c r="B142" s="45" t="s">
        <x:v>289</x:v>
      </x:c>
      <x:c r="C142" s="45" t="s">
        <x:v>299</x:v>
      </x:c>
      <x:c r="D142" s="45" t="s">
        <x:v>606</x:v>
      </x:c>
      <x:c r="E142" s="63" t="n">
        <x:f>2*6371000*ASIN(SQRT(MIN(1,SIN(RADIANS(U142-S142)/2)^2+COS(RADIANS(S142))*COS(RADIANS(U142))*SIN(RADIANS(V142-T142)/2)^2)))</x:f>
        <x:v>38.951497756683125</x:v>
      </x:c>
      <x:c r="F142" s="48" t="s">
        <x:v>67</x:v>
      </x:c>
      <x:c r="G142" s="48" t="s">
        <x:v>66</x:v>
      </x:c>
      <x:c r="H142" s="48" t="s">
        <x:v>66</x:v>
      </x:c>
      <x:c r="I142" s="48" t="s">
        <x:v>66</x:v>
      </x:c>
      <x:c r="J142" s="48" t="s">
        <x:v>66</x:v>
      </x:c>
      <x:c r="K142" s="64"/>
      <x:c r="L142" s="64"/>
      <x:c r="M142" s="50"/>
      <x:c r="N142" s="49"/>
      <x:c r="O142" s="50"/>
      <x:c r="P142" s="50"/>
      <x:c r="Q142" s="30">
        <x:v>138</x:v>
      </x:c>
      <x:c r="R142" s="65"/>
      <x:c r="S142" s="46" t="n">
        <x:f>INDEX('Locations'!$D$6:$D$453,MATCH(B142,'Locations'!$A$6:$A$453,0))</x:f>
        <x:v>42.730609898689</x:v>
      </x:c>
      <x:c r="T142" s="46" t="n">
        <x:f>INDEX('Locations'!$E$6:$E$453,MATCH(B142,'Locations'!$A$6:$A$453,0))</x:f>
        <x:v>-73.6811666697463</x:v>
      </x:c>
      <x:c r="U142" s="46" t="n">
        <x:f>INDEX('Locations'!$D$6:$D$453,MATCH(C142,'Locations'!$A$6:$A$453,0))</x:f>
        <x:v>42.730425976589</x:v>
      </x:c>
      <x:c r="V142" s="66" t="n">
        <x:f>INDEX('Locations'!$E$6:$E$453,MATCH(C142,'Locations'!$A$6:$A$453,0))</x:f>
        <x:v>-73.6815725371138</x:v>
      </x:c>
      <x:c r="W142" s="44"/>
    </x:row>
    <x:row r="143" ht="23" customHeight="1">
      <x:c r="A143" s="24" t="s">
        <x:v>745</x:v>
      </x:c>
      <x:c r="B143" s="53" t="s">
        <x:v>289</x:v>
      </x:c>
      <x:c r="C143" s="53" t="s">
        <x:v>300</x:v>
      </x:c>
      <x:c r="D143" s="53" t="s">
        <x:v>606</x:v>
      </x:c>
      <x:c r="E143" s="67" t="n">
        <x:f>2*6371000*ASIN(SQRT(MIN(1,SIN(RADIANS(U143-S143)/2)^2+COS(RADIANS(S143))*COS(RADIANS(U143))*SIN(RADIANS(V143-T143)/2)^2)))</x:f>
        <x:v>40.527826152378104</x:v>
      </x:c>
      <x:c r="F143" s="48" t="s">
        <x:v>67</x:v>
      </x:c>
      <x:c r="G143" s="48" t="s">
        <x:v>66</x:v>
      </x:c>
      <x:c r="H143" s="48" t="s">
        <x:v>66</x:v>
      </x:c>
      <x:c r="I143" s="48" t="s">
        <x:v>66</x:v>
      </x:c>
      <x:c r="J143" s="48" t="s">
        <x:v>66</x:v>
      </x:c>
      <x:c r="K143" s="64"/>
      <x:c r="L143" s="64"/>
      <x:c r="M143" s="50"/>
      <x:c r="N143" s="49"/>
      <x:c r="O143" s="50"/>
      <x:c r="P143" s="50"/>
      <x:c r="Q143" s="32">
        <x:v>139</x:v>
      </x:c>
      <x:c r="R143" s="68"/>
      <x:c r="S143" s="54" t="n">
        <x:f>INDEX('Locations'!$D$6:$D$453,MATCH(B143,'Locations'!$A$6:$A$453,0))</x:f>
        <x:v>42.730609898689</x:v>
      </x:c>
      <x:c r="T143" s="54" t="n">
        <x:f>INDEX('Locations'!$E$6:$E$453,MATCH(B143,'Locations'!$A$6:$A$453,0))</x:f>
        <x:v>-73.6811666697463</x:v>
      </x:c>
      <x:c r="U143" s="54" t="n">
        <x:f>INDEX('Locations'!$D$6:$D$453,MATCH(C143,'Locations'!$A$6:$A$453,0))</x:f>
        <x:v>42.7303236699208</x:v>
      </x:c>
      <x:c r="V143" s="69" t="n">
        <x:f>INDEX('Locations'!$E$6:$E$453,MATCH(C143,'Locations'!$A$6:$A$453,0))</x:f>
        <x:v>-73.6814738556362</x:v>
      </x:c>
      <x:c r="W143" s="44"/>
    </x:row>
    <x:row r="144" ht="23" customHeight="1">
      <x:c r="A144" s="21" t="s">
        <x:v>746</x:v>
      </x:c>
      <x:c r="B144" s="45" t="s">
        <x:v>303</x:v>
      </x:c>
      <x:c r="C144" s="45" t="s">
        <x:v>299</x:v>
      </x:c>
      <x:c r="D144" s="45" t="s">
        <x:v>606</x:v>
      </x:c>
      <x:c r="E144" s="63" t="n">
        <x:f>2*6371000*ASIN(SQRT(MIN(1,SIN(RADIANS(U144-S144)/2)^2+COS(RADIANS(S144))*COS(RADIANS(U144))*SIN(RADIANS(V144-T144)/2)^2)))</x:f>
        <x:v>28.970651742304483</x:v>
      </x:c>
      <x:c r="F144" s="48" t="s">
        <x:v>67</x:v>
      </x:c>
      <x:c r="G144" s="48" t="s">
        <x:v>66</x:v>
      </x:c>
      <x:c r="H144" s="48" t="s">
        <x:v>66</x:v>
      </x:c>
      <x:c r="I144" s="48" t="s">
        <x:v>66</x:v>
      </x:c>
      <x:c r="J144" s="48" t="s">
        <x:v>66</x:v>
      </x:c>
      <x:c r="K144" s="64"/>
      <x:c r="L144" s="64"/>
      <x:c r="M144" s="50"/>
      <x:c r="N144" s="49"/>
      <x:c r="O144" s="50"/>
      <x:c r="P144" s="50"/>
      <x:c r="Q144" s="30">
        <x:v>140</x:v>
      </x:c>
      <x:c r="R144" s="65"/>
      <x:c r="S144" s="46" t="n">
        <x:f>INDEX('Locations'!$D$6:$D$453,MATCH(B144,'Locations'!$A$6:$A$453,0))</x:f>
        <x:v>42.7306432345696</x:v>
      </x:c>
      <x:c r="T144" s="46" t="n">
        <x:f>INDEX('Locations'!$E$6:$E$453,MATCH(B144,'Locations'!$A$6:$A$453,0))</x:f>
        <x:v>-73.6817683084322</x:v>
      </x:c>
      <x:c r="U144" s="46" t="n">
        <x:f>INDEX('Locations'!$D$6:$D$453,MATCH(C144,'Locations'!$A$6:$A$453,0))</x:f>
        <x:v>42.730425976589</x:v>
      </x:c>
      <x:c r="V144" s="66" t="n">
        <x:f>INDEX('Locations'!$E$6:$E$453,MATCH(C144,'Locations'!$A$6:$A$453,0))</x:f>
        <x:v>-73.6815725371138</x:v>
      </x:c>
      <x:c r="W144" s="44"/>
    </x:row>
    <x:row r="145" ht="23" customHeight="1">
      <x:c r="A145" s="24" t="s">
        <x:v>747</x:v>
      </x:c>
      <x:c r="B145" s="53" t="s">
        <x:v>303</x:v>
      </x:c>
      <x:c r="C145" s="53" t="s">
        <x:v>298</x:v>
      </x:c>
      <x:c r="D145" s="53" t="s">
        <x:v>606</x:v>
      </x:c>
      <x:c r="E145" s="67" t="n">
        <x:f>2*6371000*ASIN(SQRT(MIN(1,SIN(RADIANS(U145-S145)/2)^2+COS(RADIANS(S145))*COS(RADIANS(U145))*SIN(RADIANS(V145-T145)/2)^2)))</x:f>
        <x:v>30.22849064473051</x:v>
      </x:c>
      <x:c r="F145" s="48" t="s">
        <x:v>67</x:v>
      </x:c>
      <x:c r="G145" s="48" t="s">
        <x:v>66</x:v>
      </x:c>
      <x:c r="H145" s="48" t="s">
        <x:v>66</x:v>
      </x:c>
      <x:c r="I145" s="48" t="s">
        <x:v>66</x:v>
      </x:c>
      <x:c r="J145" s="48" t="s">
        <x:v>66</x:v>
      </x:c>
      <x:c r="K145" s="64"/>
      <x:c r="L145" s="64"/>
      <x:c r="M145" s="50"/>
      <x:c r="N145" s="49"/>
      <x:c r="O145" s="50"/>
      <x:c r="P145" s="50"/>
      <x:c r="Q145" s="32">
        <x:v>141</x:v>
      </x:c>
      <x:c r="R145" s="68"/>
      <x:c r="S145" s="54" t="n">
        <x:f>INDEX('Locations'!$D$6:$D$453,MATCH(B145,'Locations'!$A$6:$A$453,0))</x:f>
        <x:v>42.7306432345696</x:v>
      </x:c>
      <x:c r="T145" s="54" t="n">
        <x:f>INDEX('Locations'!$E$6:$E$453,MATCH(B145,'Locations'!$A$6:$A$453,0))</x:f>
        <x:v>-73.6817683084322</x:v>
      </x:c>
      <x:c r="U145" s="54" t="n">
        <x:f>INDEX('Locations'!$D$6:$D$453,MATCH(C145,'Locations'!$A$6:$A$453,0))</x:f>
        <x:v>42.7303719494721</x:v>
      </x:c>
      <x:c r="V145" s="69" t="n">
        <x:f>INDEX('Locations'!$E$6:$E$453,MATCH(C145,'Locations'!$A$6:$A$453,0))</x:f>
        <x:v>-73.6817444338812</x:v>
      </x:c>
      <x:c r="W145" s="44"/>
    </x:row>
    <x:row r="146" ht="23" customHeight="1">
      <x:c r="A146" s="21" t="s">
        <x:v>748</x:v>
      </x:c>
      <x:c r="B146" s="45" t="s">
        <x:v>296</x:v>
      </x:c>
      <x:c r="C146" s="45" t="s">
        <x:v>298</x:v>
      </x:c>
      <x:c r="D146" s="45" t="s">
        <x:v>606</x:v>
      </x:c>
      <x:c r="E146" s="63" t="n">
        <x:f>2*6371000*ASIN(SQRT(MIN(1,SIN(RADIANS(U146-S146)/2)^2+COS(RADIANS(S146))*COS(RADIANS(U146))*SIN(RADIANS(V146-T146)/2)^2)))</x:f>
        <x:v>21.757499620825055</x:v>
      </x:c>
      <x:c r="F146" s="48" t="s">
        <x:v>67</x:v>
      </x:c>
      <x:c r="G146" s="48" t="s">
        <x:v>66</x:v>
      </x:c>
      <x:c r="H146" s="48" t="s">
        <x:v>66</x:v>
      </x:c>
      <x:c r="I146" s="48" t="s">
        <x:v>66</x:v>
      </x:c>
      <x:c r="J146" s="48" t="s">
        <x:v>66</x:v>
      </x:c>
      <x:c r="K146" s="64"/>
      <x:c r="L146" s="64"/>
      <x:c r="M146" s="50"/>
      <x:c r="N146" s="49"/>
      <x:c r="O146" s="50"/>
      <x:c r="P146" s="50"/>
      <x:c r="Q146" s="30">
        <x:v>142</x:v>
      </x:c>
      <x:c r="R146" s="65"/>
      <x:c r="S146" s="46" t="n">
        <x:f>INDEX('Locations'!$D$6:$D$453,MATCH(B146,'Locations'!$A$6:$A$453,0))</x:f>
        <x:v>42.7301776817539</x:v>
      </x:c>
      <x:c r="T146" s="46" t="n">
        <x:f>INDEX('Locations'!$E$6:$E$453,MATCH(B146,'Locations'!$A$6:$A$453,0))</x:f>
        <x:v>-73.6817126011465</x:v>
      </x:c>
      <x:c r="U146" s="46" t="n">
        <x:f>INDEX('Locations'!$D$6:$D$453,MATCH(C146,'Locations'!$A$6:$A$453,0))</x:f>
        <x:v>42.7303719494721</x:v>
      </x:c>
      <x:c r="V146" s="66" t="n">
        <x:f>INDEX('Locations'!$E$6:$E$453,MATCH(C146,'Locations'!$A$6:$A$453,0))</x:f>
        <x:v>-73.6817444338812</x:v>
      </x:c>
      <x:c r="W146" s="44"/>
    </x:row>
    <x:row r="147" ht="23" customHeight="1">
      <x:c r="A147" s="24" t="s">
        <x:v>749</x:v>
      </x:c>
      <x:c r="B147" s="53" t="s">
        <x:v>289</x:v>
      </x:c>
      <x:c r="C147" s="53" t="s">
        <x:v>303</x:v>
      </x:c>
      <x:c r="D147" s="53" t="s">
        <x:v>606</x:v>
      </x:c>
      <x:c r="E147" s="67" t="n">
        <x:f>2*6371000*ASIN(SQRT(MIN(1,SIN(RADIANS(U147-S147)/2)^2+COS(RADIANS(S147))*COS(RADIANS(U147))*SIN(RADIANS(V147-T147)/2)^2)))</x:f>
        <x:v>49.280524150574955</x:v>
      </x:c>
      <x:c r="F147" s="48" t="s">
        <x:v>67</x:v>
      </x:c>
      <x:c r="G147" s="48" t="s">
        <x:v>66</x:v>
      </x:c>
      <x:c r="H147" s="48" t="s">
        <x:v>66</x:v>
      </x:c>
      <x:c r="I147" s="48" t="s">
        <x:v>66</x:v>
      </x:c>
      <x:c r="J147" s="48" t="s">
        <x:v>66</x:v>
      </x:c>
      <x:c r="K147" s="64"/>
      <x:c r="L147" s="64"/>
      <x:c r="M147" s="50"/>
      <x:c r="N147" s="49"/>
      <x:c r="O147" s="50"/>
      <x:c r="P147" s="50"/>
      <x:c r="Q147" s="32">
        <x:v>143</x:v>
      </x:c>
      <x:c r="R147" s="68"/>
      <x:c r="S147" s="54" t="n">
        <x:f>INDEX('Locations'!$D$6:$D$453,MATCH(B147,'Locations'!$A$6:$A$453,0))</x:f>
        <x:v>42.730609898689</x:v>
      </x:c>
      <x:c r="T147" s="54" t="n">
        <x:f>INDEX('Locations'!$E$6:$E$453,MATCH(B147,'Locations'!$A$6:$A$453,0))</x:f>
        <x:v>-73.6811666697463</x:v>
      </x:c>
      <x:c r="U147" s="54" t="n">
        <x:f>INDEX('Locations'!$D$6:$D$453,MATCH(C147,'Locations'!$A$6:$A$453,0))</x:f>
        <x:v>42.7306432345696</x:v>
      </x:c>
      <x:c r="V147" s="69" t="n">
        <x:f>INDEX('Locations'!$E$6:$E$453,MATCH(C147,'Locations'!$A$6:$A$453,0))</x:f>
        <x:v>-73.6817683084322</x:v>
      </x:c>
      <x:c r="W147" s="44"/>
    </x:row>
    <x:row r="148" ht="23" customHeight="1">
      <x:c r="A148" s="21" t="s">
        <x:v>750</x:v>
      </x:c>
      <x:c r="B148" s="45" t="s">
        <x:v>304</x:v>
      </x:c>
      <x:c r="C148" s="45" t="s">
        <x:v>303</x:v>
      </x:c>
      <x:c r="D148" s="45" t="s">
        <x:v>606</x:v>
      </x:c>
      <x:c r="E148" s="63" t="n">
        <x:f>2*6371000*ASIN(SQRT(MIN(1,SIN(RADIANS(U148-S148)/2)^2+COS(RADIANS(S148))*COS(RADIANS(U148))*SIN(RADIANS(V148-T148)/2)^2)))</x:f>
        <x:v>37.791979137041075</x:v>
      </x:c>
      <x:c r="F148" s="48" t="s">
        <x:v>67</x:v>
      </x:c>
      <x:c r="G148" s="48" t="s">
        <x:v>66</x:v>
      </x:c>
      <x:c r="H148" s="48" t="s">
        <x:v>66</x:v>
      </x:c>
      <x:c r="I148" s="48" t="s">
        <x:v>66</x:v>
      </x:c>
      <x:c r="J148" s="48" t="s">
        <x:v>66</x:v>
      </x:c>
      <x:c r="K148" s="64"/>
      <x:c r="L148" s="64"/>
      <x:c r="M148" s="50"/>
      <x:c r="N148" s="49"/>
      <x:c r="O148" s="50"/>
      <x:c r="P148" s="50"/>
      <x:c r="Q148" s="30">
        <x:v>144</x:v>
      </x:c>
      <x:c r="R148" s="65"/>
      <x:c r="S148" s="46" t="n">
        <x:f>INDEX('Locations'!$D$6:$D$453,MATCH(B148,'Locations'!$A$6:$A$453,0))</x:f>
        <x:v>42.7304144814577</x:v>
      </x:c>
      <x:c r="T148" s="46" t="n">
        <x:f>INDEX('Locations'!$E$6:$E$453,MATCH(B148,'Locations'!$A$6:$A$453,0))</x:f>
        <x:v>-73.6821105103303</x:v>
      </x:c>
      <x:c r="U148" s="46" t="n">
        <x:f>INDEX('Locations'!$D$6:$D$453,MATCH(C148,'Locations'!$A$6:$A$453,0))</x:f>
        <x:v>42.7306432345696</x:v>
      </x:c>
      <x:c r="V148" s="66" t="n">
        <x:f>INDEX('Locations'!$E$6:$E$453,MATCH(C148,'Locations'!$A$6:$A$453,0))</x:f>
        <x:v>-73.6817683084322</x:v>
      </x:c>
      <x:c r="W148" s="44"/>
    </x:row>
    <x:row r="149" ht="23" customHeight="1">
      <x:c r="A149" s="24" t="s">
        <x:v>751</x:v>
      </x:c>
      <x:c r="B149" s="53" t="s">
        <x:v>305</x:v>
      </x:c>
      <x:c r="C149" s="53" t="s">
        <x:v>303</x:v>
      </x:c>
      <x:c r="D149" s="53" t="s">
        <x:v>606</x:v>
      </x:c>
      <x:c r="E149" s="67" t="n">
        <x:f>2*6371000*ASIN(SQRT(MIN(1,SIN(RADIANS(U149-S149)/2)^2+COS(RADIANS(S149))*COS(RADIANS(U149))*SIN(RADIANS(V149-T149)/2)^2)))</x:f>
        <x:v>34.885619724452226</x:v>
      </x:c>
      <x:c r="F149" s="48" t="s">
        <x:v>67</x:v>
      </x:c>
      <x:c r="G149" s="48" t="s">
        <x:v>66</x:v>
      </x:c>
      <x:c r="H149" s="48" t="s">
        <x:v>66</x:v>
      </x:c>
      <x:c r="I149" s="48" t="s">
        <x:v>66</x:v>
      </x:c>
      <x:c r="J149" s="48" t="s">
        <x:v>66</x:v>
      </x:c>
      <x:c r="K149" s="64"/>
      <x:c r="L149" s="64"/>
      <x:c r="M149" s="50"/>
      <x:c r="N149" s="49"/>
      <x:c r="O149" s="50"/>
      <x:c r="P149" s="50"/>
      <x:c r="Q149" s="32">
        <x:v>145</x:v>
      </x:c>
      <x:c r="R149" s="68"/>
      <x:c r="S149" s="54" t="n">
        <x:f>INDEX('Locations'!$D$6:$D$453,MATCH(B149,'Locations'!$A$6:$A$453,0))</x:f>
        <x:v>42.730545525954</x:v>
      </x:c>
      <x:c r="T149" s="54" t="n">
        <x:f>INDEX('Locations'!$E$6:$E$453,MATCH(B149,'Locations'!$A$6:$A$453,0))</x:f>
        <x:v>-73.6821741757997</x:v>
      </x:c>
      <x:c r="U149" s="54" t="n">
        <x:f>INDEX('Locations'!$D$6:$D$453,MATCH(C149,'Locations'!$A$6:$A$453,0))</x:f>
        <x:v>42.7306432345696</x:v>
      </x:c>
      <x:c r="V149" s="69" t="n">
        <x:f>INDEX('Locations'!$E$6:$E$453,MATCH(C149,'Locations'!$A$6:$A$453,0))</x:f>
        <x:v>-73.6817683084322</x:v>
      </x:c>
      <x:c r="W149" s="44"/>
    </x:row>
    <x:row r="150" ht="23" customHeight="1">
      <x:c r="A150" s="21" t="s">
        <x:v>752</x:v>
      </x:c>
      <x:c r="B150" s="45" t="s">
        <x:v>304</x:v>
      </x:c>
      <x:c r="C150" s="45" t="s">
        <x:v>305</x:v>
      </x:c>
      <x:c r="D150" s="45" t="s">
        <x:v>606</x:v>
      </x:c>
      <x:c r="E150" s="63" t="n">
        <x:f>2*6371000*ASIN(SQRT(MIN(1,SIN(RADIANS(U150-S150)/2)^2+COS(RADIANS(S150))*COS(RADIANS(U150))*SIN(RADIANS(V150-T150)/2)^2)))</x:f>
        <x:v>15.471562931164394</x:v>
      </x:c>
      <x:c r="F150" s="48" t="s">
        <x:v>67</x:v>
      </x:c>
      <x:c r="G150" s="48" t="s">
        <x:v>66</x:v>
      </x:c>
      <x:c r="H150" s="48" t="s">
        <x:v>66</x:v>
      </x:c>
      <x:c r="I150" s="48" t="s">
        <x:v>66</x:v>
      </x:c>
      <x:c r="J150" s="48" t="s">
        <x:v>66</x:v>
      </x:c>
      <x:c r="K150" s="64"/>
      <x:c r="L150" s="64"/>
      <x:c r="M150" s="50"/>
      <x:c r="N150" s="49"/>
      <x:c r="O150" s="50"/>
      <x:c r="P150" s="50"/>
      <x:c r="Q150" s="30">
        <x:v>146</x:v>
      </x:c>
      <x:c r="R150" s="65"/>
      <x:c r="S150" s="46" t="n">
        <x:f>INDEX('Locations'!$D$6:$D$453,MATCH(B150,'Locations'!$A$6:$A$453,0))</x:f>
        <x:v>42.7304144814577</x:v>
      </x:c>
      <x:c r="T150" s="46" t="n">
        <x:f>INDEX('Locations'!$E$6:$E$453,MATCH(B150,'Locations'!$A$6:$A$453,0))</x:f>
        <x:v>-73.6821105103303</x:v>
      </x:c>
      <x:c r="U150" s="46" t="n">
        <x:f>INDEX('Locations'!$D$6:$D$453,MATCH(C150,'Locations'!$A$6:$A$453,0))</x:f>
        <x:v>42.730545525954</x:v>
      </x:c>
      <x:c r="V150" s="66" t="n">
        <x:f>INDEX('Locations'!$E$6:$E$453,MATCH(C150,'Locations'!$A$6:$A$453,0))</x:f>
        <x:v>-73.6821741757997</x:v>
      </x:c>
      <x:c r="W150" s="44"/>
    </x:row>
    <x:row r="151" ht="23" customHeight="1">
      <x:c r="A151" s="24" t="s">
        <x:v>753</x:v>
      </x:c>
      <x:c r="B151" s="53" t="s">
        <x:v>306</x:v>
      </x:c>
      <x:c r="C151" s="53" t="s">
        <x:v>305</x:v>
      </x:c>
      <x:c r="D151" s="53" t="s">
        <x:v>606</x:v>
      </x:c>
      <x:c r="E151" s="67" t="n">
        <x:f>2*6371000*ASIN(SQRT(MIN(1,SIN(RADIANS(U151-S151)/2)^2+COS(RADIANS(S151))*COS(RADIANS(U151))*SIN(RADIANS(V151-T151)/2)^2)))</x:f>
        <x:v>42.08355401014065</x:v>
      </x:c>
      <x:c r="F151" s="48" t="s">
        <x:v>67</x:v>
      </x:c>
      <x:c r="G151" s="48" t="s">
        <x:v>66</x:v>
      </x:c>
      <x:c r="H151" s="48" t="s">
        <x:v>66</x:v>
      </x:c>
      <x:c r="I151" s="48" t="s">
        <x:v>66</x:v>
      </x:c>
      <x:c r="J151" s="48" t="s">
        <x:v>66</x:v>
      </x:c>
      <x:c r="K151" s="64"/>
      <x:c r="L151" s="64"/>
      <x:c r="M151" s="50"/>
      <x:c r="N151" s="49"/>
      <x:c r="O151" s="50"/>
      <x:c r="P151" s="50"/>
      <x:c r="Q151" s="32">
        <x:v>147</x:v>
      </x:c>
      <x:c r="R151" s="68"/>
      <x:c r="S151" s="54" t="n">
        <x:f>INDEX('Locations'!$D$6:$D$453,MATCH(B151,'Locations'!$A$6:$A$453,0))</x:f>
        <x:v>42.7304489668515</x:v>
      </x:c>
      <x:c r="T151" s="54" t="n">
        <x:f>INDEX('Locations'!$E$6:$E$453,MATCH(B151,'Locations'!$A$6:$A$453,0))</x:f>
        <x:v>-73.6826723580979</x:v>
      </x:c>
      <x:c r="U151" s="54" t="n">
        <x:f>INDEX('Locations'!$D$6:$D$453,MATCH(C151,'Locations'!$A$6:$A$453,0))</x:f>
        <x:v>42.730545525954</x:v>
      </x:c>
      <x:c r="V151" s="69" t="n">
        <x:f>INDEX('Locations'!$E$6:$E$453,MATCH(C151,'Locations'!$A$6:$A$453,0))</x:f>
        <x:v>-73.6821741757997</x:v>
      </x:c>
      <x:c r="W151" s="44"/>
    </x:row>
    <x:row r="152" ht="23" customHeight="1">
      <x:c r="A152" s="21" t="s">
        <x:v>754</x:v>
      </x:c>
      <x:c r="B152" s="45" t="s">
        <x:v>307</x:v>
      </x:c>
      <x:c r="C152" s="45" t="s">
        <x:v>304</x:v>
      </x:c>
      <x:c r="D152" s="45" t="s">
        <x:v>606</x:v>
      </x:c>
      <x:c r="E152" s="63" t="n">
        <x:f>2*6371000*ASIN(SQRT(MIN(1,SIN(RADIANS(U152-S152)/2)^2+COS(RADIANS(S152))*COS(RADIANS(U152))*SIN(RADIANS(V152-T152)/2)^2)))</x:f>
        <x:v>24.639679039122527</x:v>
      </x:c>
      <x:c r="F152" s="48" t="s">
        <x:v>67</x:v>
      </x:c>
      <x:c r="G152" s="48" t="s">
        <x:v>66</x:v>
      </x:c>
      <x:c r="H152" s="48" t="s">
        <x:v>66</x:v>
      </x:c>
      <x:c r="I152" s="48" t="s">
        <x:v>66</x:v>
      </x:c>
      <x:c r="J152" s="48" t="s">
        <x:v>66</x:v>
      </x:c>
      <x:c r="K152" s="64"/>
      <x:c r="L152" s="64"/>
      <x:c r="M152" s="50"/>
      <x:c r="N152" s="49"/>
      <x:c r="O152" s="50"/>
      <x:c r="P152" s="50"/>
      <x:c r="Q152" s="30">
        <x:v>148</x:v>
      </x:c>
      <x:c r="R152" s="65"/>
      <x:c r="S152" s="46" t="n">
        <x:f>INDEX('Locations'!$D$6:$D$453,MATCH(B152,'Locations'!$A$6:$A$453,0))</x:f>
        <x:v>42.7302374564364</x:v>
      </x:c>
      <x:c r="T152" s="46" t="n">
        <x:f>INDEX('Locations'!$E$6:$E$453,MATCH(B152,'Locations'!$A$6:$A$453,0))</x:f>
        <x:v>-73.6822919569181</x:v>
      </x:c>
      <x:c r="U152" s="46" t="n">
        <x:f>INDEX('Locations'!$D$6:$D$453,MATCH(C152,'Locations'!$A$6:$A$453,0))</x:f>
        <x:v>42.7304144814577</x:v>
      </x:c>
      <x:c r="V152" s="66" t="n">
        <x:f>INDEX('Locations'!$E$6:$E$453,MATCH(C152,'Locations'!$A$6:$A$453,0))</x:f>
        <x:v>-73.6821105103303</x:v>
      </x:c>
      <x:c r="W152" s="44"/>
    </x:row>
    <x:row r="153" ht="23" customHeight="1">
      <x:c r="A153" s="24" t="s">
        <x:v>755</x:v>
      </x:c>
      <x:c r="B153" s="53" t="s">
        <x:v>306</x:v>
      </x:c>
      <x:c r="C153" s="53" t="s">
        <x:v>307</x:v>
      </x:c>
      <x:c r="D153" s="53" t="s">
        <x:v>606</x:v>
      </x:c>
      <x:c r="E153" s="67" t="n">
        <x:f>2*6371000*ASIN(SQRT(MIN(1,SIN(RADIANS(U153-S153)/2)^2+COS(RADIANS(S153))*COS(RADIANS(U153))*SIN(RADIANS(V153-T153)/2)^2)))</x:f>
        <x:v>38.96829161104012</x:v>
      </x:c>
      <x:c r="F153" s="48" t="s">
        <x:v>67</x:v>
      </x:c>
      <x:c r="G153" s="48" t="s">
        <x:v>66</x:v>
      </x:c>
      <x:c r="H153" s="48" t="s">
        <x:v>66</x:v>
      </x:c>
      <x:c r="I153" s="48" t="s">
        <x:v>66</x:v>
      </x:c>
      <x:c r="J153" s="48" t="s">
        <x:v>66</x:v>
      </x:c>
      <x:c r="K153" s="64"/>
      <x:c r="L153" s="64"/>
      <x:c r="M153" s="50"/>
      <x:c r="N153" s="49"/>
      <x:c r="O153" s="50"/>
      <x:c r="P153" s="50"/>
      <x:c r="Q153" s="32">
        <x:v>149</x:v>
      </x:c>
      <x:c r="R153" s="68"/>
      <x:c r="S153" s="54" t="n">
        <x:f>INDEX('Locations'!$D$6:$D$453,MATCH(B153,'Locations'!$A$6:$A$453,0))</x:f>
        <x:v>42.7304489668515</x:v>
      </x:c>
      <x:c r="T153" s="54" t="n">
        <x:f>INDEX('Locations'!$E$6:$E$453,MATCH(B153,'Locations'!$A$6:$A$453,0))</x:f>
        <x:v>-73.6826723580979</x:v>
      </x:c>
      <x:c r="U153" s="54" t="n">
        <x:f>INDEX('Locations'!$D$6:$D$453,MATCH(C153,'Locations'!$A$6:$A$453,0))</x:f>
        <x:v>42.7302374564364</x:v>
      </x:c>
      <x:c r="V153" s="69" t="n">
        <x:f>INDEX('Locations'!$E$6:$E$453,MATCH(C153,'Locations'!$A$6:$A$453,0))</x:f>
        <x:v>-73.6822919569181</x:v>
      </x:c>
      <x:c r="W153" s="44"/>
    </x:row>
    <x:row r="154" ht="23" customHeight="1">
      <x:c r="A154" s="21" t="s">
        <x:v>756</x:v>
      </x:c>
      <x:c r="B154" s="45" t="s">
        <x:v>296</x:v>
      </x:c>
      <x:c r="C154" s="45" t="s">
        <x:v>304</x:v>
      </x:c>
      <x:c r="D154" s="45" t="s">
        <x:v>606</x:v>
      </x:c>
      <x:c r="E154" s="63" t="n">
        <x:f>2*6371000*ASIN(SQRT(MIN(1,SIN(RADIANS(U154-S154)/2)^2+COS(RADIANS(S154))*COS(RADIANS(U154))*SIN(RADIANS(V154-T154)/2)^2)))</x:f>
        <x:v>41.82843979327975</x:v>
      </x:c>
      <x:c r="F154" s="48" t="s">
        <x:v>67</x:v>
      </x:c>
      <x:c r="G154" s="48" t="s">
        <x:v>66</x:v>
      </x:c>
      <x:c r="H154" s="48" t="s">
        <x:v>66</x:v>
      </x:c>
      <x:c r="I154" s="48" t="s">
        <x:v>66</x:v>
      </x:c>
      <x:c r="J154" s="48" t="s">
        <x:v>66</x:v>
      </x:c>
      <x:c r="K154" s="64"/>
      <x:c r="L154" s="64"/>
      <x:c r="M154" s="50"/>
      <x:c r="N154" s="49"/>
      <x:c r="O154" s="50"/>
      <x:c r="P154" s="50"/>
      <x:c r="Q154" s="30">
        <x:v>150</x:v>
      </x:c>
      <x:c r="R154" s="65"/>
      <x:c r="S154" s="46" t="n">
        <x:f>INDEX('Locations'!$D$6:$D$453,MATCH(B154,'Locations'!$A$6:$A$453,0))</x:f>
        <x:v>42.7301776817539</x:v>
      </x:c>
      <x:c r="T154" s="46" t="n">
        <x:f>INDEX('Locations'!$E$6:$E$453,MATCH(B154,'Locations'!$A$6:$A$453,0))</x:f>
        <x:v>-73.6817126011465</x:v>
      </x:c>
      <x:c r="U154" s="46" t="n">
        <x:f>INDEX('Locations'!$D$6:$D$453,MATCH(C154,'Locations'!$A$6:$A$453,0))</x:f>
        <x:v>42.7304144814577</x:v>
      </x:c>
      <x:c r="V154" s="66" t="n">
        <x:f>INDEX('Locations'!$E$6:$E$453,MATCH(C154,'Locations'!$A$6:$A$453,0))</x:f>
        <x:v>-73.6821105103303</x:v>
      </x:c>
      <x:c r="W154" s="44"/>
    </x:row>
    <x:row r="155" ht="23" customHeight="1">
      <x:c r="A155" s="24" t="s">
        <x:v>757</x:v>
      </x:c>
      <x:c r="B155" s="53" t="s">
        <x:v>301</x:v>
      </x:c>
      <x:c r="C155" s="53" t="s">
        <x:v>124</x:v>
      </x:c>
      <x:c r="D155" s="53" t="s">
        <x:v>606</x:v>
      </x:c>
      <x:c r="E155" s="67" t="n">
        <x:f>2*6371000*ASIN(SQRT(MIN(1,SIN(RADIANS(U155-S155)/2)^2+COS(RADIANS(S155))*COS(RADIANS(U155))*SIN(RADIANS(V155-T155)/2)^2)))</x:f>
        <x:v>15.145997138092989</x:v>
      </x:c>
      <x:c r="F155" s="48" t="s">
        <x:v>67</x:v>
      </x:c>
      <x:c r="G155" s="48" t="s">
        <x:v>66</x:v>
      </x:c>
      <x:c r="H155" s="48" t="s">
        <x:v>66</x:v>
      </x:c>
      <x:c r="I155" s="48" t="s">
        <x:v>66</x:v>
      </x:c>
      <x:c r="J155" s="48" t="s">
        <x:v>66</x:v>
      </x:c>
      <x:c r="K155" s="64"/>
      <x:c r="L155" s="64"/>
      <x:c r="M155" s="50"/>
      <x:c r="N155" s="49"/>
      <x:c r="O155" s="50"/>
      <x:c r="P155" s="50"/>
      <x:c r="Q155" s="32">
        <x:v>151</x:v>
      </x:c>
      <x:c r="R155" s="68"/>
      <x:c r="S155" s="54" t="n">
        <x:f>INDEX('Locations'!$D$6:$D$453,MATCH(B155,'Locations'!$A$6:$A$453,0))</x:f>
        <x:v>42.7301466448995</x:v>
      </x:c>
      <x:c r="T155" s="54" t="n">
        <x:f>INDEX('Locations'!$E$6:$E$453,MATCH(B155,'Locations'!$A$6:$A$453,0))</x:f>
        <x:v>-73.6812303352157</x:v>
      </x:c>
      <x:c r="U155" s="54" t="n">
        <x:f>INDEX('Locations'!$D$6:$D$453,MATCH(C155,'Locations'!$A$6:$A$453,0))</x:f>
        <x:v>42.7300180143745</x:v>
      </x:c>
      <x:c r="V155" s="69" t="n">
        <x:f>INDEX('Locations'!$E$6:$E$453,MATCH(C155,'Locations'!$A$6:$A$453,0))</x:f>
        <x:v>-73.6811693363836</x:v>
      </x:c>
      <x:c r="W155" s="44"/>
    </x:row>
    <x:row r="156" ht="23" customHeight="1">
      <x:c r="A156" s="21" t="s">
        <x:v>758</x:v>
      </x:c>
      <x:c r="B156" s="45" t="s">
        <x:v>279</x:v>
      </x:c>
      <x:c r="C156" s="45" t="s">
        <x:v>308</x:v>
      </x:c>
      <x:c r="D156" s="45" t="s">
        <x:v>606</x:v>
      </x:c>
      <x:c r="E156" s="63" t="n">
        <x:f>2*6371000*ASIN(SQRT(MIN(1,SIN(RADIANS(U156-S156)/2)^2+COS(RADIANS(S156))*COS(RADIANS(U156))*SIN(RADIANS(V156-T156)/2)^2)))</x:f>
        <x:v>34.95217400383958</x:v>
      </x:c>
      <x:c r="F156" s="48" t="s">
        <x:v>67</x:v>
      </x:c>
      <x:c r="G156" s="48" t="s">
        <x:v>66</x:v>
      </x:c>
      <x:c r="H156" s="48" t="s">
        <x:v>66</x:v>
      </x:c>
      <x:c r="I156" s="48" t="s">
        <x:v>66</x:v>
      </x:c>
      <x:c r="J156" s="48" t="s">
        <x:v>66</x:v>
      </x:c>
      <x:c r="K156" s="64"/>
      <x:c r="L156" s="64"/>
      <x:c r="M156" s="50"/>
      <x:c r="N156" s="49"/>
      <x:c r="O156" s="50"/>
      <x:c r="P156" s="50"/>
      <x:c r="Q156" s="30">
        <x:v>152</x:v>
      </x:c>
      <x:c r="R156" s="65"/>
      <x:c r="S156" s="46" t="n">
        <x:f>INDEX('Locations'!$D$6:$D$453,MATCH(B156,'Locations'!$A$6:$A$453,0))</x:f>
        <x:v>42.7307524383165</x:v>
      </x:c>
      <x:c r="T156" s="46" t="n">
        <x:f>INDEX('Locations'!$E$6:$E$453,MATCH(B156,'Locations'!$A$6:$A$453,0))</x:f>
        <x:v>-73.6803278771868</x:v>
      </x:c>
      <x:c r="U156" s="46" t="n">
        <x:f>INDEX('Locations'!$D$6:$D$453,MATCH(C156,'Locations'!$A$6:$A$453,0))</x:f>
        <x:v>42.730628290899</x:v>
      </x:c>
      <x:c r="V156" s="66" t="n">
        <x:f>INDEX('Locations'!$E$6:$E$453,MATCH(C156,'Locations'!$A$6:$A$453,0))</x:f>
        <x:v>-73.6807210114604</x:v>
      </x:c>
      <x:c r="W156" s="44"/>
    </x:row>
    <x:row r="157" ht="23" customHeight="1">
      <x:c r="A157" s="24" t="s">
        <x:v>759</x:v>
      </x:c>
      <x:c r="B157" s="53" t="s">
        <x:v>280</x:v>
      </x:c>
      <x:c r="C157" s="53" t="s">
        <x:v>308</x:v>
      </x:c>
      <x:c r="D157" s="53" t="s">
        <x:v>606</x:v>
      </x:c>
      <x:c r="E157" s="67" t="n">
        <x:f>2*6371000*ASIN(SQRT(MIN(1,SIN(RADIANS(U157-S157)/2)^2+COS(RADIANS(S157))*COS(RADIANS(U157))*SIN(RADIANS(V157-T157)/2)^2)))</x:f>
        <x:v>26.365026481715145</x:v>
      </x:c>
      <x:c r="F157" s="48" t="s">
        <x:v>67</x:v>
      </x:c>
      <x:c r="G157" s="48" t="s">
        <x:v>66</x:v>
      </x:c>
      <x:c r="H157" s="48" t="s">
        <x:v>66</x:v>
      </x:c>
      <x:c r="I157" s="48" t="s">
        <x:v>66</x:v>
      </x:c>
      <x:c r="J157" s="48" t="s">
        <x:v>66</x:v>
      </x:c>
      <x:c r="K157" s="64"/>
      <x:c r="L157" s="64"/>
      <x:c r="M157" s="50"/>
      <x:c r="N157" s="49"/>
      <x:c r="O157" s="50"/>
      <x:c r="P157" s="50"/>
      <x:c r="Q157" s="32">
        <x:v>153</x:v>
      </x:c>
      <x:c r="R157" s="68"/>
      <x:c r="S157" s="54" t="n">
        <x:f>INDEX('Locations'!$D$6:$D$453,MATCH(B157,'Locations'!$A$6:$A$453,0))</x:f>
        <x:v>42.7308168110516</x:v>
      </x:c>
      <x:c r="T157" s="54" t="n">
        <x:f>INDEX('Locations'!$E$6:$E$453,MATCH(B157,'Locations'!$A$6:$A$453,0))</x:f>
        <x:v>-73.6809167827789</x:v>
      </x:c>
      <x:c r="U157" s="54" t="n">
        <x:f>INDEX('Locations'!$D$6:$D$453,MATCH(C157,'Locations'!$A$6:$A$453,0))</x:f>
        <x:v>42.730628290899</x:v>
      </x:c>
      <x:c r="V157" s="69" t="n">
        <x:f>INDEX('Locations'!$E$6:$E$453,MATCH(C157,'Locations'!$A$6:$A$453,0))</x:f>
        <x:v>-73.6807210114604</x:v>
      </x:c>
      <x:c r="W157" s="44"/>
    </x:row>
    <x:row r="158" ht="23" customHeight="1">
      <x:c r="A158" s="21" t="s">
        <x:v>760</x:v>
      </x:c>
      <x:c r="B158" s="45" t="s">
        <x:v>278</x:v>
      </x:c>
      <x:c r="C158" s="45" t="s">
        <x:v>308</x:v>
      </x:c>
      <x:c r="D158" s="45" t="s">
        <x:v>606</x:v>
      </x:c>
      <x:c r="E158" s="63" t="n">
        <x:f>2*6371000*ASIN(SQRT(MIN(1,SIN(RADIANS(U158-S158)/2)^2+COS(RADIANS(S158))*COS(RADIANS(U158))*SIN(RADIANS(V158-T158)/2)^2)))</x:f>
        <x:v>31.669434900128543</x:v>
      </x:c>
      <x:c r="F158" s="48" t="s">
        <x:v>67</x:v>
      </x:c>
      <x:c r="G158" s="48" t="s">
        <x:v>66</x:v>
      </x:c>
      <x:c r="H158" s="48" t="s">
        <x:v>66</x:v>
      </x:c>
      <x:c r="I158" s="48" t="s">
        <x:v>66</x:v>
      </x:c>
      <x:c r="J158" s="48" t="s">
        <x:v>66</x:v>
      </x:c>
      <x:c r="K158" s="64"/>
      <x:c r="L158" s="64"/>
      <x:c r="M158" s="50"/>
      <x:c r="N158" s="49"/>
      <x:c r="O158" s="50"/>
      <x:c r="P158" s="50"/>
      <x:c r="Q158" s="30">
        <x:v>154</x:v>
      </x:c>
      <x:c r="R158" s="65"/>
      <x:c r="S158" s="46" t="n">
        <x:f>INDEX('Locations'!$D$6:$D$453,MATCH(B158,'Locations'!$A$6:$A$453,0))</x:f>
        <x:v>42.7303650523933</x:v>
      </x:c>
      <x:c r="T158" s="46" t="n">
        <x:f>INDEX('Locations'!$E$6:$E$453,MATCH(B158,'Locations'!$A$6:$A$453,0))</x:f>
        <x:v>-73.6808690336768</x:v>
      </x:c>
      <x:c r="U158" s="46" t="n">
        <x:f>INDEX('Locations'!$D$6:$D$453,MATCH(C158,'Locations'!$A$6:$A$453,0))</x:f>
        <x:v>42.730628290899</x:v>
      </x:c>
      <x:c r="V158" s="66" t="n">
        <x:f>INDEX('Locations'!$E$6:$E$453,MATCH(C158,'Locations'!$A$6:$A$453,0))</x:f>
        <x:v>-73.6807210114604</x:v>
      </x:c>
      <x:c r="W158" s="44"/>
    </x:row>
    <x:row r="159" ht="23" customHeight="1">
      <x:c r="A159" s="24" t="s">
        <x:v>761</x:v>
      </x:c>
      <x:c r="B159" s="53" t="s">
        <x:v>285</x:v>
      </x:c>
      <x:c r="C159" s="53" t="s">
        <x:v>310</x:v>
      </x:c>
      <x:c r="D159" s="53" t="s">
        <x:v>606</x:v>
      </x:c>
      <x:c r="E159" s="67" t="n">
        <x:f>2*6371000*ASIN(SQRT(MIN(1,SIN(RADIANS(U159-S159)/2)^2+COS(RADIANS(S159))*COS(RADIANS(U159))*SIN(RADIANS(V159-T159)/2)^2)))</x:f>
        <x:v>32.182337591824215</x:v>
      </x:c>
      <x:c r="F159" s="48" t="s">
        <x:v>67</x:v>
      </x:c>
      <x:c r="G159" s="48" t="s">
        <x:v>66</x:v>
      </x:c>
      <x:c r="H159" s="48" t="s">
        <x:v>66</x:v>
      </x:c>
      <x:c r="I159" s="48" t="s">
        <x:v>66</x:v>
      </x:c>
      <x:c r="J159" s="48" t="s">
        <x:v>66</x:v>
      </x:c>
      <x:c r="K159" s="64"/>
      <x:c r="L159" s="64"/>
      <x:c r="M159" s="50"/>
      <x:c r="N159" s="49"/>
      <x:c r="O159" s="50"/>
      <x:c r="P159" s="50"/>
      <x:c r="Q159" s="32">
        <x:v>155</x:v>
      </x:c>
      <x:c r="R159" s="68"/>
      <x:c r="S159" s="54" t="n">
        <x:f>INDEX('Locations'!$D$6:$D$453,MATCH(B159,'Locations'!$A$6:$A$453,0))</x:f>
        <x:v>42.7297902958307</x:v>
      </x:c>
      <x:c r="T159" s="54" t="n">
        <x:f>INDEX('Locations'!$E$6:$E$453,MATCH(B159,'Locations'!$A$6:$A$453,0))</x:f>
        <x:v>-73.6809597569707</x:v>
      </x:c>
      <x:c r="U159" s="54" t="n">
        <x:f>INDEX('Locations'!$D$6:$D$453,MATCH(C159,'Locations'!$A$6:$A$453,0))</x:f>
        <x:v>42.7295063660887</x:v>
      </x:c>
      <x:c r="V159" s="69" t="n">
        <x:f>INDEX('Locations'!$E$6:$E$453,MATCH(C159,'Locations'!$A$6:$A$453,0))</x:f>
        <x:v>-73.681036155534</x:v>
      </x:c>
      <x:c r="W159" s="44"/>
    </x:row>
    <x:row r="160" ht="23" customHeight="1">
      <x:c r="A160" s="21" t="s">
        <x:v>762</x:v>
      </x:c>
      <x:c r="B160" s="45" t="s">
        <x:v>309</x:v>
      </x:c>
      <x:c r="C160" s="45" t="s">
        <x:v>310</x:v>
      </x:c>
      <x:c r="D160" s="45" t="s">
        <x:v>606</x:v>
      </x:c>
      <x:c r="E160" s="63" t="n">
        <x:f>2*6371000*ASIN(SQRT(MIN(1,SIN(RADIANS(U160-S160)/2)^2+COS(RADIANS(S160))*COS(RADIANS(U160))*SIN(RADIANS(V160-T160)/2)^2)))</x:f>
        <x:v>32.45483678256644</x:v>
      </x:c>
      <x:c r="F160" s="48" t="s">
        <x:v>67</x:v>
      </x:c>
      <x:c r="G160" s="48" t="s">
        <x:v>66</x:v>
      </x:c>
      <x:c r="H160" s="48" t="s">
        <x:v>66</x:v>
      </x:c>
      <x:c r="I160" s="48" t="s">
        <x:v>66</x:v>
      </x:c>
      <x:c r="J160" s="48" t="s">
        <x:v>66</x:v>
      </x:c>
      <x:c r="K160" s="64"/>
      <x:c r="L160" s="64"/>
      <x:c r="M160" s="50"/>
      <x:c r="N160" s="49"/>
      <x:c r="O160" s="50"/>
      <x:c r="P160" s="50"/>
      <x:c r="Q160" s="30">
        <x:v>156</x:v>
      </x:c>
      <x:c r="R160" s="65"/>
      <x:c r="S160" s="46" t="n">
        <x:f>INDEX('Locations'!$D$6:$D$453,MATCH(B160,'Locations'!$A$6:$A$453,0))</x:f>
        <x:v>42.7293799196449</x:v>
      </x:c>
      <x:c r="T160" s="46" t="n">
        <x:f>INDEX('Locations'!$E$6:$E$453,MATCH(B160,'Locations'!$A$6:$A$453,0))</x:f>
        <x:v>-73.6813942737994</x:v>
      </x:c>
      <x:c r="U160" s="46" t="n">
        <x:f>INDEX('Locations'!$D$6:$D$453,MATCH(C160,'Locations'!$A$6:$A$453,0))</x:f>
        <x:v>42.7295063660887</x:v>
      </x:c>
      <x:c r="V160" s="66" t="n">
        <x:f>INDEX('Locations'!$E$6:$E$453,MATCH(C160,'Locations'!$A$6:$A$453,0))</x:f>
        <x:v>-73.681036155534</x:v>
      </x:c>
      <x:c r="W160" s="44"/>
    </x:row>
    <x:row r="161" ht="23" customHeight="1">
      <x:c r="A161" s="24" t="s">
        <x:v>763</x:v>
      </x:c>
      <x:c r="B161" s="53" t="s">
        <x:v>140</x:v>
      </x:c>
      <x:c r="C161" s="53" t="s">
        <x:v>310</x:v>
      </x:c>
      <x:c r="D161" s="53" t="s">
        <x:v>606</x:v>
      </x:c>
      <x:c r="E161" s="67" t="n">
        <x:f>2*6371000*ASIN(SQRT(MIN(1,SIN(RADIANS(U161-S161)/2)^2+COS(RADIANS(S161))*COS(RADIANS(U161))*SIN(RADIANS(V161-T161)/2)^2)))</x:f>
        <x:v>70.12640954139859</x:v>
      </x:c>
      <x:c r="F161" s="48" t="s">
        <x:v>67</x:v>
      </x:c>
      <x:c r="G161" s="48" t="s">
        <x:v>66</x:v>
      </x:c>
      <x:c r="H161" s="48" t="s">
        <x:v>66</x:v>
      </x:c>
      <x:c r="I161" s="48" t="s">
        <x:v>66</x:v>
      </x:c>
      <x:c r="J161" s="48" t="s">
        <x:v>66</x:v>
      </x:c>
      <x:c r="K161" s="64"/>
      <x:c r="L161" s="64"/>
      <x:c r="M161" s="50"/>
      <x:c r="N161" s="49"/>
      <x:c r="O161" s="50"/>
      <x:c r="P161" s="50"/>
      <x:c r="Q161" s="32">
        <x:v>157</x:v>
      </x:c>
      <x:c r="R161" s="68"/>
      <x:c r="S161" s="54" t="n">
        <x:f>INDEX('Locations'!$D$6:$D$453,MATCH(B161,'Locations'!$A$6:$A$453,0))</x:f>
        <x:v>42.7296023792144</x:v>
      </x:c>
      <x:c r="T161" s="54" t="n">
        <x:f>INDEX('Locations'!$E$6:$E$453,MATCH(B161,'Locations'!$A$6:$A$453,0))</x:f>
        <x:v>-73.6801876114796</x:v>
      </x:c>
      <x:c r="U161" s="54" t="n">
        <x:f>INDEX('Locations'!$D$6:$D$453,MATCH(C161,'Locations'!$A$6:$A$453,0))</x:f>
        <x:v>42.7295063660887</x:v>
      </x:c>
      <x:c r="V161" s="69" t="n">
        <x:f>INDEX('Locations'!$E$6:$E$453,MATCH(C161,'Locations'!$A$6:$A$453,0))</x:f>
        <x:v>-73.681036155534</x:v>
      </x:c>
      <x:c r="W161" s="44"/>
    </x:row>
    <x:row r="162" ht="23" customHeight="1">
      <x:c r="A162" s="21" t="s">
        <x:v>764</x:v>
      </x:c>
      <x:c r="B162" s="45" t="s">
        <x:v>292</x:v>
      </x:c>
      <x:c r="C162" s="45" t="s">
        <x:v>309</x:v>
      </x:c>
      <x:c r="D162" s="45" t="s">
        <x:v>606</x:v>
      </x:c>
      <x:c r="E162" s="63" t="n">
        <x:f>2*6371000*ASIN(SQRT(MIN(1,SIN(RADIANS(U162-S162)/2)^2+COS(RADIANS(S162))*COS(RADIANS(U162))*SIN(RADIANS(V162-T162)/2)^2)))</x:f>
        <x:v>41.90521350232444</x:v>
      </x:c>
      <x:c r="F162" s="48" t="s">
        <x:v>67</x:v>
      </x:c>
      <x:c r="G162" s="48" t="s">
        <x:v>66</x:v>
      </x:c>
      <x:c r="H162" s="48" t="s">
        <x:v>66</x:v>
      </x:c>
      <x:c r="I162" s="48" t="s">
        <x:v>66</x:v>
      </x:c>
      <x:c r="J162" s="48" t="s">
        <x:v>66</x:v>
      </x:c>
      <x:c r="K162" s="64"/>
      <x:c r="L162" s="64"/>
      <x:c r="M162" s="50"/>
      <x:c r="N162" s="49"/>
      <x:c r="O162" s="50"/>
      <x:c r="P162" s="50"/>
      <x:c r="Q162" s="30">
        <x:v>158</x:v>
      </x:c>
      <x:c r="R162" s="65"/>
      <x:c r="S162" s="46" t="n">
        <x:f>INDEX('Locations'!$D$6:$D$453,MATCH(B162,'Locations'!$A$6:$A$453,0))</x:f>
        <x:v>42.7297247735825</x:v>
      </x:c>
      <x:c r="T162" s="46" t="n">
        <x:f>INDEX('Locations'!$E$6:$E$453,MATCH(B162,'Locations'!$A$6:$A$453,0))</x:f>
        <x:v>-73.681601186575</x:v>
      </x:c>
      <x:c r="U162" s="46" t="n">
        <x:f>INDEX('Locations'!$D$6:$D$453,MATCH(C162,'Locations'!$A$6:$A$453,0))</x:f>
        <x:v>42.7293799196449</x:v>
      </x:c>
      <x:c r="V162" s="66" t="n">
        <x:f>INDEX('Locations'!$E$6:$E$453,MATCH(C162,'Locations'!$A$6:$A$453,0))</x:f>
        <x:v>-73.6813942737994</x:v>
      </x:c>
      <x:c r="W162" s="44"/>
    </x:row>
    <x:row r="163" ht="23" customHeight="1">
      <x:c r="A163" s="24" t="s">
        <x:v>765</x:v>
      </x:c>
      <x:c r="B163" s="53" t="s">
        <x:v>293</x:v>
      </x:c>
      <x:c r="C163" s="53" t="s">
        <x:v>122</x:v>
      </x:c>
      <x:c r="D163" s="53" t="s">
        <x:v>606</x:v>
      </x:c>
      <x:c r="E163" s="67" t="n">
        <x:f>2*6371000*ASIN(SQRT(MIN(1,SIN(RADIANS(U163-S163)/2)^2+COS(RADIANS(S163))*COS(RADIANS(U163))*SIN(RADIANS(V163-T163)/2)^2)))</x:f>
        <x:v>74.69392710067571</x:v>
      </x:c>
      <x:c r="F163" s="48" t="s">
        <x:v>67</x:v>
      </x:c>
      <x:c r="G163" s="48" t="s">
        <x:v>66</x:v>
      </x:c>
      <x:c r="H163" s="48" t="s">
        <x:v>66</x:v>
      </x:c>
      <x:c r="I163" s="48" t="s">
        <x:v>66</x:v>
      </x:c>
      <x:c r="J163" s="48" t="s">
        <x:v>66</x:v>
      </x:c>
      <x:c r="K163" s="64"/>
      <x:c r="L163" s="64"/>
      <x:c r="M163" s="50"/>
      <x:c r="N163" s="49"/>
      <x:c r="O163" s="50"/>
      <x:c r="P163" s="50"/>
      <x:c r="Q163" s="32">
        <x:v>159</x:v>
      </x:c>
      <x:c r="R163" s="68"/>
      <x:c r="S163" s="54" t="n">
        <x:f>INDEX('Locations'!$D$6:$D$453,MATCH(B163,'Locations'!$A$6:$A$453,0))</x:f>
        <x:v>42.7297247735825</x:v>
      </x:c>
      <x:c r="T163" s="54" t="n">
        <x:f>INDEX('Locations'!$E$6:$E$453,MATCH(B163,'Locations'!$A$6:$A$453,0))</x:f>
        <x:v>-73.6817921829833</x:v>
      </x:c>
      <x:c r="U163" s="54" t="n">
        <x:f>INDEX('Locations'!$D$6:$D$453,MATCH(C163,'Locations'!$A$6:$A$453,0))</x:f>
        <x:v>42.7293468233902</x:v>
      </x:c>
      <x:c r="V163" s="69" t="n">
        <x:f>INDEX('Locations'!$E$6:$E$453,MATCH(C163,'Locations'!$A$6:$A$453,0))</x:f>
        <x:v>-73.6825481754256</x:v>
      </x:c>
      <x:c r="W163" s="44"/>
    </x:row>
    <x:row r="164" ht="23" customHeight="1">
      <x:c r="A164" s="21" t="s">
        <x:v>766</x:v>
      </x:c>
      <x:c r="B164" s="45" t="s">
        <x:v>309</x:v>
      </x:c>
      <x:c r="C164" s="45" t="s">
        <x:v>311</x:v>
      </x:c>
      <x:c r="D164" s="45" t="s">
        <x:v>606</x:v>
      </x:c>
      <x:c r="E164" s="63" t="n">
        <x:f>2*6371000*ASIN(SQRT(MIN(1,SIN(RADIANS(U164-S164)/2)^2+COS(RADIANS(S164))*COS(RADIANS(U164))*SIN(RADIANS(V164-T164)/2)^2)))</x:f>
        <x:v>45.50176467332417</x:v>
      </x:c>
      <x:c r="F164" s="48" t="s">
        <x:v>67</x:v>
      </x:c>
      <x:c r="G164" s="48" t="s">
        <x:v>66</x:v>
      </x:c>
      <x:c r="H164" s="48" t="s">
        <x:v>66</x:v>
      </x:c>
      <x:c r="I164" s="48" t="s">
        <x:v>66</x:v>
      </x:c>
      <x:c r="J164" s="48" t="s">
        <x:v>66</x:v>
      </x:c>
      <x:c r="K164" s="64"/>
      <x:c r="L164" s="64"/>
      <x:c r="M164" s="50"/>
      <x:c r="N164" s="49"/>
      <x:c r="O164" s="50"/>
      <x:c r="P164" s="50"/>
      <x:c r="Q164" s="30">
        <x:v>160</x:v>
      </x:c>
      <x:c r="R164" s="65"/>
      <x:c r="S164" s="46" t="n">
        <x:f>INDEX('Locations'!$D$6:$D$453,MATCH(B164,'Locations'!$A$6:$A$453,0))</x:f>
        <x:v>42.7293799196449</x:v>
      </x:c>
      <x:c r="T164" s="46" t="n">
        <x:f>INDEX('Locations'!$E$6:$E$453,MATCH(B164,'Locations'!$A$6:$A$453,0))</x:f>
        <x:v>-73.6813942737994</x:v>
      </x:c>
      <x:c r="U164" s="46" t="n">
        <x:f>INDEX('Locations'!$D$6:$D$453,MATCH(C164,'Locations'!$A$6:$A$453,0))</x:f>
        <x:v>42.7293799196449</x:v>
      </x:c>
      <x:c r="V164" s="66" t="n">
        <x:f>INDEX('Locations'!$E$6:$E$453,MATCH(C164,'Locations'!$A$6:$A$453,0))</x:f>
        <x:v>-73.6819513466568</x:v>
      </x:c>
      <x:c r="W164" s="44"/>
    </x:row>
    <x:row r="165" ht="23" customHeight="1">
      <x:c r="A165" s="24" t="s">
        <x:v>767</x:v>
      </x:c>
      <x:c r="B165" s="53" t="s">
        <x:v>122</x:v>
      </x:c>
      <x:c r="C165" s="53" t="s">
        <x:v>311</x:v>
      </x:c>
      <x:c r="D165" s="53" t="s">
        <x:v>606</x:v>
      </x:c>
      <x:c r="E165" s="67" t="n">
        <x:f>2*6371000*ASIN(SQRT(MIN(1,SIN(RADIANS(U165-S165)/2)^2+COS(RADIANS(S165))*COS(RADIANS(U165))*SIN(RADIANS(V165-T165)/2)^2)))</x:f>
        <x:v>48.88775637495935</x:v>
      </x:c>
      <x:c r="F165" s="48" t="s">
        <x:v>67</x:v>
      </x:c>
      <x:c r="G165" s="48" t="s">
        <x:v>66</x:v>
      </x:c>
      <x:c r="H165" s="48" t="s">
        <x:v>66</x:v>
      </x:c>
      <x:c r="I165" s="48" t="s">
        <x:v>66</x:v>
      </x:c>
      <x:c r="J165" s="48" t="s">
        <x:v>66</x:v>
      </x:c>
      <x:c r="K165" s="64"/>
      <x:c r="L165" s="64"/>
      <x:c r="M165" s="50"/>
      <x:c r="N165" s="49"/>
      <x:c r="O165" s="50"/>
      <x:c r="P165" s="50"/>
      <x:c r="Q165" s="32">
        <x:v>161</x:v>
      </x:c>
      <x:c r="R165" s="68"/>
      <x:c r="S165" s="54" t="n">
        <x:f>INDEX('Locations'!$D$6:$D$453,MATCH(B165,'Locations'!$A$6:$A$453,0))</x:f>
        <x:v>42.7293468233902</x:v>
      </x:c>
      <x:c r="T165" s="54" t="n">
        <x:f>INDEX('Locations'!$E$6:$E$453,MATCH(B165,'Locations'!$A$6:$A$453,0))</x:f>
        <x:v>-73.6825481754256</x:v>
      </x:c>
      <x:c r="U165" s="54" t="n">
        <x:f>INDEX('Locations'!$D$6:$D$453,MATCH(C165,'Locations'!$A$6:$A$453,0))</x:f>
        <x:v>42.7293799196449</x:v>
      </x:c>
      <x:c r="V165" s="69" t="n">
        <x:f>INDEX('Locations'!$E$6:$E$453,MATCH(C165,'Locations'!$A$6:$A$453,0))</x:f>
        <x:v>-73.6819513466568</x:v>
      </x:c>
      <x:c r="W165" s="44"/>
    </x:row>
    <x:row r="166" ht="23" customHeight="1">
      <x:c r="A166" s="21" t="s">
        <x:v>768</x:v>
      </x:c>
      <x:c r="B166" s="45" t="s">
        <x:v>198</x:v>
      </x:c>
      <x:c r="C166" s="45" t="s">
        <x:v>311</x:v>
      </x:c>
      <x:c r="D166" s="45" t="s">
        <x:v>606</x:v>
      </x:c>
      <x:c r="E166" s="63" t="n">
        <x:f>2*6371000*ASIN(SQRT(MIN(1,SIN(RADIANS(U166-S166)/2)^2+COS(RADIANS(S166))*COS(RADIANS(U166))*SIN(RADIANS(V166-T166)/2)^2)))</x:f>
        <x:v>14.905920366049136</x:v>
      </x:c>
      <x:c r="F166" s="48" t="s">
        <x:v>67</x:v>
      </x:c>
      <x:c r="G166" s="48" t="s">
        <x:v>66</x:v>
      </x:c>
      <x:c r="H166" s="48" t="s">
        <x:v>66</x:v>
      </x:c>
      <x:c r="I166" s="48" t="s">
        <x:v>66</x:v>
      </x:c>
      <x:c r="J166" s="48" t="s">
        <x:v>66</x:v>
      </x:c>
      <x:c r="K166" s="64"/>
      <x:c r="L166" s="64"/>
      <x:c r="M166" s="50"/>
      <x:c r="N166" s="49"/>
      <x:c r="O166" s="50"/>
      <x:c r="P166" s="50"/>
      <x:c r="Q166" s="30">
        <x:v>162</x:v>
      </x:c>
      <x:c r="R166" s="65"/>
      <x:c r="S166" s="46" t="n">
        <x:f>INDEX('Locations'!$D$6:$D$453,MATCH(B166,'Locations'!$A$6:$A$453,0))</x:f>
        <x:v>42.7292472880867</x:v>
      </x:c>
      <x:c r="T166" s="46" t="n">
        <x:f>INDEX('Locations'!$E$6:$E$453,MATCH(B166,'Locations'!$A$6:$A$453,0))</x:f>
        <x:v>-73.6819248492686</x:v>
      </x:c>
      <x:c r="U166" s="46" t="n">
        <x:f>INDEX('Locations'!$D$6:$D$453,MATCH(C166,'Locations'!$A$6:$A$453,0))</x:f>
        <x:v>42.7293799196449</x:v>
      </x:c>
      <x:c r="V166" s="66" t="n">
        <x:f>INDEX('Locations'!$E$6:$E$453,MATCH(C166,'Locations'!$A$6:$A$453,0))</x:f>
        <x:v>-73.6819513466568</x:v>
      </x:c>
      <x:c r="W166" s="44"/>
    </x:row>
    <x:row r="167" ht="23" customHeight="1">
      <x:c r="A167" s="24" t="s">
        <x:v>769</x:v>
      </x:c>
      <x:c r="B167" s="53" t="s">
        <x:v>268</x:v>
      </x:c>
      <x:c r="C167" s="53" t="s">
        <x:v>313</x:v>
      </x:c>
      <x:c r="D167" s="53" t="s">
        <x:v>606</x:v>
      </x:c>
      <x:c r="E167" s="67" t="n">
        <x:f>2*6371000*ASIN(SQRT(MIN(1,SIN(RADIANS(U167-S167)/2)^2+COS(RADIANS(S167))*COS(RADIANS(U167))*SIN(RADIANS(V167-T167)/2)^2)))</x:f>
        <x:v>13.442268418118863</x:v>
      </x:c>
      <x:c r="F167" s="48" t="s">
        <x:v>67</x:v>
      </x:c>
      <x:c r="G167" s="48" t="s">
        <x:v>66</x:v>
      </x:c>
      <x:c r="H167" s="48" t="s">
        <x:v>66</x:v>
      </x:c>
      <x:c r="I167" s="48" t="s">
        <x:v>66</x:v>
      </x:c>
      <x:c r="J167" s="48" t="s">
        <x:v>66</x:v>
      </x:c>
      <x:c r="K167" s="64"/>
      <x:c r="L167" s="64"/>
      <x:c r="M167" s="50"/>
      <x:c r="N167" s="49"/>
      <x:c r="O167" s="50"/>
      <x:c r="P167" s="50"/>
      <x:c r="Q167" s="32">
        <x:v>163</x:v>
      </x:c>
      <x:c r="R167" s="68"/>
      <x:c r="S167" s="54" t="n">
        <x:f>INDEX('Locations'!$D$6:$D$453,MATCH(B167,'Locations'!$A$6:$A$453,0))</x:f>
        <x:v>42.7295753368762</x:v>
      </x:c>
      <x:c r="T167" s="54" t="n">
        <x:f>INDEX('Locations'!$E$6:$E$453,MATCH(B167,'Locations'!$A$6:$A$453,0))</x:f>
        <x:v>-73.6785929931454</x:v>
      </x:c>
      <x:c r="U167" s="54" t="n">
        <x:f>INDEX('Locations'!$D$6:$D$453,MATCH(C167,'Locations'!$A$6:$A$453,0))</x:f>
        <x:v>42.7295201602462</x:v>
      </x:c>
      <x:c r="V167" s="69" t="n">
        <x:f>INDEX('Locations'!$E$6:$E$453,MATCH(C167,'Locations'!$A$6:$A$453,0))</x:f>
        <x:v>-73.6784465625657</x:v>
      </x:c>
      <x:c r="W167" s="44"/>
    </x:row>
    <x:row r="168" ht="23" customHeight="1">
      <x:c r="A168" s="21" t="s">
        <x:v>770</x:v>
      </x:c>
      <x:c r="B168" s="45" t="s">
        <x:v>269</x:v>
      </x:c>
      <x:c r="C168" s="45" t="s">
        <x:v>315</x:v>
      </x:c>
      <x:c r="D168" s="45" t="s">
        <x:v>606</x:v>
      </x:c>
      <x:c r="E168" s="63" t="n">
        <x:f>2*6371000*ASIN(SQRT(MIN(1,SIN(RADIANS(U168-S168)/2)^2+COS(RADIANS(S168))*COS(RADIANS(U168))*SIN(RADIANS(V168-T168)/2)^2)))</x:f>
        <x:v>22.53395702458585</x:v>
      </x:c>
      <x:c r="F168" s="48" t="s">
        <x:v>67</x:v>
      </x:c>
      <x:c r="G168" s="48" t="s">
        <x:v>66</x:v>
      </x:c>
      <x:c r="H168" s="48" t="s">
        <x:v>66</x:v>
      </x:c>
      <x:c r="I168" s="48" t="s">
        <x:v>66</x:v>
      </x:c>
      <x:c r="J168" s="48" t="s">
        <x:v>66</x:v>
      </x:c>
      <x:c r="K168" s="64"/>
      <x:c r="L168" s="64"/>
      <x:c r="M168" s="50"/>
      <x:c r="N168" s="49"/>
      <x:c r="O168" s="50"/>
      <x:c r="P168" s="50"/>
      <x:c r="Q168" s="30">
        <x:v>164</x:v>
      </x:c>
      <x:c r="R168" s="65"/>
      <x:c r="S168" s="46" t="n">
        <x:f>INDEX('Locations'!$D$6:$D$453,MATCH(B168,'Locations'!$A$6:$A$453,0))</x:f>
        <x:v>42.7293799196449</x:v>
      </x:c>
      <x:c r="T168" s="46" t="n">
        <x:f>INDEX('Locations'!$E$6:$E$453,MATCH(B168,'Locations'!$A$6:$A$453,0))</x:f>
        <x:v>-73.6779722548186</x:v>
      </x:c>
      <x:c r="U168" s="46" t="n">
        <x:f>INDEX('Locations'!$D$6:$D$453,MATCH(C168,'Locations'!$A$6:$A$453,0))</x:f>
        <x:v>42.7294419933537</x:v>
      </x:c>
      <x:c r="V168" s="66" t="n">
        <x:f>INDEX('Locations'!$E$6:$E$453,MATCH(C168,'Locations'!$A$6:$A$453,0))</x:f>
        <x:v>-73.6782348748799</x:v>
      </x:c>
      <x:c r="W168" s="44"/>
    </x:row>
    <x:row r="169" ht="23" customHeight="1">
      <x:c r="A169" s="24" t="s">
        <x:v>771</x:v>
      </x:c>
      <x:c r="B169" s="53" t="s">
        <x:v>313</x:v>
      </x:c>
      <x:c r="C169" s="53" t="s">
        <x:v>315</x:v>
      </x:c>
      <x:c r="D169" s="53" t="s">
        <x:v>606</x:v>
      </x:c>
      <x:c r="E169" s="67" t="n">
        <x:f>2*6371000*ASIN(SQRT(MIN(1,SIN(RADIANS(U169-S169)/2)^2+COS(RADIANS(S169))*COS(RADIANS(U169))*SIN(RADIANS(V169-T169)/2)^2)))</x:f>
        <x:v>19.352339349312974</x:v>
      </x:c>
      <x:c r="F169" s="48" t="s">
        <x:v>67</x:v>
      </x:c>
      <x:c r="G169" s="48" t="s">
        <x:v>66</x:v>
      </x:c>
      <x:c r="H169" s="48" t="s">
        <x:v>66</x:v>
      </x:c>
      <x:c r="I169" s="48" t="s">
        <x:v>66</x:v>
      </x:c>
      <x:c r="J169" s="48" t="s">
        <x:v>66</x:v>
      </x:c>
      <x:c r="K169" s="64"/>
      <x:c r="L169" s="64"/>
      <x:c r="M169" s="50"/>
      <x:c r="N169" s="49"/>
      <x:c r="O169" s="50"/>
      <x:c r="P169" s="50"/>
      <x:c r="Q169" s="32">
        <x:v>165</x:v>
      </x:c>
      <x:c r="R169" s="68"/>
      <x:c r="S169" s="54" t="n">
        <x:f>INDEX('Locations'!$D$6:$D$453,MATCH(B169,'Locations'!$A$6:$A$453,0))</x:f>
        <x:v>42.7295201602462</x:v>
      </x:c>
      <x:c r="T169" s="54" t="n">
        <x:f>INDEX('Locations'!$E$6:$E$453,MATCH(B169,'Locations'!$A$6:$A$453,0))</x:f>
        <x:v>-73.6784465625657</x:v>
      </x:c>
      <x:c r="U169" s="54" t="n">
        <x:f>INDEX('Locations'!$D$6:$D$453,MATCH(C169,'Locations'!$A$6:$A$453,0))</x:f>
        <x:v>42.7294419933537</x:v>
      </x:c>
      <x:c r="V169" s="69" t="n">
        <x:f>INDEX('Locations'!$E$6:$E$453,MATCH(C169,'Locations'!$A$6:$A$453,0))</x:f>
        <x:v>-73.6782348748799</x:v>
      </x:c>
      <x:c r="W169" s="44"/>
    </x:row>
    <x:row r="170" ht="23" customHeight="1">
      <x:c r="A170" s="21" t="s">
        <x:v>772</x:v>
      </x:c>
      <x:c r="B170" s="45" t="s">
        <x:v>180</x:v>
      </x:c>
      <x:c r="C170" s="45" t="s">
        <x:v>315</x:v>
      </x:c>
      <x:c r="D170" s="45" t="s">
        <x:v>606</x:v>
      </x:c>
      <x:c r="E170" s="63" t="n">
        <x:f>2*6371000*ASIN(SQRT(MIN(1,SIN(RADIANS(U170-S170)/2)^2+COS(RADIANS(S170))*COS(RADIANS(U170))*SIN(RADIANS(V170-T170)/2)^2)))</x:f>
        <x:v>26.52287203013155</x:v>
      </x:c>
      <x:c r="F170" s="48" t="s">
        <x:v>67</x:v>
      </x:c>
      <x:c r="G170" s="48" t="s">
        <x:v>66</x:v>
      </x:c>
      <x:c r="H170" s="48" t="s">
        <x:v>66</x:v>
      </x:c>
      <x:c r="I170" s="48" t="s">
        <x:v>66</x:v>
      </x:c>
      <x:c r="J170" s="48" t="s">
        <x:v>66</x:v>
      </x:c>
      <x:c r="K170" s="64"/>
      <x:c r="L170" s="64"/>
      <x:c r="M170" s="50"/>
      <x:c r="N170" s="49"/>
      <x:c r="O170" s="50"/>
      <x:c r="P170" s="50"/>
      <x:c r="Q170" s="30">
        <x:v>166</x:v>
      </x:c>
      <x:c r="R170" s="65"/>
      <x:c r="S170" s="46" t="n">
        <x:f>INDEX('Locations'!$D$6:$D$453,MATCH(B170,'Locations'!$A$6:$A$453,0))</x:f>
        <x:v>42.7292099242771</x:v>
      </x:c>
      <x:c r="T170" s="46" t="n">
        <x:f>INDEX('Locations'!$E$6:$E$453,MATCH(B170,'Locations'!$A$6:$A$453,0))</x:f>
        <x:v>-73.6781598332795</x:v>
      </x:c>
      <x:c r="U170" s="46" t="n">
        <x:f>INDEX('Locations'!$D$6:$D$453,MATCH(C170,'Locations'!$A$6:$A$453,0))</x:f>
        <x:v>42.7294419933537</x:v>
      </x:c>
      <x:c r="V170" s="66" t="n">
        <x:f>INDEX('Locations'!$E$6:$E$453,MATCH(C170,'Locations'!$A$6:$A$453,0))</x:f>
        <x:v>-73.6782348748799</x:v>
      </x:c>
      <x:c r="W170" s="44"/>
    </x:row>
    <x:row r="171" ht="23" customHeight="1">
      <x:c r="A171" s="24" t="s">
        <x:v>773</x:v>
      </x:c>
      <x:c r="B171" s="53" t="s">
        <x:v>313</x:v>
      </x:c>
      <x:c r="C171" s="53" t="s">
        <x:v>314</x:v>
      </x:c>
      <x:c r="D171" s="53" t="s">
        <x:v>606</x:v>
      </x:c>
      <x:c r="E171" s="67" t="n">
        <x:f>2*6371000*ASIN(SQRT(MIN(1,SIN(RADIANS(U171-S171)/2)^2+COS(RADIANS(S171))*COS(RADIANS(U171))*SIN(RADIANS(V171-T171)/2)^2)))</x:f>
        <x:v>58.07009348251649</x:v>
      </x:c>
      <x:c r="F171" s="48" t="s">
        <x:v>67</x:v>
      </x:c>
      <x:c r="G171" s="48" t="s">
        <x:v>66</x:v>
      </x:c>
      <x:c r="H171" s="48" t="s">
        <x:v>66</x:v>
      </x:c>
      <x:c r="I171" s="48" t="s">
        <x:v>66</x:v>
      </x:c>
      <x:c r="J171" s="48" t="s">
        <x:v>66</x:v>
      </x:c>
      <x:c r="K171" s="64"/>
      <x:c r="L171" s="64"/>
      <x:c r="M171" s="50"/>
      <x:c r="N171" s="49"/>
      <x:c r="O171" s="50"/>
      <x:c r="P171" s="50"/>
      <x:c r="Q171" s="32">
        <x:v>167</x:v>
      </x:c>
      <x:c r="R171" s="68"/>
      <x:c r="S171" s="54" t="n">
        <x:f>INDEX('Locations'!$D$6:$D$453,MATCH(B171,'Locations'!$A$6:$A$453,0))</x:f>
        <x:v>42.7295201602462</x:v>
      </x:c>
      <x:c r="T171" s="54" t="n">
        <x:f>INDEX('Locations'!$E$6:$E$453,MATCH(B171,'Locations'!$A$6:$A$453,0))</x:f>
        <x:v>-73.6784465625657</x:v>
      </x:c>
      <x:c r="U171" s="54" t="n">
        <x:f>INDEX('Locations'!$D$6:$D$453,MATCH(C171,'Locations'!$A$6:$A$453,0))</x:f>
        <x:v>42.7290005803136</x:v>
      </x:c>
      <x:c r="V171" s="69" t="n">
        <x:f>INDEX('Locations'!$E$6:$E$453,MATCH(C171,'Locations'!$A$6:$A$453,0))</x:f>
        <x:v>-73.6785181862188</x:v>
      </x:c>
      <x:c r="W171" s="44"/>
    </x:row>
    <x:row r="172" ht="23" customHeight="1">
      <x:c r="A172" s="21" t="s">
        <x:v>774</x:v>
      </x:c>
      <x:c r="B172" s="45" t="s">
        <x:v>316</x:v>
      </x:c>
      <x:c r="C172" s="45" t="s">
        <x:v>314</x:v>
      </x:c>
      <x:c r="D172" s="45" t="s">
        <x:v>606</x:v>
      </x:c>
      <x:c r="E172" s="63" t="n">
        <x:f>2*6371000*ASIN(SQRT(MIN(1,SIN(RADIANS(U172-S172)/2)^2+COS(RADIANS(S172))*COS(RADIANS(U172))*SIN(RADIANS(V172-T172)/2)^2)))</x:f>
        <x:v>54.75811823122178</x:v>
      </x:c>
      <x:c r="F172" s="48" t="s">
        <x:v>67</x:v>
      </x:c>
      <x:c r="G172" s="48" t="s">
        <x:v>66</x:v>
      </x:c>
      <x:c r="H172" s="48" t="s">
        <x:v>66</x:v>
      </x:c>
      <x:c r="I172" s="48" t="s">
        <x:v>66</x:v>
      </x:c>
      <x:c r="J172" s="48" t="s">
        <x:v>66</x:v>
      </x:c>
      <x:c r="K172" s="64"/>
      <x:c r="L172" s="64"/>
      <x:c r="M172" s="50"/>
      <x:c r="N172" s="49"/>
      <x:c r="O172" s="50"/>
      <x:c r="P172" s="50"/>
      <x:c r="Q172" s="30">
        <x:v>168</x:v>
      </x:c>
      <x:c r="R172" s="65"/>
      <x:c r="S172" s="46" t="n">
        <x:f>INDEX('Locations'!$D$6:$D$453,MATCH(B172,'Locations'!$A$6:$A$453,0))</x:f>
        <x:v>42.7285177848009</x:v>
      </x:c>
      <x:c r="T172" s="46" t="n">
        <x:f>INDEX('Locations'!$E$6:$E$453,MATCH(B172,'Locations'!$A$6:$A$453,0))</x:f>
        <x:v>-73.6786502920678</x:v>
      </x:c>
      <x:c r="U172" s="46" t="n">
        <x:f>INDEX('Locations'!$D$6:$D$453,MATCH(C172,'Locations'!$A$6:$A$453,0))</x:f>
        <x:v>42.7290005803136</x:v>
      </x:c>
      <x:c r="V172" s="66" t="n">
        <x:f>INDEX('Locations'!$E$6:$E$453,MATCH(C172,'Locations'!$A$6:$A$453,0))</x:f>
        <x:v>-73.6785181862188</x:v>
      </x:c>
      <x:c r="W172" s="44"/>
    </x:row>
    <x:row r="173" ht="23" customHeight="1">
      <x:c r="A173" s="24" t="s">
        <x:v>775</x:v>
      </x:c>
      <x:c r="B173" s="53" t="s">
        <x:v>317</x:v>
      </x:c>
      <x:c r="C173" s="53" t="s">
        <x:v>316</x:v>
      </x:c>
      <x:c r="D173" s="53" t="s">
        <x:v>606</x:v>
      </x:c>
      <x:c r="E173" s="67" t="n">
        <x:f>2*6371000*ASIN(SQRT(MIN(1,SIN(RADIANS(U173-S173)/2)^2+COS(RADIANS(S173))*COS(RADIANS(U173))*SIN(RADIANS(V173-T173)/2)^2)))</x:f>
        <x:v>101.98793227278566</x:v>
      </x:c>
      <x:c r="F173" s="48" t="s">
        <x:v>67</x:v>
      </x:c>
      <x:c r="G173" s="48" t="s">
        <x:v>66</x:v>
      </x:c>
      <x:c r="H173" s="48" t="s">
        <x:v>66</x:v>
      </x:c>
      <x:c r="I173" s="48" t="s">
        <x:v>66</x:v>
      </x:c>
      <x:c r="J173" s="48" t="s">
        <x:v>66</x:v>
      </x:c>
      <x:c r="K173" s="64"/>
      <x:c r="L173" s="64"/>
      <x:c r="M173" s="50"/>
      <x:c r="N173" s="49"/>
      <x:c r="O173" s="50"/>
      <x:c r="P173" s="50"/>
      <x:c r="Q173" s="32">
        <x:v>169</x:v>
      </x:c>
      <x:c r="R173" s="68"/>
      <x:c r="S173" s="54" t="n">
        <x:f>INDEX('Locations'!$D$6:$D$453,MATCH(B173,'Locations'!$A$6:$A$453,0))</x:f>
        <x:v>42.7286672215072</x:v>
      </x:c>
      <x:c r="T173" s="54" t="n">
        <x:f>INDEX('Locations'!$E$6:$E$453,MATCH(B173,'Locations'!$A$6:$A$453,0))</x:f>
        <x:v>-73.6798822189009</x:v>
      </x:c>
      <x:c r="U173" s="54" t="n">
        <x:f>INDEX('Locations'!$D$6:$D$453,MATCH(C173,'Locations'!$A$6:$A$453,0))</x:f>
        <x:v>42.7285177848009</x:v>
      </x:c>
      <x:c r="V173" s="69" t="n">
        <x:f>INDEX('Locations'!$E$6:$E$453,MATCH(C173,'Locations'!$A$6:$A$453,0))</x:f>
        <x:v>-73.6786502920678</x:v>
      </x:c>
      <x:c r="W173" s="44"/>
    </x:row>
    <x:row r="174" ht="23" customHeight="1">
      <x:c r="A174" s="21" t="s">
        <x:v>776</x:v>
      </x:c>
      <x:c r="B174" s="45" t="s">
        <x:v>309</x:v>
      </x:c>
      <x:c r="C174" s="45" t="s">
        <x:v>318</x:v>
      </x:c>
      <x:c r="D174" s="45" t="s">
        <x:v>606</x:v>
      </x:c>
      <x:c r="E174" s="63" t="n">
        <x:f>2*6371000*ASIN(SQRT(MIN(1,SIN(RADIANS(U174-S174)/2)^2+COS(RADIANS(S174))*COS(RADIANS(U174))*SIN(RADIANS(V174-T174)/2)^2)))</x:f>
        <x:v>36.38813756124369</x:v>
      </x:c>
      <x:c r="F174" s="48" t="s">
        <x:v>67</x:v>
      </x:c>
      <x:c r="G174" s="48" t="s">
        <x:v>66</x:v>
      </x:c>
      <x:c r="H174" s="48" t="s">
        <x:v>66</x:v>
      </x:c>
      <x:c r="I174" s="48" t="s">
        <x:v>66</x:v>
      </x:c>
      <x:c r="J174" s="48" t="s">
        <x:v>66</x:v>
      </x:c>
      <x:c r="K174" s="64"/>
      <x:c r="L174" s="64"/>
      <x:c r="M174" s="50"/>
      <x:c r="N174" s="49"/>
      <x:c r="O174" s="50"/>
      <x:c r="P174" s="50"/>
      <x:c r="Q174" s="30">
        <x:v>170</x:v>
      </x:c>
      <x:c r="R174" s="65"/>
      <x:c r="S174" s="46" t="n">
        <x:f>INDEX('Locations'!$D$6:$D$453,MATCH(B174,'Locations'!$A$6:$A$453,0))</x:f>
        <x:v>42.7293799196449</x:v>
      </x:c>
      <x:c r="T174" s="46" t="n">
        <x:f>INDEX('Locations'!$E$6:$E$453,MATCH(B174,'Locations'!$A$6:$A$453,0))</x:f>
        <x:v>-73.6813942737994</x:v>
      </x:c>
      <x:c r="U174" s="46" t="n">
        <x:f>INDEX('Locations'!$D$6:$D$453,MATCH(C174,'Locations'!$A$6:$A$453,0))</x:f>
        <x:v>42.7290810462323</x:v>
      </x:c>
      <x:c r="V174" s="66" t="n">
        <x:f>INDEX('Locations'!$E$6:$E$453,MATCH(C174,'Locations'!$A$6:$A$453,0))</x:f>
        <x:v>-73.6812128272116</x:v>
      </x:c>
      <x:c r="W174" s="44"/>
    </x:row>
    <x:row r="175" ht="23" customHeight="1">
      <x:c r="A175" s="24" t="s">
        <x:v>777</x:v>
      </x:c>
      <x:c r="B175" s="53" t="s">
        <x:v>319</x:v>
      </x:c>
      <x:c r="C175" s="53" t="s">
        <x:v>318</x:v>
      </x:c>
      <x:c r="D175" s="53" t="s">
        <x:v>606</x:v>
      </x:c>
      <x:c r="E175" s="67" t="n">
        <x:f>2*6371000*ASIN(SQRT(MIN(1,SIN(RADIANS(U175-S175)/2)^2+COS(RADIANS(S175))*COS(RADIANS(U175))*SIN(RADIANS(V175-T175)/2)^2)))</x:f>
        <x:v>41.197862552348965</x:v>
      </x:c>
      <x:c r="F175" s="48" t="s">
        <x:v>67</x:v>
      </x:c>
      <x:c r="G175" s="48" t="s">
        <x:v>66</x:v>
      </x:c>
      <x:c r="H175" s="48" t="s">
        <x:v>66</x:v>
      </x:c>
      <x:c r="I175" s="48" t="s">
        <x:v>66</x:v>
      </x:c>
      <x:c r="J175" s="48" t="s">
        <x:v>66</x:v>
      </x:c>
      <x:c r="K175" s="64"/>
      <x:c r="L175" s="64"/>
      <x:c r="M175" s="50"/>
      <x:c r="N175" s="49"/>
      <x:c r="O175" s="50"/>
      <x:c r="P175" s="50"/>
      <x:c r="Q175" s="32">
        <x:v>171</x:v>
      </x:c>
      <x:c r="R175" s="68"/>
      <x:c r="S175" s="54" t="n">
        <x:f>INDEX('Locations'!$D$6:$D$453,MATCH(B175,'Locations'!$A$6:$A$453,0))</x:f>
        <x:v>42.7289764405379</x:v>
      </x:c>
      <x:c r="T175" s="54" t="n">
        <x:f>INDEX('Locations'!$E$6:$E$453,MATCH(B175,'Locations'!$A$6:$A$453,0))</x:f>
        <x:v>-73.6816966847791</x:v>
      </x:c>
      <x:c r="U175" s="54" t="n">
        <x:f>INDEX('Locations'!$D$6:$D$453,MATCH(C175,'Locations'!$A$6:$A$453,0))</x:f>
        <x:v>42.7290810462323</x:v>
      </x:c>
      <x:c r="V175" s="69" t="n">
        <x:f>INDEX('Locations'!$E$6:$E$453,MATCH(C175,'Locations'!$A$6:$A$453,0))</x:f>
        <x:v>-73.6812128272116</x:v>
      </x:c>
      <x:c r="W175" s="44"/>
    </x:row>
    <x:row r="176" ht="23" customHeight="1">
      <x:c r="A176" s="21" t="s">
        <x:v>778</x:v>
      </x:c>
      <x:c r="B176" s="45" t="s">
        <x:v>198</x:v>
      </x:c>
      <x:c r="C176" s="45" t="s">
        <x:v>319</x:v>
      </x:c>
      <x:c r="D176" s="45" t="s">
        <x:v>606</x:v>
      </x:c>
      <x:c r="E176" s="63" t="n">
        <x:f>2*6371000*ASIN(SQRT(MIN(1,SIN(RADIANS(U176-S176)/2)^2+COS(RADIANS(S176))*COS(RADIANS(U176))*SIN(RADIANS(V176-T176)/2)^2)))</x:f>
        <x:v>35.416777086327635</x:v>
      </x:c>
      <x:c r="F176" s="48" t="s">
        <x:v>67</x:v>
      </x:c>
      <x:c r="G176" s="48" t="s">
        <x:v>66</x:v>
      </x:c>
      <x:c r="H176" s="48" t="s">
        <x:v>66</x:v>
      </x:c>
      <x:c r="I176" s="48" t="s">
        <x:v>66</x:v>
      </x:c>
      <x:c r="J176" s="48" t="s">
        <x:v>66</x:v>
      </x:c>
      <x:c r="K176" s="64"/>
      <x:c r="L176" s="64"/>
      <x:c r="M176" s="50"/>
      <x:c r="N176" s="49"/>
      <x:c r="O176" s="50"/>
      <x:c r="P176" s="50"/>
      <x:c r="Q176" s="30">
        <x:v>172</x:v>
      </x:c>
      <x:c r="R176" s="65"/>
      <x:c r="S176" s="46" t="n">
        <x:f>INDEX('Locations'!$D$6:$D$453,MATCH(B176,'Locations'!$A$6:$A$453,0))</x:f>
        <x:v>42.7292472880867</x:v>
      </x:c>
      <x:c r="T176" s="46" t="n">
        <x:f>INDEX('Locations'!$E$6:$E$453,MATCH(B176,'Locations'!$A$6:$A$453,0))</x:f>
        <x:v>-73.6819248492686</x:v>
      </x:c>
      <x:c r="U176" s="46" t="n">
        <x:f>INDEX('Locations'!$D$6:$D$453,MATCH(C176,'Locations'!$A$6:$A$453,0))</x:f>
        <x:v>42.7289764405379</x:v>
      </x:c>
      <x:c r="V176" s="66" t="n">
        <x:f>INDEX('Locations'!$E$6:$E$453,MATCH(C176,'Locations'!$A$6:$A$453,0))</x:f>
        <x:v>-73.6816966847791</x:v>
      </x:c>
      <x:c r="W176" s="44"/>
    </x:row>
    <x:row r="177" ht="23" customHeight="1">
      <x:c r="A177" s="24" t="s">
        <x:v>779</x:v>
      </x:c>
      <x:c r="B177" s="53" t="s">
        <x:v>320</x:v>
      </x:c>
      <x:c r="C177" s="53" t="s">
        <x:v>321</x:v>
      </x:c>
      <x:c r="D177" s="53" t="s">
        <x:v>606</x:v>
      </x:c>
      <x:c r="E177" s="67" t="n">
        <x:f>2*6371000*ASIN(SQRT(MIN(1,SIN(RADIANS(U177-S177)/2)^2+COS(RADIANS(S177))*COS(RADIANS(U177))*SIN(RADIANS(V177-T177)/2)^2)))</x:f>
        <x:v>45.49592919815739</x:v>
      </x:c>
      <x:c r="F177" s="48" t="s">
        <x:v>67</x:v>
      </x:c>
      <x:c r="G177" s="48" t="s">
        <x:v>66</x:v>
      </x:c>
      <x:c r="H177" s="48" t="s">
        <x:v>66</x:v>
      </x:c>
      <x:c r="I177" s="48" t="s">
        <x:v>66</x:v>
      </x:c>
      <x:c r="J177" s="48" t="s">
        <x:v>66</x:v>
      </x:c>
      <x:c r="K177" s="64"/>
      <x:c r="L177" s="64"/>
      <x:c r="M177" s="50"/>
      <x:c r="N177" s="49"/>
      <x:c r="O177" s="50"/>
      <x:c r="P177" s="50"/>
      <x:c r="Q177" s="32">
        <x:v>173</x:v>
      </x:c>
      <x:c r="R177" s="68"/>
      <x:c r="S177" s="54" t="n">
        <x:f>INDEX('Locations'!$D$6:$D$453,MATCH(B177,'Locations'!$A$6:$A$453,0))</x:f>
        <x:v>42.7290925413636</x:v>
      </x:c>
      <x:c r="T177" s="54" t="n">
        <x:f>INDEX('Locations'!$E$6:$E$453,MATCH(B177,'Locations'!$A$6:$A$453,0))</x:f>
        <x:v>-73.6804026841134</x:v>
      </x:c>
      <x:c r="U177" s="54" t="n">
        <x:f>INDEX('Locations'!$D$6:$D$453,MATCH(C177,'Locations'!$A$6:$A$453,0))</x:f>
        <x:v>42.7291845024136</x:v>
      </x:c>
      <x:c r="V177" s="69" t="n">
        <x:f>INDEX('Locations'!$E$6:$E$453,MATCH(C177,'Locations'!$A$6:$A$453,0))</x:f>
        <x:v>-73.6798599359866</x:v>
      </x:c>
      <x:c r="W177" s="44"/>
    </x:row>
    <x:row r="178" ht="23" customHeight="1">
      <x:c r="A178" s="21" t="s">
        <x:v>780</x:v>
      </x:c>
      <x:c r="B178" s="45" t="s">
        <x:v>317</x:v>
      </x:c>
      <x:c r="C178" s="45" t="s">
        <x:v>321</x:v>
      </x:c>
      <x:c r="D178" s="45" t="s">
        <x:v>606</x:v>
      </x:c>
      <x:c r="E178" s="63" t="n">
        <x:f>2*6371000*ASIN(SQRT(MIN(1,SIN(RADIANS(U178-S178)/2)^2+COS(RADIANS(S178))*COS(RADIANS(U178))*SIN(RADIANS(V178-T178)/2)^2)))</x:f>
        <x:v>57.54780184966723</x:v>
      </x:c>
      <x:c r="F178" s="48" t="s">
        <x:v>67</x:v>
      </x:c>
      <x:c r="G178" s="48" t="s">
        <x:v>66</x:v>
      </x:c>
      <x:c r="H178" s="48" t="s">
        <x:v>66</x:v>
      </x:c>
      <x:c r="I178" s="48" t="s">
        <x:v>66</x:v>
      </x:c>
      <x:c r="J178" s="48" t="s">
        <x:v>66</x:v>
      </x:c>
      <x:c r="K178" s="64"/>
      <x:c r="L178" s="64"/>
      <x:c r="M178" s="50"/>
      <x:c r="N178" s="49"/>
      <x:c r="O178" s="50"/>
      <x:c r="P178" s="50"/>
      <x:c r="Q178" s="30">
        <x:v>174</x:v>
      </x:c>
      <x:c r="R178" s="65"/>
      <x:c r="S178" s="46" t="n">
        <x:f>INDEX('Locations'!$D$6:$D$453,MATCH(B178,'Locations'!$A$6:$A$453,0))</x:f>
        <x:v>42.7286672215072</x:v>
      </x:c>
      <x:c r="T178" s="46" t="n">
        <x:f>INDEX('Locations'!$E$6:$E$453,MATCH(B178,'Locations'!$A$6:$A$453,0))</x:f>
        <x:v>-73.6798822189009</x:v>
      </x:c>
      <x:c r="U178" s="46" t="n">
        <x:f>INDEX('Locations'!$D$6:$D$453,MATCH(C178,'Locations'!$A$6:$A$453,0))</x:f>
        <x:v>42.7291845024136</x:v>
      </x:c>
      <x:c r="V178" s="66" t="n">
        <x:f>INDEX('Locations'!$E$6:$E$453,MATCH(C178,'Locations'!$A$6:$A$453,0))</x:f>
        <x:v>-73.6798599359866</x:v>
      </x:c>
      <x:c r="W178" s="44"/>
    </x:row>
    <x:row r="179" ht="23" customHeight="1">
      <x:c r="A179" s="24" t="s">
        <x:v>781</x:v>
      </x:c>
      <x:c r="B179" s="53" t="s">
        <x:v>320</x:v>
      </x:c>
      <x:c r="C179" s="53" t="s">
        <x:v>142</x:v>
      </x:c>
      <x:c r="D179" s="53" t="s">
        <x:v>606</x:v>
      </x:c>
      <x:c r="E179" s="67" t="n">
        <x:f>2*6371000*ASIN(SQRT(MIN(1,SIN(RADIANS(U179-S179)/2)^2+COS(RADIANS(S179))*COS(RADIANS(U179))*SIN(RADIANS(V179-T179)/2)^2)))</x:f>
        <x:v>30.40318922874969</x:v>
      </x:c>
      <x:c r="F179" s="48" t="s">
        <x:v>67</x:v>
      </x:c>
      <x:c r="G179" s="48" t="s">
        <x:v>66</x:v>
      </x:c>
      <x:c r="H179" s="48" t="s">
        <x:v>66</x:v>
      </x:c>
      <x:c r="I179" s="48" t="s">
        <x:v>66</x:v>
      </x:c>
      <x:c r="J179" s="48" t="s">
        <x:v>66</x:v>
      </x:c>
      <x:c r="K179" s="64"/>
      <x:c r="L179" s="64"/>
      <x:c r="M179" s="50"/>
      <x:c r="N179" s="49"/>
      <x:c r="O179" s="50"/>
      <x:c r="P179" s="50"/>
      <x:c r="Q179" s="32">
        <x:v>175</x:v>
      </x:c>
      <x:c r="R179" s="68"/>
      <x:c r="S179" s="54" t="n">
        <x:f>INDEX('Locations'!$D$6:$D$453,MATCH(B179,'Locations'!$A$6:$A$453,0))</x:f>
        <x:v>42.7290925413636</x:v>
      </x:c>
      <x:c r="T179" s="54" t="n">
        <x:f>INDEX('Locations'!$E$6:$E$453,MATCH(B179,'Locations'!$A$6:$A$453,0))</x:f>
        <x:v>-73.6804026841134</x:v>
      </x:c>
      <x:c r="U179" s="54" t="n">
        <x:f>INDEX('Locations'!$D$6:$D$453,MATCH(C179,'Locations'!$A$6:$A$453,0))</x:f>
        <x:v>42.7288196976939</x:v>
      </x:c>
      <x:c r="V179" s="69" t="n">
        <x:f>INDEX('Locations'!$E$6:$E$453,MATCH(C179,'Locations'!$A$6:$A$453,0))</x:f>
        <x:v>-73.6803784780244</x:v>
      </x:c>
      <x:c r="W179" s="44"/>
    </x:row>
    <x:row r="180" ht="23" customHeight="1">
      <x:c r="A180" s="21" t="s">
        <x:v>782</x:v>
      </x:c>
      <x:c r="B180" s="45" t="s">
        <x:v>310</x:v>
      </x:c>
      <x:c r="C180" s="45" t="s">
        <x:v>322</x:v>
      </x:c>
      <x:c r="D180" s="45" t="s">
        <x:v>606</x:v>
      </x:c>
      <x:c r="E180" s="63" t="n">
        <x:f>2*6371000*ASIN(SQRT(MIN(1,SIN(RADIANS(U180-S180)/2)^2+COS(RADIANS(S180))*COS(RADIANS(U180))*SIN(RADIANS(V180-T180)/2)^2)))</x:f>
        <x:v>33.50120974387199</x:v>
      </x:c>
      <x:c r="F180" s="48" t="s">
        <x:v>67</x:v>
      </x:c>
      <x:c r="G180" s="48" t="s">
        <x:v>66</x:v>
      </x:c>
      <x:c r="H180" s="48" t="s">
        <x:v>66</x:v>
      </x:c>
      <x:c r="I180" s="48" t="s">
        <x:v>66</x:v>
      </x:c>
      <x:c r="J180" s="48" t="s">
        <x:v>66</x:v>
      </x:c>
      <x:c r="K180" s="64"/>
      <x:c r="L180" s="64"/>
      <x:c r="M180" s="50"/>
      <x:c r="N180" s="49"/>
      <x:c r="O180" s="50"/>
      <x:c r="P180" s="50"/>
      <x:c r="Q180" s="30">
        <x:v>176</x:v>
      </x:c>
      <x:c r="R180" s="65"/>
      <x:c r="S180" s="46" t="n">
        <x:f>INDEX('Locations'!$D$6:$D$453,MATCH(B180,'Locations'!$A$6:$A$453,0))</x:f>
        <x:v>42.7295063660887</x:v>
      </x:c>
      <x:c r="T180" s="46" t="n">
        <x:f>INDEX('Locations'!$E$6:$E$453,MATCH(B180,'Locations'!$A$6:$A$453,0))</x:f>
        <x:v>-73.681036155534</x:v>
      </x:c>
      <x:c r="U180" s="46" t="n">
        <x:f>INDEX('Locations'!$D$6:$D$453,MATCH(C180,'Locations'!$A$6:$A$453,0))</x:f>
        <x:v>42.7292051936499</x:v>
      </x:c>
      <x:c r="V180" s="66" t="n">
        <x:f>INDEX('Locations'!$E$6:$E$453,MATCH(C180,'Locations'!$A$6:$A$453,0))</x:f>
        <x:v>-73.6810472969912</x:v>
      </x:c>
      <x:c r="W180" s="44"/>
    </x:row>
    <x:row r="181" ht="23" customHeight="1">
      <x:c r="A181" s="24" t="s">
        <x:v>783</x:v>
      </x:c>
      <x:c r="B181" s="53" t="s">
        <x:v>318</x:v>
      </x:c>
      <x:c r="C181" s="53" t="s">
        <x:v>322</x:v>
      </x:c>
      <x:c r="D181" s="53" t="s">
        <x:v>606</x:v>
      </x:c>
      <x:c r="E181" s="67" t="n">
        <x:f>2*6371000*ASIN(SQRT(MIN(1,SIN(RADIANS(U181-S181)/2)^2+COS(RADIANS(S181))*COS(RADIANS(U181))*SIN(RADIANS(V181-T181)/2)^2)))</x:f>
        <x:v>19.32283452288534</x:v>
      </x:c>
      <x:c r="F181" s="48" t="s">
        <x:v>67</x:v>
      </x:c>
      <x:c r="G181" s="48" t="s">
        <x:v>66</x:v>
      </x:c>
      <x:c r="H181" s="48" t="s">
        <x:v>66</x:v>
      </x:c>
      <x:c r="I181" s="48" t="s">
        <x:v>66</x:v>
      </x:c>
      <x:c r="J181" s="48" t="s">
        <x:v>66</x:v>
      </x:c>
      <x:c r="K181" s="64"/>
      <x:c r="L181" s="64"/>
      <x:c r="M181" s="50"/>
      <x:c r="N181" s="49"/>
      <x:c r="O181" s="50"/>
      <x:c r="P181" s="50"/>
      <x:c r="Q181" s="32">
        <x:v>177</x:v>
      </x:c>
      <x:c r="R181" s="68"/>
      <x:c r="S181" s="54" t="n">
        <x:f>INDEX('Locations'!$D$6:$D$453,MATCH(B181,'Locations'!$A$6:$A$453,0))</x:f>
        <x:v>42.7290810462323</x:v>
      </x:c>
      <x:c r="T181" s="54" t="n">
        <x:f>INDEX('Locations'!$E$6:$E$453,MATCH(B181,'Locations'!$A$6:$A$453,0))</x:f>
        <x:v>-73.6812128272116</x:v>
      </x:c>
      <x:c r="U181" s="54" t="n">
        <x:f>INDEX('Locations'!$D$6:$D$453,MATCH(C181,'Locations'!$A$6:$A$453,0))</x:f>
        <x:v>42.7292051936499</x:v>
      </x:c>
      <x:c r="V181" s="69" t="n">
        <x:f>INDEX('Locations'!$E$6:$E$453,MATCH(C181,'Locations'!$A$6:$A$453,0))</x:f>
        <x:v>-73.6810472969912</x:v>
      </x:c>
      <x:c r="W181" s="44"/>
    </x:row>
    <x:row r="182" ht="23" customHeight="1">
      <x:c r="A182" s="21" t="s">
        <x:v>784</x:v>
      </x:c>
      <x:c r="B182" s="45" t="s">
        <x:v>320</x:v>
      </x:c>
      <x:c r="C182" s="45" t="s">
        <x:v>322</x:v>
      </x:c>
      <x:c r="D182" s="45" t="s">
        <x:v>606</x:v>
      </x:c>
      <x:c r="E182" s="63" t="n">
        <x:f>2*6371000*ASIN(SQRT(MIN(1,SIN(RADIANS(U182-S182)/2)^2+COS(RADIANS(S182))*COS(RADIANS(U182))*SIN(RADIANS(V182-T182)/2)^2)))</x:f>
        <x:v>54.12178803529204</x:v>
      </x:c>
      <x:c r="F182" s="48" t="s">
        <x:v>67</x:v>
      </x:c>
      <x:c r="G182" s="48" t="s">
        <x:v>66</x:v>
      </x:c>
      <x:c r="H182" s="48" t="s">
        <x:v>66</x:v>
      </x:c>
      <x:c r="I182" s="48" t="s">
        <x:v>66</x:v>
      </x:c>
      <x:c r="J182" s="48" t="s">
        <x:v>66</x:v>
      </x:c>
      <x:c r="K182" s="64"/>
      <x:c r="L182" s="64"/>
      <x:c r="M182" s="50"/>
      <x:c r="N182" s="49"/>
      <x:c r="O182" s="50"/>
      <x:c r="P182" s="50"/>
      <x:c r="Q182" s="30">
        <x:v>178</x:v>
      </x:c>
      <x:c r="R182" s="65"/>
      <x:c r="S182" s="46" t="n">
        <x:f>INDEX('Locations'!$D$6:$D$453,MATCH(B182,'Locations'!$A$6:$A$453,0))</x:f>
        <x:v>42.7290925413636</x:v>
      </x:c>
      <x:c r="T182" s="46" t="n">
        <x:f>INDEX('Locations'!$E$6:$E$453,MATCH(B182,'Locations'!$A$6:$A$453,0))</x:f>
        <x:v>-73.6804026841134</x:v>
      </x:c>
      <x:c r="U182" s="46" t="n">
        <x:f>INDEX('Locations'!$D$6:$D$453,MATCH(C182,'Locations'!$A$6:$A$453,0))</x:f>
        <x:v>42.7292051936499</x:v>
      </x:c>
      <x:c r="V182" s="66" t="n">
        <x:f>INDEX('Locations'!$E$6:$E$453,MATCH(C182,'Locations'!$A$6:$A$453,0))</x:f>
        <x:v>-73.6810472969912</x:v>
      </x:c>
      <x:c r="W182" s="44"/>
    </x:row>
    <x:row r="183" ht="23" customHeight="1">
      <x:c r="A183" s="24" t="s">
        <x:v>785</x:v>
      </x:c>
      <x:c r="B183" s="53" t="s">
        <x:v>318</x:v>
      </x:c>
      <x:c r="C183" s="53" t="s">
        <x:v>312</x:v>
      </x:c>
      <x:c r="D183" s="53" t="s">
        <x:v>606</x:v>
      </x:c>
      <x:c r="E183" s="67" t="n">
        <x:f>2*6371000*ASIN(SQRT(MIN(1,SIN(RADIANS(U183-S183)/2)^2+COS(RADIANS(S183))*COS(RADIANS(U183))*SIN(RADIANS(V183-T183)/2)^2)))</x:f>
        <x:v>91.99950568476663</x:v>
      </x:c>
      <x:c r="F183" s="48" t="s">
        <x:v>67</x:v>
      </x:c>
      <x:c r="G183" s="48" t="s">
        <x:v>66</x:v>
      </x:c>
      <x:c r="H183" s="48" t="s">
        <x:v>66</x:v>
      </x:c>
      <x:c r="I183" s="48" t="s">
        <x:v>66</x:v>
      </x:c>
      <x:c r="J183" s="48" t="s">
        <x:v>66</x:v>
      </x:c>
      <x:c r="K183" s="64"/>
      <x:c r="L183" s="64"/>
      <x:c r="M183" s="50"/>
      <x:c r="N183" s="49"/>
      <x:c r="O183" s="50"/>
      <x:c r="P183" s="50"/>
      <x:c r="Q183" s="32">
        <x:v>179</x:v>
      </x:c>
      <x:c r="R183" s="68"/>
      <x:c r="S183" s="54" t="n">
        <x:f>INDEX('Locations'!$D$6:$D$453,MATCH(B183,'Locations'!$A$6:$A$453,0))</x:f>
        <x:v>42.7290810462323</x:v>
      </x:c>
      <x:c r="T183" s="54" t="n">
        <x:f>INDEX('Locations'!$E$6:$E$453,MATCH(B183,'Locations'!$A$6:$A$453,0))</x:f>
        <x:v>-73.6812128272116</x:v>
      </x:c>
      <x:c r="U183" s="54" t="n">
        <x:f>INDEX('Locations'!$D$6:$D$453,MATCH(C183,'Locations'!$A$6:$A$453,0))</x:f>
        <x:v>42.728325816109</x:v>
      </x:c>
      <x:c r="V183" s="69" t="n">
        <x:f>INDEX('Locations'!$E$6:$E$453,MATCH(C183,'Locations'!$A$6:$A$453,0))</x:f>
        <x:v>-73.6807528441951</x:v>
      </x:c>
      <x:c r="W183" s="44"/>
    </x:row>
    <x:row r="184" ht="23" customHeight="1">
      <x:c r="A184" s="21" t="s">
        <x:v>786</x:v>
      </x:c>
      <x:c r="B184" s="45" t="s">
        <x:v>319</x:v>
      </x:c>
      <x:c r="C184" s="45" t="s">
        <x:v>323</x:v>
      </x:c>
      <x:c r="D184" s="45" t="s">
        <x:v>606</x:v>
      </x:c>
      <x:c r="E184" s="63" t="n">
        <x:f>2*6371000*ASIN(SQRT(MIN(1,SIN(RADIANS(U184-S184)/2)^2+COS(RADIANS(S184))*COS(RADIANS(U184))*SIN(RADIANS(V184-T184)/2)^2)))</x:f>
        <x:v>36.738849982594715</x:v>
      </x:c>
      <x:c r="F184" s="48" t="s">
        <x:v>67</x:v>
      </x:c>
      <x:c r="G184" s="48" t="s">
        <x:v>66</x:v>
      </x:c>
      <x:c r="H184" s="48" t="s">
        <x:v>66</x:v>
      </x:c>
      <x:c r="I184" s="48" t="s">
        <x:v>66</x:v>
      </x:c>
      <x:c r="J184" s="48" t="s">
        <x:v>66</x:v>
      </x:c>
      <x:c r="K184" s="64"/>
      <x:c r="L184" s="64"/>
      <x:c r="M184" s="50"/>
      <x:c r="N184" s="49"/>
      <x:c r="O184" s="50"/>
      <x:c r="P184" s="50"/>
      <x:c r="Q184" s="30">
        <x:v>180</x:v>
      </x:c>
      <x:c r="R184" s="65"/>
      <x:c r="S184" s="46" t="n">
        <x:f>INDEX('Locations'!$D$6:$D$453,MATCH(B184,'Locations'!$A$6:$A$453,0))</x:f>
        <x:v>42.7289764405379</x:v>
      </x:c>
      <x:c r="T184" s="46" t="n">
        <x:f>INDEX('Locations'!$E$6:$E$453,MATCH(B184,'Locations'!$A$6:$A$453,0))</x:f>
        <x:v>-73.6816966847791</x:v>
      </x:c>
      <x:c r="U184" s="46" t="n">
        <x:f>INDEX('Locations'!$D$6:$D$453,MATCH(C184,'Locations'!$A$6:$A$453,0))</x:f>
        <x:v>42.728784471846</x:v>
      </x:c>
      <x:c r="V184" s="66" t="n">
        <x:f>INDEX('Locations'!$E$6:$E$453,MATCH(C184,'Locations'!$A$6:$A$453,0))</x:f>
        <x:v>-73.68133060833</x:v>
      </x:c>
      <x:c r="W184" s="44"/>
    </x:row>
    <x:row r="185" ht="23" customHeight="1">
      <x:c r="A185" s="24" t="s">
        <x:v>787</x:v>
      </x:c>
      <x:c r="B185" s="53" t="s">
        <x:v>318</x:v>
      </x:c>
      <x:c r="C185" s="53" t="s">
        <x:v>323</x:v>
      </x:c>
      <x:c r="D185" s="53" t="s">
        <x:v>606</x:v>
      </x:c>
      <x:c r="E185" s="67" t="n">
        <x:f>2*6371000*ASIN(SQRT(MIN(1,SIN(RADIANS(U185-S185)/2)^2+COS(RADIANS(S185))*COS(RADIANS(U185))*SIN(RADIANS(V185-T185)/2)^2)))</x:f>
        <x:v>34.35218838488592</x:v>
      </x:c>
      <x:c r="F185" s="48" t="s">
        <x:v>67</x:v>
      </x:c>
      <x:c r="G185" s="48" t="s">
        <x:v>66</x:v>
      </x:c>
      <x:c r="H185" s="48" t="s">
        <x:v>66</x:v>
      </x:c>
      <x:c r="I185" s="48" t="s">
        <x:v>66</x:v>
      </x:c>
      <x:c r="J185" s="48" t="s">
        <x:v>66</x:v>
      </x:c>
      <x:c r="K185" s="64"/>
      <x:c r="L185" s="64"/>
      <x:c r="M185" s="50"/>
      <x:c r="N185" s="49"/>
      <x:c r="O185" s="50"/>
      <x:c r="P185" s="50"/>
      <x:c r="Q185" s="32">
        <x:v>181</x:v>
      </x:c>
      <x:c r="R185" s="68"/>
      <x:c r="S185" s="54" t="n">
        <x:f>INDEX('Locations'!$D$6:$D$453,MATCH(B185,'Locations'!$A$6:$A$453,0))</x:f>
        <x:v>42.7290810462323</x:v>
      </x:c>
      <x:c r="T185" s="54" t="n">
        <x:f>INDEX('Locations'!$E$6:$E$453,MATCH(B185,'Locations'!$A$6:$A$453,0))</x:f>
        <x:v>-73.6812128272116</x:v>
      </x:c>
      <x:c r="U185" s="54" t="n">
        <x:f>INDEX('Locations'!$D$6:$D$453,MATCH(C185,'Locations'!$A$6:$A$453,0))</x:f>
        <x:v>42.728784471846</x:v>
      </x:c>
      <x:c r="V185" s="69" t="n">
        <x:f>INDEX('Locations'!$E$6:$E$453,MATCH(C185,'Locations'!$A$6:$A$453,0))</x:f>
        <x:v>-73.68133060833</x:v>
      </x:c>
      <x:c r="W185" s="44"/>
    </x:row>
    <x:row r="186" ht="23" customHeight="1">
      <x:c r="A186" s="21" t="s">
        <x:v>788</x:v>
      </x:c>
      <x:c r="B186" s="45" t="s">
        <x:v>324</x:v>
      </x:c>
      <x:c r="C186" s="45" t="s">
        <x:v>323</x:v>
      </x:c>
      <x:c r="D186" s="45" t="s">
        <x:v>606</x:v>
      </x:c>
      <x:c r="E186" s="63" t="n">
        <x:f>2*6371000*ASIN(SQRT(MIN(1,SIN(RADIANS(U186-S186)/2)^2+COS(RADIANS(S186))*COS(RADIANS(U186))*SIN(RADIANS(V186-T186)/2)^2)))</x:f>
        <x:v>19.685080822219067</x:v>
      </x:c>
      <x:c r="F186" s="48" t="s">
        <x:v>67</x:v>
      </x:c>
      <x:c r="G186" s="48" t="s">
        <x:v>66</x:v>
      </x:c>
      <x:c r="H186" s="48" t="s">
        <x:v>66</x:v>
      </x:c>
      <x:c r="I186" s="48" t="s">
        <x:v>66</x:v>
      </x:c>
      <x:c r="J186" s="48" t="s">
        <x:v>66</x:v>
      </x:c>
      <x:c r="K186" s="64"/>
      <x:c r="L186" s="64"/>
      <x:c r="M186" s="50"/>
      <x:c r="N186" s="49"/>
      <x:c r="O186" s="50"/>
      <x:c r="P186" s="50"/>
      <x:c r="Q186" s="30">
        <x:v>182</x:v>
      </x:c>
      <x:c r="R186" s="65"/>
      <x:c r="S186" s="46" t="n">
        <x:f>INDEX('Locations'!$D$6:$D$453,MATCH(B186,'Locations'!$A$6:$A$453,0))</x:f>
        <x:v>42.7286327361135</x:v>
      </x:c>
      <x:c r="T186" s="46" t="n">
        <x:f>INDEX('Locations'!$E$6:$E$453,MATCH(B186,'Locations'!$A$6:$A$453,0))</x:f>
        <x:v>-73.6812064606647</x:v>
      </x:c>
      <x:c r="U186" s="46" t="n">
        <x:f>INDEX('Locations'!$D$6:$D$453,MATCH(C186,'Locations'!$A$6:$A$453,0))</x:f>
        <x:v>42.728784471846</x:v>
      </x:c>
      <x:c r="V186" s="66" t="n">
        <x:f>INDEX('Locations'!$E$6:$E$453,MATCH(C186,'Locations'!$A$6:$A$453,0))</x:f>
        <x:v>-73.68133060833</x:v>
      </x:c>
      <x:c r="W186" s="44"/>
    </x:row>
    <x:row r="187" ht="23" customHeight="1">
      <x:c r="A187" s="24" t="s">
        <x:v>789</x:v>
      </x:c>
      <x:c r="B187" s="53" t="s">
        <x:v>325</x:v>
      </x:c>
      <x:c r="C187" s="53" t="s">
        <x:v>324</x:v>
      </x:c>
      <x:c r="D187" s="53" t="s">
        <x:v>606</x:v>
      </x:c>
      <x:c r="E187" s="67" t="n">
        <x:f>2*6371000*ASIN(SQRT(MIN(1,SIN(RADIANS(U187-S187)/2)^2+COS(RADIANS(S187))*COS(RADIANS(U187))*SIN(RADIANS(V187-T187)/2)^2)))</x:f>
        <x:v>26.602136492604664</x:v>
      </x:c>
      <x:c r="F187" s="48" t="s">
        <x:v>67</x:v>
      </x:c>
      <x:c r="G187" s="48" t="s">
        <x:v>66</x:v>
      </x:c>
      <x:c r="H187" s="48" t="s">
        <x:v>66</x:v>
      </x:c>
      <x:c r="I187" s="48" t="s">
        <x:v>66</x:v>
      </x:c>
      <x:c r="J187" s="48" t="s">
        <x:v>66</x:v>
      </x:c>
      <x:c r="K187" s="64"/>
      <x:c r="L187" s="64"/>
      <x:c r="M187" s="50"/>
      <x:c r="N187" s="49"/>
      <x:c r="O187" s="50"/>
      <x:c r="P187" s="50"/>
      <x:c r="Q187" s="32">
        <x:v>183</x:v>
      </x:c>
      <x:c r="R187" s="68"/>
      <x:c r="S187" s="54" t="n">
        <x:f>INDEX('Locations'!$D$6:$D$453,MATCH(B187,'Locations'!$A$6:$A$453,0))</x:f>
        <x:v>42.7283936373834</x:v>
      </x:c>
      <x:c r="T187" s="54" t="n">
        <x:f>INDEX('Locations'!$E$6:$E$453,MATCH(B187,'Locations'!$A$6:$A$453,0))</x:f>
        <x:v>-73.6812176021218</x:v>
      </x:c>
      <x:c r="U187" s="54" t="n">
        <x:f>INDEX('Locations'!$D$6:$D$453,MATCH(C187,'Locations'!$A$6:$A$453,0))</x:f>
        <x:v>42.7286327361135</x:v>
      </x:c>
      <x:c r="V187" s="69" t="n">
        <x:f>INDEX('Locations'!$E$6:$E$453,MATCH(C187,'Locations'!$A$6:$A$453,0))</x:f>
        <x:v>-73.6812064606647</x:v>
      </x:c>
      <x:c r="W187" s="44"/>
    </x:row>
    <x:row r="188" ht="23" customHeight="1">
      <x:c r="A188" s="21" t="s">
        <x:v>790</x:v>
      </x:c>
      <x:c r="B188" s="45" t="s">
        <x:v>319</x:v>
      </x:c>
      <x:c r="C188" s="45" t="s">
        <x:v>330</x:v>
      </x:c>
      <x:c r="D188" s="45" t="s">
        <x:v>606</x:v>
      </x:c>
      <x:c r="E188" s="63" t="n">
        <x:f>2*6371000*ASIN(SQRT(MIN(1,SIN(RADIANS(U188-S188)/2)^2+COS(RADIANS(S188))*COS(RADIANS(U188))*SIN(RADIANS(V188-T188)/2)^2)))</x:f>
        <x:v>46.33308486961396</x:v>
      </x:c>
      <x:c r="F188" s="48" t="s">
        <x:v>67</x:v>
      </x:c>
      <x:c r="G188" s="48" t="s">
        <x:v>66</x:v>
      </x:c>
      <x:c r="H188" s="48" t="s">
        <x:v>66</x:v>
      </x:c>
      <x:c r="I188" s="48" t="s">
        <x:v>66</x:v>
      </x:c>
      <x:c r="J188" s="48" t="s">
        <x:v>66</x:v>
      </x:c>
      <x:c r="K188" s="64"/>
      <x:c r="L188" s="64"/>
      <x:c r="M188" s="50"/>
      <x:c r="N188" s="49"/>
      <x:c r="O188" s="50"/>
      <x:c r="P188" s="50"/>
      <x:c r="Q188" s="30">
        <x:v>184</x:v>
      </x:c>
      <x:c r="R188" s="65"/>
      <x:c r="S188" s="46" t="n">
        <x:f>INDEX('Locations'!$D$6:$D$453,MATCH(B188,'Locations'!$A$6:$A$453,0))</x:f>
        <x:v>42.7289764405379</x:v>
      </x:c>
      <x:c r="T188" s="46" t="n">
        <x:f>INDEX('Locations'!$E$6:$E$453,MATCH(B188,'Locations'!$A$6:$A$453,0))</x:f>
        <x:v>-73.6816966847791</x:v>
      </x:c>
      <x:c r="U188" s="46" t="n">
        <x:f>INDEX('Locations'!$D$6:$D$453,MATCH(C188,'Locations'!$A$6:$A$453,0))</x:f>
        <x:v>42.7289568988148</x:v>
      </x:c>
      <x:c r="V188" s="66" t="n">
        <x:f>INDEX('Locations'!$E$6:$E$453,MATCH(C188,'Locations'!$A$6:$A$453,0))</x:f>
        <x:v>-73.6822633074569</x:v>
      </x:c>
      <x:c r="W188" s="44"/>
    </x:row>
    <x:row r="189" ht="23" customHeight="1">
      <x:c r="A189" s="24" t="s">
        <x:v>791</x:v>
      </x:c>
      <x:c r="B189" s="53" t="s">
        <x:v>329</x:v>
      </x:c>
      <x:c r="C189" s="53" t="s">
        <x:v>330</x:v>
      </x:c>
      <x:c r="D189" s="53" t="s">
        <x:v>606</x:v>
      </x:c>
      <x:c r="E189" s="67" t="n">
        <x:f>2*6371000*ASIN(SQRT(MIN(1,SIN(RADIANS(U189-S189)/2)^2+COS(RADIANS(S189))*COS(RADIANS(U189))*SIN(RADIANS(V189-T189)/2)^2)))</x:f>
        <x:v>24.838835914582226</x:v>
      </x:c>
      <x:c r="F189" s="48" t="s">
        <x:v>67</x:v>
      </x:c>
      <x:c r="G189" s="48" t="s">
        <x:v>66</x:v>
      </x:c>
      <x:c r="H189" s="48" t="s">
        <x:v>66</x:v>
      </x:c>
      <x:c r="I189" s="48" t="s">
        <x:v>66</x:v>
      </x:c>
      <x:c r="J189" s="48" t="s">
        <x:v>66</x:v>
      </x:c>
      <x:c r="K189" s="64"/>
      <x:c r="L189" s="64"/>
      <x:c r="M189" s="50"/>
      <x:c r="N189" s="49"/>
      <x:c r="O189" s="50"/>
      <x:c r="P189" s="50"/>
      <x:c r="Q189" s="32">
        <x:v>185</x:v>
      </x:c>
      <x:c r="R189" s="68"/>
      <x:c r="S189" s="54" t="n">
        <x:f>INDEX('Locations'!$D$6:$D$453,MATCH(B189,'Locations'!$A$6:$A$453,0))</x:f>
        <x:v>42.7287499864523</x:v>
      </x:c>
      <x:c r="T189" s="54" t="n">
        <x:f>INDEX('Locations'!$E$6:$E$453,MATCH(B189,'Locations'!$A$6:$A$453,0))</x:f>
        <x:v>-73.682148709612</x:v>
      </x:c>
      <x:c r="U189" s="54" t="n">
        <x:f>INDEX('Locations'!$D$6:$D$453,MATCH(C189,'Locations'!$A$6:$A$453,0))</x:f>
        <x:v>42.7289568988148</x:v>
      </x:c>
      <x:c r="V189" s="69" t="n">
        <x:f>INDEX('Locations'!$E$6:$E$453,MATCH(C189,'Locations'!$A$6:$A$453,0))</x:f>
        <x:v>-73.6822633074569</x:v>
      </x:c>
      <x:c r="W189" s="44"/>
    </x:row>
    <x:row r="190" ht="23" customHeight="1">
      <x:c r="A190" s="21" t="s">
        <x:v>792</x:v>
      </x:c>
      <x:c r="B190" s="45" t="s">
        <x:v>327</x:v>
      </x:c>
      <x:c r="C190" s="45" t="s">
        <x:v>329</x:v>
      </x:c>
      <x:c r="D190" s="45" t="s">
        <x:v>606</x:v>
      </x:c>
      <x:c r="E190" s="63" t="n">
        <x:f>2*6371000*ASIN(SQRT(MIN(1,SIN(RADIANS(U190-S190)/2)^2+COS(RADIANS(S190))*COS(RADIANS(U190))*SIN(RADIANS(V190-T190)/2)^2)))</x:f>
        <x:v>23.034743043124347</x:v>
      </x:c>
      <x:c r="F190" s="48" t="s">
        <x:v>67</x:v>
      </x:c>
      <x:c r="G190" s="48" t="s">
        <x:v>66</x:v>
      </x:c>
      <x:c r="H190" s="48" t="s">
        <x:v>66</x:v>
      </x:c>
      <x:c r="I190" s="48" t="s">
        <x:v>66</x:v>
      </x:c>
      <x:c r="J190" s="48" t="s">
        <x:v>66</x:v>
      </x:c>
      <x:c r="K190" s="64"/>
      <x:c r="L190" s="64"/>
      <x:c r="M190" s="50"/>
      <x:c r="N190" s="49"/>
      <x:c r="O190" s="50"/>
      <x:c r="P190" s="50"/>
      <x:c r="Q190" s="30">
        <x:v>186</x:v>
      </x:c>
      <x:c r="R190" s="65"/>
      <x:c r="S190" s="46" t="n">
        <x:f>INDEX('Locations'!$D$6:$D$453,MATCH(B190,'Locations'!$A$6:$A$453,0))</x:f>
        <x:v>42.7286292875741</x:v>
      </x:c>
      <x:c r="T190" s="46" t="n">
        <x:f>INDEX('Locations'!$E$6:$E$453,MATCH(B190,'Locations'!$A$6:$A$453,0))</x:f>
        <x:v>-73.6819195139221</x:v>
      </x:c>
      <x:c r="U190" s="46" t="n">
        <x:f>INDEX('Locations'!$D$6:$D$453,MATCH(C190,'Locations'!$A$6:$A$453,0))</x:f>
        <x:v>42.7287499864523</x:v>
      </x:c>
      <x:c r="V190" s="66" t="n">
        <x:f>INDEX('Locations'!$E$6:$E$453,MATCH(C190,'Locations'!$A$6:$A$453,0))</x:f>
        <x:v>-73.682148709612</x:v>
      </x:c>
      <x:c r="W190" s="44"/>
    </x:row>
    <x:row r="191" ht="23" customHeight="1">
      <x:c r="A191" s="24" t="s">
        <x:v>793</x:v>
      </x:c>
      <x:c r="B191" s="53" t="s">
        <x:v>327</x:v>
      </x:c>
      <x:c r="C191" s="53" t="s">
        <x:v>326</x:v>
      </x:c>
      <x:c r="D191" s="53" t="s">
        <x:v>606</x:v>
      </x:c>
      <x:c r="E191" s="67" t="n">
        <x:f>2*6371000*ASIN(SQRT(MIN(1,SIN(RADIANS(U191-S191)/2)^2+COS(RADIANS(S191))*COS(RADIANS(U191))*SIN(RADIANS(V191-T191)/2)^2)))</x:f>
        <x:v>28.246447984025323</x:v>
      </x:c>
      <x:c r="F191" s="48" t="s">
        <x:v>67</x:v>
      </x:c>
      <x:c r="G191" s="48" t="s">
        <x:v>66</x:v>
      </x:c>
      <x:c r="H191" s="48" t="s">
        <x:v>66</x:v>
      </x:c>
      <x:c r="I191" s="48" t="s">
        <x:v>66</x:v>
      </x:c>
      <x:c r="J191" s="48" t="s">
        <x:v>66</x:v>
      </x:c>
      <x:c r="K191" s="64"/>
      <x:c r="L191" s="64"/>
      <x:c r="M191" s="50"/>
      <x:c r="N191" s="49"/>
      <x:c r="O191" s="50"/>
      <x:c r="P191" s="50"/>
      <x:c r="Q191" s="32">
        <x:v>187</x:v>
      </x:c>
      <x:c r="R191" s="68"/>
      <x:c r="S191" s="54" t="n">
        <x:f>INDEX('Locations'!$D$6:$D$453,MATCH(B191,'Locations'!$A$6:$A$453,0))</x:f>
        <x:v>42.7286292875741</x:v>
      </x:c>
      <x:c r="T191" s="54" t="n">
        <x:f>INDEX('Locations'!$E$6:$E$453,MATCH(B191,'Locations'!$A$6:$A$453,0))</x:f>
        <x:v>-73.6819195139221</x:v>
      </x:c>
      <x:c r="U191" s="54" t="n">
        <x:f>INDEX('Locations'!$D$6:$D$453,MATCH(C191,'Locations'!$A$6:$A$453,0))</x:f>
        <x:v>42.7286419322185</x:v>
      </x:c>
      <x:c r="V191" s="69" t="n">
        <x:f>INDEX('Locations'!$E$6:$E$453,MATCH(C191,'Locations'!$A$6:$A$453,0))</x:f>
        <x:v>-73.6815741287505</x:v>
      </x:c>
      <x:c r="W191" s="44"/>
    </x:row>
    <x:row r="192" ht="23" customHeight="1">
      <x:c r="A192" s="21" t="s">
        <x:v>794</x:v>
      </x:c>
      <x:c r="B192" s="45" t="s">
        <x:v>323</x:v>
      </x:c>
      <x:c r="C192" s="45" t="s">
        <x:v>326</x:v>
      </x:c>
      <x:c r="D192" s="45" t="s">
        <x:v>606</x:v>
      </x:c>
      <x:c r="E192" s="63" t="n">
        <x:f>2*6371000*ASIN(SQRT(MIN(1,SIN(RADIANS(U192-S192)/2)^2+COS(RADIANS(S192))*COS(RADIANS(U192))*SIN(RADIANS(V192-T192)/2)^2)))</x:f>
        <x:v>25.433516418015554</x:v>
      </x:c>
      <x:c r="F192" s="48" t="s">
        <x:v>67</x:v>
      </x:c>
      <x:c r="G192" s="48" t="s">
        <x:v>66</x:v>
      </x:c>
      <x:c r="H192" s="48" t="s">
        <x:v>66</x:v>
      </x:c>
      <x:c r="I192" s="48" t="s">
        <x:v>66</x:v>
      </x:c>
      <x:c r="J192" s="48" t="s">
        <x:v>66</x:v>
      </x:c>
      <x:c r="K192" s="64"/>
      <x:c r="L192" s="64"/>
      <x:c r="M192" s="50"/>
      <x:c r="N192" s="49"/>
      <x:c r="O192" s="50"/>
      <x:c r="P192" s="50"/>
      <x:c r="Q192" s="30">
        <x:v>188</x:v>
      </x:c>
      <x:c r="R192" s="65"/>
      <x:c r="S192" s="46" t="n">
        <x:f>INDEX('Locations'!$D$6:$D$453,MATCH(B192,'Locations'!$A$6:$A$453,0))</x:f>
        <x:v>42.728784471846</x:v>
      </x:c>
      <x:c r="T192" s="46" t="n">
        <x:f>INDEX('Locations'!$E$6:$E$453,MATCH(B192,'Locations'!$A$6:$A$453,0))</x:f>
        <x:v>-73.68133060833</x:v>
      </x:c>
      <x:c r="U192" s="46" t="n">
        <x:f>INDEX('Locations'!$D$6:$D$453,MATCH(C192,'Locations'!$A$6:$A$453,0))</x:f>
        <x:v>42.7286419322185</x:v>
      </x:c>
      <x:c r="V192" s="66" t="n">
        <x:f>INDEX('Locations'!$E$6:$E$453,MATCH(C192,'Locations'!$A$6:$A$453,0))</x:f>
        <x:v>-73.6815741287505</x:v>
      </x:c>
      <x:c r="W192" s="44"/>
    </x:row>
    <x:row r="193" ht="23" customHeight="1">
      <x:c r="A193" s="24" t="s">
        <x:v>795</x:v>
      </x:c>
      <x:c r="B193" s="53" t="s">
        <x:v>325</x:v>
      </x:c>
      <x:c r="C193" s="53" t="s">
        <x:v>328</x:v>
      </x:c>
      <x:c r="D193" s="53" t="s">
        <x:v>606</x:v>
      </x:c>
      <x:c r="E193" s="67" t="n">
        <x:f>2*6371000*ASIN(SQRT(MIN(1,SIN(RADIANS(U193-S193)/2)^2+COS(RADIANS(S193))*COS(RADIANS(U193))*SIN(RADIANS(V193-T193)/2)^2)))</x:f>
        <x:v>58.57187313331634</x:v>
      </x:c>
      <x:c r="F193" s="48" t="s">
        <x:v>67</x:v>
      </x:c>
      <x:c r="G193" s="48" t="s">
        <x:v>66</x:v>
      </x:c>
      <x:c r="H193" s="48" t="s">
        <x:v>66</x:v>
      </x:c>
      <x:c r="I193" s="48" t="s">
        <x:v>66</x:v>
      </x:c>
      <x:c r="J193" s="48" t="s">
        <x:v>66</x:v>
      </x:c>
      <x:c r="K193" s="64"/>
      <x:c r="L193" s="64"/>
      <x:c r="M193" s="50"/>
      <x:c r="N193" s="49"/>
      <x:c r="O193" s="50"/>
      <x:c r="P193" s="50"/>
      <x:c r="Q193" s="32">
        <x:v>189</x:v>
      </x:c>
      <x:c r="R193" s="68"/>
      <x:c r="S193" s="54" t="n">
        <x:f>INDEX('Locations'!$D$6:$D$453,MATCH(B193,'Locations'!$A$6:$A$453,0))</x:f>
        <x:v>42.7283936373834</x:v>
      </x:c>
      <x:c r="T193" s="54" t="n">
        <x:f>INDEX('Locations'!$E$6:$E$453,MATCH(B193,'Locations'!$A$6:$A$453,0))</x:f>
        <x:v>-73.6812176021218</x:v>
      </x:c>
      <x:c r="U193" s="54" t="n">
        <x:f>INDEX('Locations'!$D$6:$D$453,MATCH(C193,'Locations'!$A$6:$A$453,0))</x:f>
        <x:v>42.7285120372353</x:v>
      </x:c>
      <x:c r="V193" s="69" t="n">
        <x:f>INDEX('Locations'!$E$6:$E$453,MATCH(C193,'Locations'!$A$6:$A$453,0))</x:f>
        <x:v>-73.6819163306486</x:v>
      </x:c>
      <x:c r="W193" s="44"/>
    </x:row>
    <x:row r="194" ht="23" customHeight="1">
      <x:c r="A194" s="21" t="s">
        <x:v>796</x:v>
      </x:c>
      <x:c r="B194" s="45" t="s">
        <x:v>312</x:v>
      </x:c>
      <x:c r="C194" s="45" t="s">
        <x:v>325</x:v>
      </x:c>
      <x:c r="D194" s="45" t="s">
        <x:v>606</x:v>
      </x:c>
      <x:c r="E194" s="63" t="n">
        <x:f>2*6371000*ASIN(SQRT(MIN(1,SIN(RADIANS(U194-S194)/2)^2+COS(RADIANS(S194))*COS(RADIANS(U194))*SIN(RADIANS(V194-T194)/2)^2)))</x:f>
        <x:v>38.70391731651846</x:v>
      </x:c>
      <x:c r="F194" s="48" t="s">
        <x:v>67</x:v>
      </x:c>
      <x:c r="G194" s="48" t="s">
        <x:v>66</x:v>
      </x:c>
      <x:c r="H194" s="48" t="s">
        <x:v>66</x:v>
      </x:c>
      <x:c r="I194" s="48" t="s">
        <x:v>66</x:v>
      </x:c>
      <x:c r="J194" s="48" t="s">
        <x:v>66</x:v>
      </x:c>
      <x:c r="K194" s="64"/>
      <x:c r="L194" s="64"/>
      <x:c r="M194" s="50"/>
      <x:c r="N194" s="49"/>
      <x:c r="O194" s="50"/>
      <x:c r="P194" s="50"/>
      <x:c r="Q194" s="30">
        <x:v>190</x:v>
      </x:c>
      <x:c r="R194" s="65"/>
      <x:c r="S194" s="46" t="n">
        <x:f>INDEX('Locations'!$D$6:$D$453,MATCH(B194,'Locations'!$A$6:$A$453,0))</x:f>
        <x:v>42.728325816109</x:v>
      </x:c>
      <x:c r="T194" s="46" t="n">
        <x:f>INDEX('Locations'!$E$6:$E$453,MATCH(B194,'Locations'!$A$6:$A$453,0))</x:f>
        <x:v>-73.6807528441951</x:v>
      </x:c>
      <x:c r="U194" s="46" t="n">
        <x:f>INDEX('Locations'!$D$6:$D$453,MATCH(C194,'Locations'!$A$6:$A$453,0))</x:f>
        <x:v>42.7283936373834</x:v>
      </x:c>
      <x:c r="V194" s="66" t="n">
        <x:f>INDEX('Locations'!$E$6:$E$453,MATCH(C194,'Locations'!$A$6:$A$453,0))</x:f>
        <x:v>-73.6812176021218</x:v>
      </x:c>
      <x:c r="W194" s="44"/>
    </x:row>
    <x:row r="195" ht="23" customHeight="1">
      <x:c r="A195" s="24" t="s">
        <x:v>797</x:v>
      </x:c>
      <x:c r="B195" s="53" t="s">
        <x:v>328</x:v>
      </x:c>
      <x:c r="C195" s="53" t="s">
        <x:v>327</x:v>
      </x:c>
      <x:c r="D195" s="53" t="s">
        <x:v>606</x:v>
      </x:c>
      <x:c r="E195" s="67" t="n">
        <x:f>2*6371000*ASIN(SQRT(MIN(1,SIN(RADIANS(U195-S195)/2)^2+COS(RADIANS(S195))*COS(RADIANS(U195))*SIN(RADIANS(V195-T195)/2)^2)))</x:f>
        <x:v>13.040235326493777</x:v>
      </x:c>
      <x:c r="F195" s="48" t="s">
        <x:v>67</x:v>
      </x:c>
      <x:c r="G195" s="48" t="s">
        <x:v>66</x:v>
      </x:c>
      <x:c r="H195" s="48" t="s">
        <x:v>66</x:v>
      </x:c>
      <x:c r="I195" s="48" t="s">
        <x:v>66</x:v>
      </x:c>
      <x:c r="J195" s="48" t="s">
        <x:v>66</x:v>
      </x:c>
      <x:c r="K195" s="64"/>
      <x:c r="L195" s="64"/>
      <x:c r="M195" s="50"/>
      <x:c r="N195" s="49"/>
      <x:c r="O195" s="50"/>
      <x:c r="P195" s="50"/>
      <x:c r="Q195" s="32">
        <x:v>191</x:v>
      </x:c>
      <x:c r="R195" s="68"/>
      <x:c r="S195" s="54" t="n">
        <x:f>INDEX('Locations'!$D$6:$D$453,MATCH(B195,'Locations'!$A$6:$A$453,0))</x:f>
        <x:v>42.7285120372353</x:v>
      </x:c>
      <x:c r="T195" s="54" t="n">
        <x:f>INDEX('Locations'!$E$6:$E$453,MATCH(B195,'Locations'!$A$6:$A$453,0))</x:f>
        <x:v>-73.6819163306486</x:v>
      </x:c>
      <x:c r="U195" s="54" t="n">
        <x:f>INDEX('Locations'!$D$6:$D$453,MATCH(C195,'Locations'!$A$6:$A$453,0))</x:f>
        <x:v>42.7286292875741</x:v>
      </x:c>
      <x:c r="V195" s="69" t="n">
        <x:f>INDEX('Locations'!$E$6:$E$453,MATCH(C195,'Locations'!$A$6:$A$453,0))</x:f>
        <x:v>-73.6819195139221</x:v>
      </x:c>
      <x:c r="W195" s="44"/>
    </x:row>
    <x:row r="196" ht="23" customHeight="1">
      <x:c r="A196" s="21" t="s">
        <x:v>798</x:v>
      </x:c>
      <x:c r="B196" s="45" t="s">
        <x:v>330</x:v>
      </x:c>
      <x:c r="C196" s="45" t="s">
        <x:v>332</x:v>
      </x:c>
      <x:c r="D196" s="45" t="s">
        <x:v>606</x:v>
      </x:c>
      <x:c r="E196" s="63" t="n">
        <x:f>2*6371000*ASIN(SQRT(MIN(1,SIN(RADIANS(U196-S196)/2)^2+COS(RADIANS(S196))*COS(RADIANS(U196))*SIN(RADIANS(V196-T196)/2)^2)))</x:f>
        <x:v>21.10170335631814</x:v>
      </x:c>
      <x:c r="F196" s="48" t="s">
        <x:v>67</x:v>
      </x:c>
      <x:c r="G196" s="48" t="s">
        <x:v>66</x:v>
      </x:c>
      <x:c r="H196" s="48" t="s">
        <x:v>66</x:v>
      </x:c>
      <x:c r="I196" s="48" t="s">
        <x:v>66</x:v>
      </x:c>
      <x:c r="J196" s="48" t="s">
        <x:v>66</x:v>
      </x:c>
      <x:c r="K196" s="64"/>
      <x:c r="L196" s="64"/>
      <x:c r="M196" s="50"/>
      <x:c r="N196" s="49"/>
      <x:c r="O196" s="50"/>
      <x:c r="P196" s="50"/>
      <x:c r="Q196" s="30">
        <x:v>192</x:v>
      </x:c>
      <x:c r="R196" s="65"/>
      <x:c r="S196" s="46" t="n">
        <x:f>INDEX('Locations'!$D$6:$D$453,MATCH(B196,'Locations'!$A$6:$A$453,0))</x:f>
        <x:v>42.7289568988148</x:v>
      </x:c>
      <x:c r="T196" s="46" t="n">
        <x:f>INDEX('Locations'!$E$6:$E$453,MATCH(B196,'Locations'!$A$6:$A$453,0))</x:f>
        <x:v>-73.6822633074569</x:v>
      </x:c>
      <x:c r="U196" s="46" t="n">
        <x:f>INDEX('Locations'!$D$6:$D$453,MATCH(C196,'Locations'!$A$6:$A$453,0))</x:f>
        <x:v>42.728876432896</x:v>
      </x:c>
      <x:c r="V196" s="66" t="n">
        <x:f>INDEX('Locations'!$E$6:$E$453,MATCH(C196,'Locations'!$A$6:$A$453,0))</x:f>
        <x:v>-73.682497278057</x:v>
      </x:c>
      <x:c r="W196" s="44"/>
    </x:row>
    <x:row r="197" ht="23" customHeight="1">
      <x:c r="A197" s="24" t="s">
        <x:v>799</x:v>
      </x:c>
      <x:c r="B197" s="53" t="s">
        <x:v>331</x:v>
      </x:c>
      <x:c r="C197" s="53" t="s">
        <x:v>332</x:v>
      </x:c>
      <x:c r="D197" s="53" t="s">
        <x:v>606</x:v>
      </x:c>
      <x:c r="E197" s="67" t="n">
        <x:f>2*6371000*ASIN(SQRT(MIN(1,SIN(RADIANS(U197-S197)/2)^2+COS(RADIANS(S197))*COS(RADIANS(U197))*SIN(RADIANS(V197-T197)/2)^2)))</x:f>
        <x:v>22.42885533110214</x:v>
      </x:c>
      <x:c r="F197" s="48" t="s">
        <x:v>67</x:v>
      </x:c>
      <x:c r="G197" s="48" t="s">
        <x:v>66</x:v>
      </x:c>
      <x:c r="H197" s="48" t="s">
        <x:v>66</x:v>
      </x:c>
      <x:c r="I197" s="48" t="s">
        <x:v>66</x:v>
      </x:c>
      <x:c r="J197" s="48" t="s">
        <x:v>66</x:v>
      </x:c>
      <x:c r="K197" s="64"/>
      <x:c r="L197" s="64"/>
      <x:c r="M197" s="50"/>
      <x:c r="N197" s="49"/>
      <x:c r="O197" s="50"/>
      <x:c r="P197" s="50"/>
      <x:c r="Q197" s="32">
        <x:v>193</x:v>
      </x:c>
      <x:c r="R197" s="68"/>
      <x:c r="S197" s="54" t="n">
        <x:f>INDEX('Locations'!$D$6:$D$453,MATCH(B197,'Locations'!$A$6:$A$453,0))</x:f>
        <x:v>42.7287361922948</x:v>
      </x:c>
      <x:c r="T197" s="54" t="n">
        <x:f>INDEX('Locations'!$E$6:$E$453,MATCH(B197,'Locations'!$A$6:$A$453,0))</x:f>
        <x:v>-73.6826946410121</x:v>
      </x:c>
      <x:c r="U197" s="54" t="n">
        <x:f>INDEX('Locations'!$D$6:$D$453,MATCH(C197,'Locations'!$A$6:$A$453,0))</x:f>
        <x:v>42.728876432896</x:v>
      </x:c>
      <x:c r="V197" s="69" t="n">
        <x:f>INDEX('Locations'!$E$6:$E$453,MATCH(C197,'Locations'!$A$6:$A$453,0))</x:f>
        <x:v>-73.682497278057</x:v>
      </x:c>
      <x:c r="W197" s="44"/>
    </x:row>
    <x:row r="198" ht="23" customHeight="1">
      <x:c r="A198" s="21" t="s">
        <x:v>800</x:v>
      </x:c>
      <x:c r="B198" s="45" t="s">
        <x:v>327</x:v>
      </x:c>
      <x:c r="C198" s="45" t="s">
        <x:v>331</x:v>
      </x:c>
      <x:c r="D198" s="45" t="s">
        <x:v>606</x:v>
      </x:c>
      <x:c r="E198" s="63" t="n">
        <x:f>2*6371000*ASIN(SQRT(MIN(1,SIN(RADIANS(U198-S198)/2)^2+COS(RADIANS(S198))*COS(RADIANS(U198))*SIN(RADIANS(V198-T198)/2)^2)))</x:f>
        <x:v>64.41943907433804</x:v>
      </x:c>
      <x:c r="F198" s="48" t="s">
        <x:v>67</x:v>
      </x:c>
      <x:c r="G198" s="48" t="s">
        <x:v>66</x:v>
      </x:c>
      <x:c r="H198" s="48" t="s">
        <x:v>66</x:v>
      </x:c>
      <x:c r="I198" s="48" t="s">
        <x:v>66</x:v>
      </x:c>
      <x:c r="J198" s="48" t="s">
        <x:v>66</x:v>
      </x:c>
      <x:c r="K198" s="64"/>
      <x:c r="L198" s="64"/>
      <x:c r="M198" s="50"/>
      <x:c r="N198" s="49"/>
      <x:c r="O198" s="50"/>
      <x:c r="P198" s="50"/>
      <x:c r="Q198" s="30">
        <x:v>194</x:v>
      </x:c>
      <x:c r="R198" s="65"/>
      <x:c r="S198" s="46" t="n">
        <x:f>INDEX('Locations'!$D$6:$D$453,MATCH(B198,'Locations'!$A$6:$A$453,0))</x:f>
        <x:v>42.7286292875741</x:v>
      </x:c>
      <x:c r="T198" s="46" t="n">
        <x:f>INDEX('Locations'!$E$6:$E$453,MATCH(B198,'Locations'!$A$6:$A$453,0))</x:f>
        <x:v>-73.6819195139221</x:v>
      </x:c>
      <x:c r="U198" s="46" t="n">
        <x:f>INDEX('Locations'!$D$6:$D$453,MATCH(C198,'Locations'!$A$6:$A$453,0))</x:f>
        <x:v>42.7287361922948</x:v>
      </x:c>
      <x:c r="V198" s="66" t="n">
        <x:f>INDEX('Locations'!$E$6:$E$453,MATCH(C198,'Locations'!$A$6:$A$453,0))</x:f>
        <x:v>-73.6826946410121</x:v>
      </x:c>
      <x:c r="W198" s="44"/>
    </x:row>
    <x:row r="199" ht="23" customHeight="1">
      <x:c r="A199" s="24" t="s">
        <x:v>801</x:v>
      </x:c>
      <x:c r="B199" s="53" t="s">
        <x:v>116</x:v>
      </x:c>
      <x:c r="C199" s="53" t="s">
        <x:v>273</x:v>
      </x:c>
      <x:c r="D199" s="53" t="s">
        <x:v>661</x:v>
      </x:c>
      <x:c r="E199" s="67" t="n">
        <x:f>2*6371000*ASIN(SQRT(MIN(1,SIN(RADIANS(U199-S199)/2)^2+COS(RADIANS(S199))*COS(RADIANS(U199))*SIN(RADIANS(V199-T199)/2)^2)))</x:f>
        <x:v>36.15895267502802</x:v>
      </x:c>
      <x:c r="F199" s="48" t="s">
        <x:v>67</x:v>
      </x:c>
      <x:c r="G199" s="48" t="s">
        <x:v>66</x:v>
      </x:c>
      <x:c r="H199" s="48" t="s">
        <x:v>66</x:v>
      </x:c>
      <x:c r="I199" s="48" t="s">
        <x:v>66</x:v>
      </x:c>
      <x:c r="J199" s="48" t="s">
        <x:v>66</x:v>
      </x:c>
      <x:c r="K199" s="64"/>
      <x:c r="L199" s="64"/>
      <x:c r="M199" s="50"/>
      <x:c r="N199" s="49"/>
      <x:c r="O199" s="50"/>
      <x:c r="P199" s="50"/>
      <x:c r="Q199" s="32">
        <x:v>195</x:v>
      </x:c>
      <x:c r="R199" s="68"/>
      <x:c r="S199" s="54" t="n">
        <x:f>INDEX('Locations'!$D$6:$D$453,MATCH(B199,'Locations'!$A$6:$A$453,0))</x:f>
        <x:v>42.7313769480033</x:v>
      </x:c>
      <x:c r="T199" s="54" t="n">
        <x:f>INDEX('Locations'!$E$6:$E$453,MATCH(B199,'Locations'!$A$6:$A$453,0))</x:f>
        <x:v>-73.6791896873967</x:v>
      </x:c>
      <x:c r="U199" s="54" t="n">
        <x:f>INDEX('Locations'!$D$6:$D$453,MATCH(C199,'Locations'!$A$6:$A$453,0))</x:f>
        <x:v>42.7310582088079</x:v>
      </x:c>
      <x:c r="V199" s="69" t="n">
        <x:f>INDEX('Locations'!$E$6:$E$453,MATCH(C199,'Locations'!$A$6:$A$453,0))</x:f>
        <x:v>-73.6792773969415</x:v>
      </x:c>
      <x:c r="W199" s="44"/>
    </x:row>
    <x:row r="200" ht="23" customHeight="1">
      <x:c r="A200" s="21" t="s">
        <x:v>802</x:v>
      </x:c>
      <x:c r="B200" s="45" t="s">
        <x:v>154</x:v>
      </x:c>
      <x:c r="C200" s="45" t="s">
        <x:v>333</x:v>
      </x:c>
      <x:c r="D200" s="45" t="s">
        <x:v>606</x:v>
      </x:c>
      <x:c r="E200" s="63" t="n">
        <x:f>2*6371000*ASIN(SQRT(MIN(1,SIN(RADIANS(U200-S200)/2)^2+COS(RADIANS(S200))*COS(RADIANS(U200))*SIN(RADIANS(V200-T200)/2)^2)))</x:f>
        <x:v>24.92971331783012</x:v>
      </x:c>
      <x:c r="F200" s="48" t="s">
        <x:v>67</x:v>
      </x:c>
      <x:c r="G200" s="48" t="s">
        <x:v>66</x:v>
      </x:c>
      <x:c r="H200" s="48" t="s">
        <x:v>66</x:v>
      </x:c>
      <x:c r="I200" s="48" t="s">
        <x:v>66</x:v>
      </x:c>
      <x:c r="J200" s="48" t="s">
        <x:v>66</x:v>
      </x:c>
      <x:c r="K200" s="64"/>
      <x:c r="L200" s="64"/>
      <x:c r="M200" s="50"/>
      <x:c r="N200" s="49"/>
      <x:c r="O200" s="50"/>
      <x:c r="P200" s="50"/>
      <x:c r="Q200" s="30">
        <x:v>196</x:v>
      </x:c>
      <x:c r="R200" s="65"/>
      <x:c r="S200" s="46" t="n">
        <x:f>INDEX('Locations'!$D$6:$D$453,MATCH(B200,'Locations'!$A$6:$A$453,0))</x:f>
        <x:v>42.7313610903711</x:v>
      </x:c>
      <x:c r="T200" s="46" t="n">
        <x:f>INDEX('Locations'!$E$6:$E$453,MATCH(B200,'Locations'!$A$6:$A$453,0))</x:f>
        <x:v>-73.6798278892484</x:v>
      </x:c>
      <x:c r="U200" s="46" t="n">
        <x:f>INDEX('Locations'!$D$6:$D$453,MATCH(C200,'Locations'!$A$6:$A$453,0))</x:f>
        <x:v>42.7311386747266</x:v>
      </x:c>
      <x:c r="V200" s="66" t="n">
        <x:f>INDEX('Locations'!$E$6:$E$453,MATCH(C200,'Locations'!$A$6:$A$453,0))</x:f>
        <x:v>-73.6798663025336</x:v>
      </x:c>
      <x:c r="W200" s="44"/>
    </x:row>
    <x:row r="201" ht="23" customHeight="1">
      <x:c r="A201" s="24" t="s">
        <x:v>803</x:v>
      </x:c>
      <x:c r="B201" s="53" t="s">
        <x:v>273</x:v>
      </x:c>
      <x:c r="C201" s="53" t="s">
        <x:v>333</x:v>
      </x:c>
      <x:c r="D201" s="53" t="s">
        <x:v>606</x:v>
      </x:c>
      <x:c r="E201" s="67" t="n">
        <x:f>2*6371000*ASIN(SQRT(MIN(1,SIN(RADIANS(U201-S201)/2)^2+COS(RADIANS(S201))*COS(RADIANS(U201))*SIN(RADIANS(V201-T201)/2)^2)))</x:f>
        <x:v>48.925629833984566</x:v>
      </x:c>
      <x:c r="F201" s="48" t="s">
        <x:v>67</x:v>
      </x:c>
      <x:c r="G201" s="48" t="s">
        <x:v>66</x:v>
      </x:c>
      <x:c r="H201" s="48" t="s">
        <x:v>66</x:v>
      </x:c>
      <x:c r="I201" s="48" t="s">
        <x:v>66</x:v>
      </x:c>
      <x:c r="J201" s="48" t="s">
        <x:v>66</x:v>
      </x:c>
      <x:c r="K201" s="64"/>
      <x:c r="L201" s="64"/>
      <x:c r="M201" s="50"/>
      <x:c r="N201" s="49"/>
      <x:c r="O201" s="50"/>
      <x:c r="P201" s="50"/>
      <x:c r="Q201" s="32">
        <x:v>197</x:v>
      </x:c>
      <x:c r="R201" s="68"/>
      <x:c r="S201" s="54" t="n">
        <x:f>INDEX('Locations'!$D$6:$D$453,MATCH(B201,'Locations'!$A$6:$A$453,0))</x:f>
        <x:v>42.7310582088079</x:v>
      </x:c>
      <x:c r="T201" s="54" t="n">
        <x:f>INDEX('Locations'!$E$6:$E$453,MATCH(B201,'Locations'!$A$6:$A$453,0))</x:f>
        <x:v>-73.6792773969415</x:v>
      </x:c>
      <x:c r="U201" s="54" t="n">
        <x:f>INDEX('Locations'!$D$6:$D$453,MATCH(C201,'Locations'!$A$6:$A$453,0))</x:f>
        <x:v>42.7311386747266</x:v>
      </x:c>
      <x:c r="V201" s="69" t="n">
        <x:f>INDEX('Locations'!$E$6:$E$453,MATCH(C201,'Locations'!$A$6:$A$453,0))</x:f>
        <x:v>-73.6798663025336</x:v>
      </x:c>
      <x:c r="W201" s="44"/>
    </x:row>
    <x:row r="202" ht="23" customHeight="1">
      <x:c r="A202" s="21" t="s">
        <x:v>804</x:v>
      </x:c>
      <x:c r="B202" s="45" t="s">
        <x:v>221</x:v>
      </x:c>
      <x:c r="C202" s="45" t="s">
        <x:v>186</x:v>
      </x:c>
      <x:c r="D202" s="45" t="s">
        <x:v>606</x:v>
      </x:c>
      <x:c r="E202" s="63" t="n">
        <x:f>2*6371000*ASIN(SQRT(MIN(1,SIN(RADIANS(U202-S202)/2)^2+COS(RADIANS(S202))*COS(RADIANS(U202))*SIN(RADIANS(V202-T202)/2)^2)))</x:f>
        <x:v>84.3500564117829</x:v>
      </x:c>
      <x:c r="F202" s="48" t="s">
        <x:v>67</x:v>
      </x:c>
      <x:c r="G202" s="48" t="s">
        <x:v>66</x:v>
      </x:c>
      <x:c r="H202" s="48" t="s">
        <x:v>66</x:v>
      </x:c>
      <x:c r="I202" s="48" t="s">
        <x:v>66</x:v>
      </x:c>
      <x:c r="J202" s="48" t="s">
        <x:v>66</x:v>
      </x:c>
      <x:c r="K202" s="64"/>
      <x:c r="L202" s="64"/>
      <x:c r="M202" s="50"/>
      <x:c r="N202" s="49"/>
      <x:c r="O202" s="50"/>
      <x:c r="P202" s="50"/>
      <x:c r="Q202" s="30">
        <x:v>198</x:v>
      </x:c>
      <x:c r="R202" s="65"/>
      <x:c r="S202" s="46" t="n">
        <x:f>INDEX('Locations'!$D$6:$D$453,MATCH(B202,'Locations'!$A$6:$A$453,0))</x:f>
        <x:v>42.7325065953458</x:v>
      </x:c>
      <x:c r="T202" s="46" t="n">
        <x:f>INDEX('Locations'!$E$6:$E$453,MATCH(B202,'Locations'!$A$6:$A$453,0))</x:f>
        <x:v>-73.6726721044902</x:v>
      </x:c>
      <x:c r="U202" s="46" t="n">
        <x:f>INDEX('Locations'!$D$6:$D$453,MATCH(C202,'Locations'!$A$6:$A$453,0))</x:f>
        <x:v>42.7332453932335</x:v>
      </x:c>
      <x:c r="V202" s="66" t="n">
        <x:f>INDEX('Locations'!$E$6:$E$453,MATCH(C202,'Locations'!$A$6:$A$453,0))</x:f>
        <x:v>-73.6724378024118</x:v>
      </x:c>
      <x:c r="W202" s="44"/>
    </x:row>
    <x:row r="203" ht="23" customHeight="1">
      <x:c r="A203" s="24" t="s">
        <x:v>805</x:v>
      </x:c>
      <x:c r="B203" s="53" t="s">
        <x:v>314</x:v>
      </x:c>
      <x:c r="C203" s="53" t="s">
        <x:v>334</x:v>
      </x:c>
      <x:c r="D203" s="53" t="s">
        <x:v>606</x:v>
      </x:c>
      <x:c r="E203" s="67" t="n">
        <x:f>2*6371000*ASIN(SQRT(MIN(1,SIN(RADIANS(U203-S203)/2)^2+COS(RADIANS(S203))*COS(RADIANS(U203))*SIN(RADIANS(V203-T203)/2)^2)))</x:f>
        <x:v>27.86667446090639</x:v>
      </x:c>
      <x:c r="F203" s="48" t="s">
        <x:v>67</x:v>
      </x:c>
      <x:c r="G203" s="48" t="s">
        <x:v>66</x:v>
      </x:c>
      <x:c r="H203" s="48" t="s">
        <x:v>66</x:v>
      </x:c>
      <x:c r="I203" s="48" t="s">
        <x:v>66</x:v>
      </x:c>
      <x:c r="J203" s="48" t="s">
        <x:v>66</x:v>
      </x:c>
      <x:c r="K203" s="64"/>
      <x:c r="L203" s="64"/>
      <x:c r="M203" s="50"/>
      <x:c r="N203" s="49"/>
      <x:c r="O203" s="50"/>
      <x:c r="P203" s="50"/>
      <x:c r="Q203" s="32">
        <x:v>199</x:v>
      </x:c>
      <x:c r="R203" s="68"/>
      <x:c r="S203" s="54" t="n">
        <x:f>INDEX('Locations'!$D$6:$D$453,MATCH(B203,'Locations'!$A$6:$A$453,0))</x:f>
        <x:v>42.7290005803136</x:v>
      </x:c>
      <x:c r="T203" s="54" t="n">
        <x:f>INDEX('Locations'!$E$6:$E$453,MATCH(B203,'Locations'!$A$6:$A$453,0))</x:f>
        <x:v>-73.6785181862188</x:v>
      </x:c>
      <x:c r="U203" s="54" t="n">
        <x:f>INDEX('Locations'!$D$6:$D$453,MATCH(C203,'Locations'!$A$6:$A$453,0))</x:f>
        <x:v>42.7289201143948</x:v>
      </x:c>
      <x:c r="V203" s="69" t="n">
        <x:f>INDEX('Locations'!$E$6:$E$453,MATCH(C203,'Locations'!$A$6:$A$453,0))</x:f>
        <x:v>-73.6781950839616</x:v>
      </x:c>
      <x:c r="W203" s="44"/>
    </x:row>
    <x:row r="204" ht="23" customHeight="1">
      <x:c r="A204" s="21" t="s">
        <x:v>806</x:v>
      </x:c>
      <x:c r="B204" s="45" t="s">
        <x:v>100</x:v>
      </x:c>
      <x:c r="C204" s="45" t="s">
        <x:v>334</x:v>
      </x:c>
      <x:c r="D204" s="45" t="s">
        <x:v>606</x:v>
      </x:c>
      <x:c r="E204" s="63" t="n">
        <x:f>2*6371000*ASIN(SQRT(MIN(1,SIN(RADIANS(U204-S204)/2)^2+COS(RADIANS(S204))*COS(RADIANS(U204))*SIN(RADIANS(V204-T204)/2)^2)))</x:f>
        <x:v>80.0431651401594</x:v>
      </x:c>
      <x:c r="F204" s="48" t="s">
        <x:v>67</x:v>
      </x:c>
      <x:c r="G204" s="48" t="s">
        <x:v>66</x:v>
      </x:c>
      <x:c r="H204" s="48" t="s">
        <x:v>66</x:v>
      </x:c>
      <x:c r="I204" s="48" t="s">
        <x:v>66</x:v>
      </x:c>
      <x:c r="J204" s="48" t="s">
        <x:v>66</x:v>
      </x:c>
      <x:c r="K204" s="64"/>
      <x:c r="L204" s="64"/>
      <x:c r="M204" s="50"/>
      <x:c r="N204" s="49"/>
      <x:c r="O204" s="50"/>
      <x:c r="P204" s="50"/>
      <x:c r="Q204" s="30">
        <x:v>200</x:v>
      </x:c>
      <x:c r="R204" s="65"/>
      <x:c r="S204" s="46" t="n">
        <x:f>INDEX('Locations'!$D$6:$D$453,MATCH(B204,'Locations'!$A$6:$A$453,0))</x:f>
        <x:v>42.7282253057696</x:v>
      </x:c>
      <x:c r="T204" s="46" t="n">
        <x:f>INDEX('Locations'!$E$6:$E$453,MATCH(B204,'Locations'!$A$6:$A$453,0))</x:f>
        <x:v>-73.6784512833453</x:v>
      </x:c>
      <x:c r="U204" s="46" t="n">
        <x:f>INDEX('Locations'!$D$6:$D$453,MATCH(C204,'Locations'!$A$6:$A$453,0))</x:f>
        <x:v>42.7289201143948</x:v>
      </x:c>
      <x:c r="V204" s="66" t="n">
        <x:f>INDEX('Locations'!$E$6:$E$453,MATCH(C204,'Locations'!$A$6:$A$453,0))</x:f>
        <x:v>-73.6781950839616</x:v>
      </x:c>
      <x:c r="W204" s="44"/>
    </x:row>
    <x:row r="205" ht="23" customHeight="1">
      <x:c r="A205" s="24" t="s">
        <x:v>807</x:v>
      </x:c>
      <x:c r="B205" s="53" t="s">
        <x:v>180</x:v>
      </x:c>
      <x:c r="C205" s="53" t="s">
        <x:v>334</x:v>
      </x:c>
      <x:c r="D205" s="53" t="s">
        <x:v>606</x:v>
      </x:c>
      <x:c r="E205" s="67" t="n">
        <x:f>2*6371000*ASIN(SQRT(MIN(1,SIN(RADIANS(U205-S205)/2)^2+COS(RADIANS(S205))*COS(RADIANS(U205))*SIN(RADIANS(V205-T205)/2)^2)))</x:f>
        <x:v>32.35376335112229</x:v>
      </x:c>
      <x:c r="F205" s="48" t="s">
        <x:v>67</x:v>
      </x:c>
      <x:c r="G205" s="48" t="s">
        <x:v>66</x:v>
      </x:c>
      <x:c r="H205" s="48" t="s">
        <x:v>66</x:v>
      </x:c>
      <x:c r="I205" s="48" t="s">
        <x:v>66</x:v>
      </x:c>
      <x:c r="J205" s="48" t="s">
        <x:v>66</x:v>
      </x:c>
      <x:c r="K205" s="64"/>
      <x:c r="L205" s="64"/>
      <x:c r="M205" s="50"/>
      <x:c r="N205" s="49"/>
      <x:c r="O205" s="50"/>
      <x:c r="P205" s="50"/>
      <x:c r="Q205" s="32">
        <x:v>201</x:v>
      </x:c>
      <x:c r="R205" s="68"/>
      <x:c r="S205" s="54" t="n">
        <x:f>INDEX('Locations'!$D$6:$D$453,MATCH(B205,'Locations'!$A$6:$A$453,0))</x:f>
        <x:v>42.7292099242771</x:v>
      </x:c>
      <x:c r="T205" s="54" t="n">
        <x:f>INDEX('Locations'!$E$6:$E$453,MATCH(B205,'Locations'!$A$6:$A$453,0))</x:f>
        <x:v>-73.6781598332795</x:v>
      </x:c>
      <x:c r="U205" s="54" t="n">
        <x:f>INDEX('Locations'!$D$6:$D$453,MATCH(C205,'Locations'!$A$6:$A$453,0))</x:f>
        <x:v>42.7289201143948</x:v>
      </x:c>
      <x:c r="V205" s="69" t="n">
        <x:f>INDEX('Locations'!$E$6:$E$453,MATCH(C205,'Locations'!$A$6:$A$453,0))</x:f>
        <x:v>-73.6781950839616</x:v>
      </x:c>
      <x:c r="W205" s="44"/>
    </x:row>
    <x:row r="206" ht="23" customHeight="1">
      <x:c r="A206" s="21" t="s">
        <x:v>808</x:v>
      </x:c>
      <x:c r="B206" s="45" t="s">
        <x:v>263</x:v>
      </x:c>
      <x:c r="C206" s="45" t="s">
        <x:v>335</x:v>
      </x:c>
      <x:c r="D206" s="45" t="s">
        <x:v>606</x:v>
      </x:c>
      <x:c r="E206" s="63" t="n">
        <x:f>2*6371000*ASIN(SQRT(MIN(1,SIN(RADIANS(U206-S206)/2)^2+COS(RADIANS(S206))*COS(RADIANS(U206))*SIN(RADIANS(V206-T206)/2)^2)))</x:f>
        <x:v>122.41986775250068</x:v>
      </x:c>
      <x:c r="F206" s="48" t="s">
        <x:v>67</x:v>
      </x:c>
      <x:c r="G206" s="48" t="s">
        <x:v>66</x:v>
      </x:c>
      <x:c r="H206" s="48" t="s">
        <x:v>66</x:v>
      </x:c>
      <x:c r="I206" s="48" t="s">
        <x:v>66</x:v>
      </x:c>
      <x:c r="J206" s="48" t="s">
        <x:v>66</x:v>
      </x:c>
      <x:c r="K206" s="64"/>
      <x:c r="L206" s="64"/>
      <x:c r="M206" s="50"/>
      <x:c r="N206" s="49"/>
      <x:c r="O206" s="50"/>
      <x:c r="P206" s="50"/>
      <x:c r="Q206" s="30">
        <x:v>202</x:v>
      </x:c>
      <x:c r="R206" s="65"/>
      <x:c r="S206" s="46" t="n">
        <x:f>INDEX('Locations'!$D$6:$D$453,MATCH(B206,'Locations'!$A$6:$A$453,0))</x:f>
        <x:v>42.7300581323889</x:v>
      </x:c>
      <x:c r="T206" s="46" t="n">
        <x:f>INDEX('Locations'!$E$6:$E$453,MATCH(B206,'Locations'!$A$6:$A$453,0))</x:f>
        <x:v>-73.6774263234184</x:v>
      </x:c>
      <x:c r="U206" s="46" t="n">
        <x:f>INDEX('Locations'!$D$6:$D$453,MATCH(C206,'Locations'!$A$6:$A$453,0))</x:f>
        <x:v>42.7289729919986</x:v>
      </x:c>
      <x:c r="V206" s="66" t="n">
        <x:f>INDEX('Locations'!$E$6:$E$453,MATCH(C206,'Locations'!$A$6:$A$453,0))</x:f>
        <x:v>-73.6776793936593</x:v>
      </x:c>
      <x:c r="W206" s="44"/>
    </x:row>
    <x:row r="207" ht="23" customHeight="1">
      <x:c r="A207" s="24" t="s">
        <x:v>809</x:v>
      </x:c>
      <x:c r="B207" s="53" t="s">
        <x:v>334</x:v>
      </x:c>
      <x:c r="C207" s="53" t="s">
        <x:v>335</x:v>
      </x:c>
      <x:c r="D207" s="53" t="s">
        <x:v>606</x:v>
      </x:c>
      <x:c r="E207" s="67" t="n">
        <x:f>2*6371000*ASIN(SQRT(MIN(1,SIN(RADIANS(U207-S207)/2)^2+COS(RADIANS(S207))*COS(RADIANS(U207))*SIN(RADIANS(V207-T207)/2)^2)))</x:f>
        <x:v>42.53031777754718</x:v>
      </x:c>
      <x:c r="F207" s="48" t="s">
        <x:v>67</x:v>
      </x:c>
      <x:c r="G207" s="48" t="s">
        <x:v>66</x:v>
      </x:c>
      <x:c r="H207" s="48" t="s">
        <x:v>66</x:v>
      </x:c>
      <x:c r="I207" s="48" t="s">
        <x:v>66</x:v>
      </x:c>
      <x:c r="J207" s="48" t="s">
        <x:v>66</x:v>
      </x:c>
      <x:c r="K207" s="64"/>
      <x:c r="L207" s="64"/>
      <x:c r="M207" s="50"/>
      <x:c r="N207" s="49"/>
      <x:c r="O207" s="50"/>
      <x:c r="P207" s="50"/>
      <x:c r="Q207" s="32">
        <x:v>203</x:v>
      </x:c>
      <x:c r="R207" s="68"/>
      <x:c r="S207" s="54" t="n">
        <x:f>INDEX('Locations'!$D$6:$D$453,MATCH(B207,'Locations'!$A$6:$A$453,0))</x:f>
        <x:v>42.7289201143948</x:v>
      </x:c>
      <x:c r="T207" s="54" t="n">
        <x:f>INDEX('Locations'!$E$6:$E$453,MATCH(B207,'Locations'!$A$6:$A$453,0))</x:f>
        <x:v>-73.6781950839616</x:v>
      </x:c>
      <x:c r="U207" s="54" t="n">
        <x:f>INDEX('Locations'!$D$6:$D$453,MATCH(C207,'Locations'!$A$6:$A$453,0))</x:f>
        <x:v>42.7289729919986</x:v>
      </x:c>
      <x:c r="V207" s="69" t="n">
        <x:f>INDEX('Locations'!$E$6:$E$453,MATCH(C207,'Locations'!$A$6:$A$453,0))</x:f>
        <x:v>-73.6776793936593</x:v>
      </x:c>
      <x:c r="W207" s="44"/>
    </x:row>
    <x:row r="208" ht="23" customHeight="1">
      <x:c r="A208" s="21" t="s">
        <x:v>810</x:v>
      </x:c>
      <x:c r="B208" s="45" t="s">
        <x:v>336</x:v>
      </x:c>
      <x:c r="C208" s="45" t="s">
        <x:v>335</x:v>
      </x:c>
      <x:c r="D208" s="45" t="s">
        <x:v>606</x:v>
      </x:c>
      <x:c r="E208" s="63" t="n">
        <x:f>2*6371000*ASIN(SQRT(MIN(1,SIN(RADIANS(U208-S208)/2)^2+COS(RADIANS(S208))*COS(RADIANS(U208))*SIN(RADIANS(V208-T208)/2)^2)))</x:f>
        <x:v>32.98514349546304</x:v>
      </x:c>
      <x:c r="F208" s="48" t="s">
        <x:v>67</x:v>
      </x:c>
      <x:c r="G208" s="48" t="s">
        <x:v>66</x:v>
      </x:c>
      <x:c r="H208" s="48" t="s">
        <x:v>66</x:v>
      </x:c>
      <x:c r="I208" s="48" t="s">
        <x:v>66</x:v>
      </x:c>
      <x:c r="J208" s="48" t="s">
        <x:v>66</x:v>
      </x:c>
      <x:c r="K208" s="64"/>
      <x:c r="L208" s="64"/>
      <x:c r="M208" s="50"/>
      <x:c r="N208" s="49"/>
      <x:c r="O208" s="50"/>
      <x:c r="P208" s="50"/>
      <x:c r="Q208" s="30">
        <x:v>204</x:v>
      </x:c>
      <x:c r="R208" s="65"/>
      <x:c r="S208" s="46" t="n">
        <x:f>INDEX('Locations'!$D$6:$D$453,MATCH(B208,'Locations'!$A$6:$A$453,0))</x:f>
        <x:v>42.7289385066048</x:v>
      </x:c>
      <x:c r="T208" s="46" t="n">
        <x:f>INDEX('Locations'!$E$6:$E$453,MATCH(B208,'Locations'!$A$6:$A$453,0))</x:f>
        <x:v>-73.6772783012021</x:v>
      </x:c>
      <x:c r="U208" s="46" t="n">
        <x:f>INDEX('Locations'!$D$6:$D$453,MATCH(C208,'Locations'!$A$6:$A$453,0))</x:f>
        <x:v>42.7289729919986</x:v>
      </x:c>
      <x:c r="V208" s="66" t="n">
        <x:f>INDEX('Locations'!$E$6:$E$453,MATCH(C208,'Locations'!$A$6:$A$453,0))</x:f>
        <x:v>-73.6776793936593</x:v>
      </x:c>
      <x:c r="W208" s="44"/>
    </x:row>
    <x:row r="209" ht="23" customHeight="1">
      <x:c r="A209" s="24" t="s">
        <x:v>811</x:v>
      </x:c>
      <x:c r="B209" s="53" t="s">
        <x:v>172</x:v>
      </x:c>
      <x:c r="C209" s="53" t="s">
        <x:v>339</x:v>
      </x:c>
      <x:c r="D209" s="53" t="s">
        <x:v>606</x:v>
      </x:c>
      <x:c r="E209" s="67" t="n">
        <x:f>2*6371000*ASIN(SQRT(MIN(1,SIN(RADIANS(U209-S209)/2)^2+COS(RADIANS(S209))*COS(RADIANS(U209))*SIN(RADIANS(V209-T209)/2)^2)))</x:f>
        <x:v>38.094554122774234</x:v>
      </x:c>
      <x:c r="F209" s="48" t="s">
        <x:v>67</x:v>
      </x:c>
      <x:c r="G209" s="48" t="s">
        <x:v>66</x:v>
      </x:c>
      <x:c r="H209" s="48" t="s">
        <x:v>66</x:v>
      </x:c>
      <x:c r="I209" s="48" t="s">
        <x:v>66</x:v>
      </x:c>
      <x:c r="J209" s="48" t="s">
        <x:v>66</x:v>
      </x:c>
      <x:c r="K209" s="64"/>
      <x:c r="L209" s="64"/>
      <x:c r="M209" s="50"/>
      <x:c r="N209" s="49"/>
      <x:c r="O209" s="50"/>
      <x:c r="P209" s="50"/>
      <x:c r="Q209" s="32">
        <x:v>205</x:v>
      </x:c>
      <x:c r="R209" s="68"/>
      <x:c r="S209" s="54" t="n">
        <x:f>INDEX('Locations'!$D$6:$D$453,MATCH(B209,'Locations'!$A$6:$A$453,0))</x:f>
        <x:v>42.7298997202713</x:v>
      </x:c>
      <x:c r="T209" s="54" t="n">
        <x:f>INDEX('Locations'!$E$6:$E$453,MATCH(B209,'Locations'!$A$6:$A$453,0))</x:f>
        <x:v>-73.6766696757312</x:v>
      </x:c>
      <x:c r="U209" s="54" t="n">
        <x:f>INDEX('Locations'!$D$6:$D$453,MATCH(C209,'Locations'!$A$6:$A$453,0))</x:f>
        <x:v>42.7299604237732</x:v>
      </x:c>
      <x:c r="V209" s="69" t="n">
        <x:f>INDEX('Locations'!$E$6:$E$453,MATCH(C209,'Locations'!$A$6:$A$453,0))</x:f>
        <x:v>-73.6771286873489</x:v>
      </x:c>
      <x:c r="W209" s="44"/>
    </x:row>
    <x:row r="210" ht="23" customHeight="1">
      <x:c r="A210" s="21" t="s">
        <x:v>812</x:v>
      </x:c>
      <x:c r="B210" s="45" t="s">
        <x:v>263</x:v>
      </x:c>
      <x:c r="C210" s="45" t="s">
        <x:v>339</x:v>
      </x:c>
      <x:c r="D210" s="45" t="s">
        <x:v>606</x:v>
      </x:c>
      <x:c r="E210" s="63" t="n">
        <x:f>2*6371000*ASIN(SQRT(MIN(1,SIN(RADIANS(U210-S210)/2)^2+COS(RADIANS(S210))*COS(RADIANS(U210))*SIN(RADIANS(V210-T210)/2)^2)))</x:f>
        <x:v>26.628024810023028</x:v>
      </x:c>
      <x:c r="F210" s="48" t="s">
        <x:v>67</x:v>
      </x:c>
      <x:c r="G210" s="48" t="s">
        <x:v>66</x:v>
      </x:c>
      <x:c r="H210" s="48" t="s">
        <x:v>66</x:v>
      </x:c>
      <x:c r="I210" s="48" t="s">
        <x:v>66</x:v>
      </x:c>
      <x:c r="J210" s="48" t="s">
        <x:v>66</x:v>
      </x:c>
      <x:c r="K210" s="64"/>
      <x:c r="L210" s="64"/>
      <x:c r="M210" s="50"/>
      <x:c r="N210" s="49"/>
      <x:c r="O210" s="50"/>
      <x:c r="P210" s="50"/>
      <x:c r="Q210" s="30">
        <x:v>206</x:v>
      </x:c>
      <x:c r="R210" s="65"/>
      <x:c r="S210" s="46" t="n">
        <x:f>INDEX('Locations'!$D$6:$D$453,MATCH(B210,'Locations'!$A$6:$A$453,0))</x:f>
        <x:v>42.7300581323889</x:v>
      </x:c>
      <x:c r="T210" s="46" t="n">
        <x:f>INDEX('Locations'!$E$6:$E$453,MATCH(B210,'Locations'!$A$6:$A$453,0))</x:f>
        <x:v>-73.6774263234184</x:v>
      </x:c>
      <x:c r="U210" s="46" t="n">
        <x:f>INDEX('Locations'!$D$6:$D$453,MATCH(C210,'Locations'!$A$6:$A$453,0))</x:f>
        <x:v>42.7299604237732</x:v>
      </x:c>
      <x:c r="V210" s="66" t="n">
        <x:f>INDEX('Locations'!$E$6:$E$453,MATCH(C210,'Locations'!$A$6:$A$453,0))</x:f>
        <x:v>-73.6771286873489</x:v>
      </x:c>
      <x:c r="W210" s="44"/>
    </x:row>
    <x:row r="211" ht="23" customHeight="1">
      <x:c r="A211" s="24" t="s">
        <x:v>813</x:v>
      </x:c>
      <x:c r="B211" s="53" t="s">
        <x:v>338</x:v>
      </x:c>
      <x:c r="C211" s="53" t="s">
        <x:v>339</x:v>
      </x:c>
      <x:c r="D211" s="53" t="s">
        <x:v>661</x:v>
      </x:c>
      <x:c r="E211" s="67" t="n">
        <x:f>2*6371000*ASIN(SQRT(MIN(1,SIN(RADIANS(U211-S211)/2)^2+COS(RADIANS(S211))*COS(RADIANS(U211))*SIN(RADIANS(V211-T211)/2)^2)))</x:f>
        <x:v>26.87366961234144</x:v>
      </x:c>
      <x:c r="F211" s="48" t="s">
        <x:v>67</x:v>
      </x:c>
      <x:c r="G211" s="48" t="s">
        <x:v>66</x:v>
      </x:c>
      <x:c r="H211" s="48" t="s">
        <x:v>66</x:v>
      </x:c>
      <x:c r="I211" s="48" t="s">
        <x:v>66</x:v>
      </x:c>
      <x:c r="J211" s="48" t="s">
        <x:v>66</x:v>
      </x:c>
      <x:c r="K211" s="64"/>
      <x:c r="L211" s="64"/>
      <x:c r="M211" s="50"/>
      <x:c r="N211" s="49"/>
      <x:c r="O211" s="50"/>
      <x:c r="P211" s="50"/>
      <x:c r="Q211" s="32">
        <x:v>207</x:v>
      </x:c>
      <x:c r="R211" s="68"/>
      <x:c r="S211" s="54" t="n">
        <x:f>INDEX('Locations'!$D$6:$D$453,MATCH(B211,'Locations'!$A$6:$A$453,0))</x:f>
        <x:v>42.7297190260169</x:v>
      </x:c>
      <x:c r="T211" s="54" t="n">
        <x:f>INDEX('Locations'!$E$6:$E$453,MATCH(B211,'Locations'!$A$6:$A$453,0))</x:f>
        <x:v>-73.6771127709816</x:v>
      </x:c>
      <x:c r="U211" s="54" t="n">
        <x:f>INDEX('Locations'!$D$6:$D$453,MATCH(C211,'Locations'!$A$6:$A$453,0))</x:f>
        <x:v>42.7299604237732</x:v>
      </x:c>
      <x:c r="V211" s="69" t="n">
        <x:f>INDEX('Locations'!$E$6:$E$453,MATCH(C211,'Locations'!$A$6:$A$453,0))</x:f>
        <x:v>-73.6771286873489</x:v>
      </x:c>
      <x:c r="W211" s="44"/>
    </x:row>
    <x:row r="212" ht="23" customHeight="1">
      <x:c r="A212" s="21" t="s">
        <x:v>814</x:v>
      </x:c>
      <x:c r="B212" s="45" t="s">
        <x:v>270</x:v>
      </x:c>
      <x:c r="C212" s="45" t="s">
        <x:v>337</x:v>
      </x:c>
      <x:c r="D212" s="45" t="s">
        <x:v>606</x:v>
      </x:c>
      <x:c r="E212" s="63" t="n">
        <x:f>2*6371000*ASIN(SQRT(MIN(1,SIN(RADIANS(U212-S212)/2)^2+COS(RADIANS(S212))*COS(RADIANS(U212))*SIN(RADIANS(V212-T212)/2)^2)))</x:f>
        <x:v>27.708311024029328</x:v>
      </x:c>
      <x:c r="F212" s="48" t="s">
        <x:v>67</x:v>
      </x:c>
      <x:c r="G212" s="48" t="s">
        <x:v>66</x:v>
      </x:c>
      <x:c r="H212" s="48" t="s">
        <x:v>66</x:v>
      </x:c>
      <x:c r="I212" s="48" t="s">
        <x:v>66</x:v>
      </x:c>
      <x:c r="J212" s="48" t="s">
        <x:v>66</x:v>
      </x:c>
      <x:c r="K212" s="64"/>
      <x:c r="L212" s="64"/>
      <x:c r="M212" s="50"/>
      <x:c r="N212" s="49"/>
      <x:c r="O212" s="50"/>
      <x:c r="P212" s="50"/>
      <x:c r="Q212" s="30">
        <x:v>208</x:v>
      </x:c>
      <x:c r="R212" s="65"/>
      <x:c r="S212" s="46" t="n">
        <x:f>INDEX('Locations'!$D$6:$D$453,MATCH(B212,'Locations'!$A$6:$A$453,0))</x:f>
        <x:v>42.7292948556737</x:v>
      </x:c>
      <x:c r="T212" s="46" t="n">
        <x:f>INDEX('Locations'!$E$6:$E$453,MATCH(B212,'Locations'!$A$6:$A$453,0))</x:f>
        <x:v>-73.6773785743164</x:v>
      </x:c>
      <x:c r="U212" s="46" t="n">
        <x:f>INDEX('Locations'!$D$6:$D$453,MATCH(C212,'Locations'!$A$6:$A$453,0))</x:f>
        <x:v>42.7294718806949</x:v>
      </x:c>
      <x:c r="V212" s="66" t="n">
        <x:f>INDEX('Locations'!$E$6:$E$453,MATCH(C212,'Locations'!$A$6:$A$453,0))</x:f>
        <x:v>-73.6771398288061</x:v>
      </x:c>
      <x:c r="W212" s="44"/>
    </x:row>
    <x:row r="213" ht="23" customHeight="1">
      <x:c r="A213" s="24" t="s">
        <x:v>815</x:v>
      </x:c>
      <x:c r="B213" s="53" t="s">
        <x:v>270</x:v>
      </x:c>
      <x:c r="C213" s="53" t="s">
        <x:v>162</x:v>
      </x:c>
      <x:c r="D213" s="53" t="s">
        <x:v>606</x:v>
      </x:c>
      <x:c r="E213" s="67" t="n">
        <x:f>2*6371000*ASIN(SQRT(MIN(1,SIN(RADIANS(U213-S213)/2)^2+COS(RADIANS(S213))*COS(RADIANS(U213))*SIN(RADIANS(V213-T213)/2)^2)))</x:f>
        <x:v>31.155105613779664</x:v>
      </x:c>
      <x:c r="F213" s="48" t="s">
        <x:v>67</x:v>
      </x:c>
      <x:c r="G213" s="48" t="s">
        <x:v>66</x:v>
      </x:c>
      <x:c r="H213" s="48" t="s">
        <x:v>66</x:v>
      </x:c>
      <x:c r="I213" s="48" t="s">
        <x:v>66</x:v>
      </x:c>
      <x:c r="J213" s="48" t="s">
        <x:v>66</x:v>
      </x:c>
      <x:c r="K213" s="64"/>
      <x:c r="L213" s="64"/>
      <x:c r="M213" s="50"/>
      <x:c r="N213" s="49"/>
      <x:c r="O213" s="50"/>
      <x:c r="P213" s="50"/>
      <x:c r="Q213" s="32">
        <x:v>209</x:v>
      </x:c>
      <x:c r="R213" s="68"/>
      <x:c r="S213" s="54" t="n">
        <x:f>INDEX('Locations'!$D$6:$D$453,MATCH(B213,'Locations'!$A$6:$A$453,0))</x:f>
        <x:v>42.7292948556737</x:v>
      </x:c>
      <x:c r="T213" s="54" t="n">
        <x:f>INDEX('Locations'!$E$6:$E$453,MATCH(B213,'Locations'!$A$6:$A$453,0))</x:f>
        <x:v>-73.6773785743164</x:v>
      </x:c>
      <x:c r="U213" s="54" t="n">
        <x:f>INDEX('Locations'!$D$6:$D$453,MATCH(C213,'Locations'!$A$6:$A$453,0))</x:f>
        <x:v>42.729251662132</x:v>
      </x:c>
      <x:c r="V213" s="69" t="n">
        <x:f>INDEX('Locations'!$E$6:$E$453,MATCH(C213,'Locations'!$A$6:$A$453,0))</x:f>
        <x:v>-73.6770017062938</x:v>
      </x:c>
      <x:c r="W213" s="44"/>
    </x:row>
    <x:row r="214" ht="23" customHeight="1">
      <x:c r="A214" s="21" t="s">
        <x:v>816</x:v>
      </x:c>
      <x:c r="B214" s="45" t="s">
        <x:v>336</x:v>
      </x:c>
      <x:c r="C214" s="45" t="s">
        <x:v>340</x:v>
      </x:c>
      <x:c r="D214" s="45" t="s">
        <x:v>606</x:v>
      </x:c>
      <x:c r="E214" s="63" t="n">
        <x:f>2*6371000*ASIN(SQRT(MIN(1,SIN(RADIANS(U214-S214)/2)^2+COS(RADIANS(S214))*COS(RADIANS(U214))*SIN(RADIANS(V214-T214)/2)^2)))</x:f>
        <x:v>28.981005800967058</x:v>
      </x:c>
      <x:c r="F214" s="48" t="s">
        <x:v>67</x:v>
      </x:c>
      <x:c r="G214" s="48" t="s">
        <x:v>66</x:v>
      </x:c>
      <x:c r="H214" s="48" t="s">
        <x:v>66</x:v>
      </x:c>
      <x:c r="I214" s="48" t="s">
        <x:v>66</x:v>
      </x:c>
      <x:c r="J214" s="48" t="s">
        <x:v>66</x:v>
      </x:c>
      <x:c r="K214" s="64"/>
      <x:c r="L214" s="64"/>
      <x:c r="M214" s="50"/>
      <x:c r="N214" s="49"/>
      <x:c r="O214" s="50"/>
      <x:c r="P214" s="50"/>
      <x:c r="Q214" s="30">
        <x:v>210</x:v>
      </x:c>
      <x:c r="R214" s="65"/>
      <x:c r="S214" s="46" t="n">
        <x:f>INDEX('Locations'!$D$6:$D$453,MATCH(B214,'Locations'!$A$6:$A$453,0))</x:f>
        <x:v>42.7289385066048</x:v>
      </x:c>
      <x:c r="T214" s="46" t="n">
        <x:f>INDEX('Locations'!$E$6:$E$453,MATCH(B214,'Locations'!$A$6:$A$453,0))</x:f>
        <x:v>-73.6772783012021</x:v>
      </x:c>
      <x:c r="U214" s="46" t="n">
        <x:f>INDEX('Locations'!$D$6:$D$453,MATCH(C214,'Locations'!$A$6:$A$453,0))</x:f>
        <x:v>42.7290856442848</x:v>
      </x:c>
      <x:c r="V214" s="66" t="n">
        <x:f>INDEX('Locations'!$E$6:$E$453,MATCH(C214,'Locations'!$A$6:$A$453,0))</x:f>
        <x:v>-73.6769854400428</x:v>
      </x:c>
      <x:c r="W214" s="44"/>
    </x:row>
    <x:row r="215" ht="23" customHeight="1">
      <x:c r="A215" s="24" t="s">
        <x:v>817</x:v>
      </x:c>
      <x:c r="B215" s="53" t="s">
        <x:v>270</x:v>
      </x:c>
      <x:c r="C215" s="53" t="s">
        <x:v>340</x:v>
      </x:c>
      <x:c r="D215" s="53" t="s">
        <x:v>606</x:v>
      </x:c>
      <x:c r="E215" s="67" t="n">
        <x:f>2*6371000*ASIN(SQRT(MIN(1,SIN(RADIANS(U215-S215)/2)^2+COS(RADIANS(S215))*COS(RADIANS(U215))*SIN(RADIANS(V215-T215)/2)^2)))</x:f>
        <x:v>39.65245205535203</x:v>
      </x:c>
      <x:c r="F215" s="48" t="s">
        <x:v>67</x:v>
      </x:c>
      <x:c r="G215" s="48" t="s">
        <x:v>66</x:v>
      </x:c>
      <x:c r="H215" s="48" t="s">
        <x:v>66</x:v>
      </x:c>
      <x:c r="I215" s="48" t="s">
        <x:v>66</x:v>
      </x:c>
      <x:c r="J215" s="48" t="s">
        <x:v>66</x:v>
      </x:c>
      <x:c r="K215" s="64"/>
      <x:c r="L215" s="64"/>
      <x:c r="M215" s="50"/>
      <x:c r="N215" s="49"/>
      <x:c r="O215" s="50"/>
      <x:c r="P215" s="50"/>
      <x:c r="Q215" s="32">
        <x:v>211</x:v>
      </x:c>
      <x:c r="R215" s="68"/>
      <x:c r="S215" s="54" t="n">
        <x:f>INDEX('Locations'!$D$6:$D$453,MATCH(B215,'Locations'!$A$6:$A$453,0))</x:f>
        <x:v>42.7292948556737</x:v>
      </x:c>
      <x:c r="T215" s="54" t="n">
        <x:f>INDEX('Locations'!$E$6:$E$453,MATCH(B215,'Locations'!$A$6:$A$453,0))</x:f>
        <x:v>-73.6773785743164</x:v>
      </x:c>
      <x:c r="U215" s="54" t="n">
        <x:f>INDEX('Locations'!$D$6:$D$453,MATCH(C215,'Locations'!$A$6:$A$453,0))</x:f>
        <x:v>42.7290856442848</x:v>
      </x:c>
      <x:c r="V215" s="69" t="n">
        <x:f>INDEX('Locations'!$E$6:$E$453,MATCH(C215,'Locations'!$A$6:$A$453,0))</x:f>
        <x:v>-73.6769854400428</x:v>
      </x:c>
      <x:c r="W215" s="44"/>
    </x:row>
    <x:row r="216" ht="23" customHeight="1">
      <x:c r="A216" s="21" t="s">
        <x:v>818</x:v>
      </x:c>
      <x:c r="B216" s="45" t="s">
        <x:v>337</x:v>
      </x:c>
      <x:c r="C216" s="45" t="s">
        <x:v>338</x:v>
      </x:c>
      <x:c r="D216" s="45" t="s">
        <x:v>606</x:v>
      </x:c>
      <x:c r="E216" s="63" t="n">
        <x:f>2*6371000*ASIN(SQRT(MIN(1,SIN(RADIANS(U216-S216)/2)^2+COS(RADIANS(S216))*COS(RADIANS(U216))*SIN(RADIANS(V216-T216)/2)^2)))</x:f>
        <x:v>27.5700312232098</x:v>
      </x:c>
      <x:c r="F216" s="48" t="s">
        <x:v>67</x:v>
      </x:c>
      <x:c r="G216" s="48" t="s">
        <x:v>66</x:v>
      </x:c>
      <x:c r="H216" s="48" t="s">
        <x:v>66</x:v>
      </x:c>
      <x:c r="I216" s="48" t="s">
        <x:v>66</x:v>
      </x:c>
      <x:c r="J216" s="48" t="s">
        <x:v>66</x:v>
      </x:c>
      <x:c r="K216" s="64"/>
      <x:c r="L216" s="64"/>
      <x:c r="M216" s="50"/>
      <x:c r="N216" s="49"/>
      <x:c r="O216" s="50"/>
      <x:c r="P216" s="50"/>
      <x:c r="Q216" s="30">
        <x:v>212</x:v>
      </x:c>
      <x:c r="R216" s="65"/>
      <x:c r="S216" s="46" t="n">
        <x:f>INDEX('Locations'!$D$6:$D$453,MATCH(B216,'Locations'!$A$6:$A$453,0))</x:f>
        <x:v>42.7294718806949</x:v>
      </x:c>
      <x:c r="T216" s="46" t="n">
        <x:f>INDEX('Locations'!$E$6:$E$453,MATCH(B216,'Locations'!$A$6:$A$453,0))</x:f>
        <x:v>-73.6771398288061</x:v>
      </x:c>
      <x:c r="U216" s="46" t="n">
        <x:f>INDEX('Locations'!$D$6:$D$453,MATCH(C216,'Locations'!$A$6:$A$453,0))</x:f>
        <x:v>42.7297190260169</x:v>
      </x:c>
      <x:c r="V216" s="66" t="n">
        <x:f>INDEX('Locations'!$E$6:$E$453,MATCH(C216,'Locations'!$A$6:$A$453,0))</x:f>
        <x:v>-73.6771127709816</x:v>
      </x:c>
      <x:c r="W216" s="44"/>
    </x:row>
    <x:row r="217" ht="23" customHeight="1">
      <x:c r="A217" s="24" t="s">
        <x:v>819</x:v>
      </x:c>
      <x:c r="B217" s="53" t="s">
        <x:v>341</x:v>
      </x:c>
      <x:c r="C217" s="53" t="s">
        <x:v>264</x:v>
      </x:c>
      <x:c r="D217" s="53" t="s">
        <x:v>606</x:v>
      </x:c>
      <x:c r="E217" s="67" t="n">
        <x:f>2*6371000*ASIN(SQRT(MIN(1,SIN(RADIANS(U217-S217)/2)^2+COS(RADIANS(S217))*COS(RADIANS(U217))*SIN(RADIANS(V217-T217)/2)^2)))</x:f>
        <x:v>36.17515662704898</x:v>
      </x:c>
      <x:c r="F217" s="48" t="s">
        <x:v>67</x:v>
      </x:c>
      <x:c r="G217" s="48" t="s">
        <x:v>66</x:v>
      </x:c>
      <x:c r="H217" s="48" t="s">
        <x:v>66</x:v>
      </x:c>
      <x:c r="I217" s="48" t="s">
        <x:v>66</x:v>
      </x:c>
      <x:c r="J217" s="48" t="s">
        <x:v>66</x:v>
      </x:c>
      <x:c r="K217" s="64"/>
      <x:c r="L217" s="64"/>
      <x:c r="M217" s="50"/>
      <x:c r="N217" s="49"/>
      <x:c r="O217" s="50"/>
      <x:c r="P217" s="50"/>
      <x:c r="Q217" s="32">
        <x:v>213</x:v>
      </x:c>
      <x:c r="R217" s="68"/>
      <x:c r="S217" s="54" t="n">
        <x:f>INDEX('Locations'!$D$6:$D$453,MATCH(B217,'Locations'!$A$6:$A$453,0))</x:f>
        <x:v>42.7295523466137</x:v>
      </x:c>
      <x:c r="T217" s="54" t="n">
        <x:f>INDEX('Locations'!$E$6:$E$453,MATCH(B217,'Locations'!$A$6:$A$453,0))</x:f>
        <x:v>-73.6769376909407</x:v>
      </x:c>
      <x:c r="U217" s="54" t="n">
        <x:f>INDEX('Locations'!$D$6:$D$453,MATCH(C217,'Locations'!$A$6:$A$453,0))</x:f>
        <x:v>42.7295109641412</x:v>
      </x:c>
      <x:c r="V217" s="69" t="n">
        <x:f>INDEX('Locations'!$E$6:$E$453,MATCH(C217,'Locations'!$A$6:$A$453,0))</x:f>
        <x:v>-73.6764983992018</x:v>
      </x:c>
      <x:c r="W217" s="44"/>
    </x:row>
    <x:row r="218" ht="23" customHeight="1">
      <x:c r="A218" s="21" t="s">
        <x:v>820</x:v>
      </x:c>
      <x:c r="B218" s="45" t="s">
        <x:v>172</x:v>
      </x:c>
      <x:c r="C218" s="45" t="s">
        <x:v>341</x:v>
      </x:c>
      <x:c r="D218" s="45" t="s">
        <x:v>606</x:v>
      </x:c>
      <x:c r="E218" s="63" t="n">
        <x:f>2*6371000*ASIN(SQRT(MIN(1,SIN(RADIANS(U218-S218)/2)^2+COS(RADIANS(S218))*COS(RADIANS(U218))*SIN(RADIANS(V218-T218)/2)^2)))</x:f>
        <x:v>44.398369436051155</x:v>
      </x:c>
      <x:c r="F218" s="48" t="s">
        <x:v>67</x:v>
      </x:c>
      <x:c r="G218" s="48" t="s">
        <x:v>66</x:v>
      </x:c>
      <x:c r="H218" s="48" t="s">
        <x:v>66</x:v>
      </x:c>
      <x:c r="I218" s="48" t="s">
        <x:v>66</x:v>
      </x:c>
      <x:c r="J218" s="48" t="s">
        <x:v>66</x:v>
      </x:c>
      <x:c r="K218" s="64"/>
      <x:c r="L218" s="64"/>
      <x:c r="M218" s="50"/>
      <x:c r="N218" s="49"/>
      <x:c r="O218" s="50"/>
      <x:c r="P218" s="50"/>
      <x:c r="Q218" s="30">
        <x:v>214</x:v>
      </x:c>
      <x:c r="R218" s="65"/>
      <x:c r="S218" s="46" t="n">
        <x:f>INDEX('Locations'!$D$6:$D$453,MATCH(B218,'Locations'!$A$6:$A$453,0))</x:f>
        <x:v>42.7298997202713</x:v>
      </x:c>
      <x:c r="T218" s="46" t="n">
        <x:f>INDEX('Locations'!$E$6:$E$453,MATCH(B218,'Locations'!$A$6:$A$453,0))</x:f>
        <x:v>-73.6766696757312</x:v>
      </x:c>
      <x:c r="U218" s="46" t="n">
        <x:f>INDEX('Locations'!$D$6:$D$453,MATCH(C218,'Locations'!$A$6:$A$453,0))</x:f>
        <x:v>42.7295523466137</x:v>
      </x:c>
      <x:c r="V218" s="66" t="n">
        <x:f>INDEX('Locations'!$E$6:$E$453,MATCH(C218,'Locations'!$A$6:$A$453,0))</x:f>
        <x:v>-73.6769376909407</x:v>
      </x:c>
      <x:c r="W218" s="44"/>
    </x:row>
    <x:row r="219" ht="23" customHeight="1">
      <x:c r="A219" s="24" t="s">
        <x:v>821</x:v>
      </x:c>
      <x:c r="B219" s="53" t="s">
        <x:v>337</x:v>
      </x:c>
      <x:c r="C219" s="53" t="s">
        <x:v>341</x:v>
      </x:c>
      <x:c r="D219" s="53" t="s">
        <x:v>606</x:v>
      </x:c>
      <x:c r="E219" s="67" t="n">
        <x:f>2*6371000*ASIN(SQRT(MIN(1,SIN(RADIANS(U219-S219)/2)^2+COS(RADIANS(S219))*COS(RADIANS(U219))*SIN(RADIANS(V219-T219)/2)^2)))</x:f>
        <x:v>18.77913958118895</x:v>
      </x:c>
      <x:c r="F219" s="48" t="s">
        <x:v>67</x:v>
      </x:c>
      <x:c r="G219" s="48" t="s">
        <x:v>66</x:v>
      </x:c>
      <x:c r="H219" s="48" t="s">
        <x:v>66</x:v>
      </x:c>
      <x:c r="I219" s="48" t="s">
        <x:v>66</x:v>
      </x:c>
      <x:c r="J219" s="48" t="s">
        <x:v>66</x:v>
      </x:c>
      <x:c r="K219" s="64"/>
      <x:c r="L219" s="64"/>
      <x:c r="M219" s="50"/>
      <x:c r="N219" s="49"/>
      <x:c r="O219" s="50"/>
      <x:c r="P219" s="50"/>
      <x:c r="Q219" s="32">
        <x:v>215</x:v>
      </x:c>
      <x:c r="R219" s="68"/>
      <x:c r="S219" s="54" t="n">
        <x:f>INDEX('Locations'!$D$6:$D$453,MATCH(B219,'Locations'!$A$6:$A$453,0))</x:f>
        <x:v>42.7294718806949</x:v>
      </x:c>
      <x:c r="T219" s="54" t="n">
        <x:f>INDEX('Locations'!$E$6:$E$453,MATCH(B219,'Locations'!$A$6:$A$453,0))</x:f>
        <x:v>-73.6771398288061</x:v>
      </x:c>
      <x:c r="U219" s="54" t="n">
        <x:f>INDEX('Locations'!$D$6:$D$453,MATCH(C219,'Locations'!$A$6:$A$453,0))</x:f>
        <x:v>42.7295523466137</x:v>
      </x:c>
      <x:c r="V219" s="69" t="n">
        <x:f>INDEX('Locations'!$E$6:$E$453,MATCH(C219,'Locations'!$A$6:$A$453,0))</x:f>
        <x:v>-73.6769376909407</x:v>
      </x:c>
      <x:c r="W219" s="44"/>
    </x:row>
    <x:row r="220" ht="23" customHeight="1">
      <x:c r="A220" s="21" t="s">
        <x:v>822</x:v>
      </x:c>
      <x:c r="B220" s="45" t="s">
        <x:v>340</x:v>
      </x:c>
      <x:c r="C220" s="45" t="s">
        <x:v>150</x:v>
      </x:c>
      <x:c r="D220" s="45" t="s">
        <x:v>606</x:v>
      </x:c>
      <x:c r="E220" s="63" t="n">
        <x:f>2*6371000*ASIN(SQRT(MIN(1,SIN(RADIANS(U220-S220)/2)^2+COS(RADIANS(S220))*COS(RADIANS(U220))*SIN(RADIANS(V220-T220)/2)^2)))</x:f>
        <x:v>31.740295124507334</x:v>
      </x:c>
      <x:c r="F220" s="48" t="s">
        <x:v>67</x:v>
      </x:c>
      <x:c r="G220" s="48" t="s">
        <x:v>66</x:v>
      </x:c>
      <x:c r="H220" s="48" t="s">
        <x:v>66</x:v>
      </x:c>
      <x:c r="I220" s="48" t="s">
        <x:v>66</x:v>
      </x:c>
      <x:c r="J220" s="48" t="s">
        <x:v>66</x:v>
      </x:c>
      <x:c r="K220" s="64"/>
      <x:c r="L220" s="64"/>
      <x:c r="M220" s="50"/>
      <x:c r="N220" s="49"/>
      <x:c r="O220" s="50"/>
      <x:c r="P220" s="50"/>
      <x:c r="Q220" s="30">
        <x:v>216</x:v>
      </x:c>
      <x:c r="R220" s="65"/>
      <x:c r="S220" s="46" t="n">
        <x:f>INDEX('Locations'!$D$6:$D$453,MATCH(B220,'Locations'!$A$6:$A$453,0))</x:f>
        <x:v>42.7290856442848</x:v>
      </x:c>
      <x:c r="T220" s="46" t="n">
        <x:f>INDEX('Locations'!$E$6:$E$453,MATCH(B220,'Locations'!$A$6:$A$453,0))</x:f>
        <x:v>-73.6769854400428</x:v>
      </x:c>
      <x:c r="U220" s="46" t="n">
        <x:f>INDEX('Locations'!$D$6:$D$453,MATCH(C220,'Locations'!$A$6:$A$453,0))</x:f>
        <x:v>42.728805307566</x:v>
      </x:c>
      <x:c r="V220" s="66" t="n">
        <x:f>INDEX('Locations'!$E$6:$E$453,MATCH(C220,'Locations'!$A$6:$A$453,0))</x:f>
        <x:v>-73.6769122372688</x:v>
      </x:c>
      <x:c r="W220" s="44"/>
    </x:row>
    <x:row r="221" ht="23" customHeight="1">
      <x:c r="A221" s="24" t="s">
        <x:v>823</x:v>
      </x:c>
      <x:c r="B221" s="53" t="s">
        <x:v>176</x:v>
      </x:c>
      <x:c r="C221" s="53" t="s">
        <x:v>74</x:v>
      </x:c>
      <x:c r="D221" s="53" t="s">
        <x:v>606</x:v>
      </x:c>
      <x:c r="E221" s="67" t="n">
        <x:f>2*6371000*ASIN(SQRT(MIN(1,SIN(RADIANS(U221-S221)/2)^2+COS(RADIANS(S221))*COS(RADIANS(U221))*SIN(RADIANS(V221-T221)/2)^2)))</x:f>
        <x:v>41.17503982218204</x:v>
      </x:c>
      <x:c r="F221" s="48" t="s">
        <x:v>67</x:v>
      </x:c>
      <x:c r="G221" s="48" t="s">
        <x:v>66</x:v>
      </x:c>
      <x:c r="H221" s="48" t="s">
        <x:v>66</x:v>
      </x:c>
      <x:c r="I221" s="48" t="s">
        <x:v>66</x:v>
      </x:c>
      <x:c r="J221" s="48" t="s">
        <x:v>66</x:v>
      </x:c>
      <x:c r="K221" s="64"/>
      <x:c r="L221" s="64"/>
      <x:c r="M221" s="50"/>
      <x:c r="N221" s="49"/>
      <x:c r="O221" s="50"/>
      <x:c r="P221" s="50"/>
      <x:c r="Q221" s="32">
        <x:v>217</x:v>
      </x:c>
      <x:c r="R221" s="68"/>
      <x:c r="S221" s="54" t="n">
        <x:f>INDEX('Locations'!$D$6:$D$453,MATCH(B221,'Locations'!$A$6:$A$453,0))</x:f>
        <x:v>42.7281536327168</x:v>
      </x:c>
      <x:c r="T221" s="54" t="n">
        <x:f>INDEX('Locations'!$E$6:$E$453,MATCH(B221,'Locations'!$A$6:$A$453,0))</x:f>
        <x:v>-73.6772449936472</x:v>
      </x:c>
      <x:c r="U221" s="54" t="n">
        <x:f>INDEX('Locations'!$D$6:$D$453,MATCH(C221,'Locations'!$A$6:$A$453,0))</x:f>
        <x:v>42.7284653662746</x:v>
      </x:c>
      <x:c r="V221" s="69" t="n">
        <x:f>INDEX('Locations'!$E$6:$E$453,MATCH(C221,'Locations'!$A$6:$A$453,0))</x:f>
        <x:v>-73.6769729287301</x:v>
      </x:c>
      <x:c r="W221" s="44"/>
    </x:row>
    <x:row r="222" ht="23" customHeight="1">
      <x:c r="A222" s="21" t="s">
        <x:v>824</x:v>
      </x:c>
      <x:c r="B222" s="45" t="s">
        <x:v>150</x:v>
      </x:c>
      <x:c r="C222" s="45" t="s">
        <x:v>74</x:v>
      </x:c>
      <x:c r="D222" s="45" t="s">
        <x:v>606</x:v>
      </x:c>
      <x:c r="E222" s="63" t="n">
        <x:f>2*6371000*ASIN(SQRT(MIN(1,SIN(RADIANS(U222-S222)/2)^2+COS(RADIANS(S222))*COS(RADIANS(U222))*SIN(RADIANS(V222-T222)/2)^2)))</x:f>
        <x:v>38.123432806985996</x:v>
      </x:c>
      <x:c r="F222" s="48" t="s">
        <x:v>67</x:v>
      </x:c>
      <x:c r="G222" s="48" t="s">
        <x:v>66</x:v>
      </x:c>
      <x:c r="H222" s="48" t="s">
        <x:v>66</x:v>
      </x:c>
      <x:c r="I222" s="48" t="s">
        <x:v>66</x:v>
      </x:c>
      <x:c r="J222" s="48" t="s">
        <x:v>66</x:v>
      </x:c>
      <x:c r="K222" s="64"/>
      <x:c r="L222" s="64"/>
      <x:c r="M222" s="50"/>
      <x:c r="N222" s="49"/>
      <x:c r="O222" s="50"/>
      <x:c r="P222" s="50"/>
      <x:c r="Q222" s="30">
        <x:v>218</x:v>
      </x:c>
      <x:c r="R222" s="65"/>
      <x:c r="S222" s="46" t="n">
        <x:f>INDEX('Locations'!$D$6:$D$453,MATCH(B222,'Locations'!$A$6:$A$453,0))</x:f>
        <x:v>42.728805307566</x:v>
      </x:c>
      <x:c r="T222" s="46" t="n">
        <x:f>INDEX('Locations'!$E$6:$E$453,MATCH(B222,'Locations'!$A$6:$A$453,0))</x:f>
        <x:v>-73.6769122372688</x:v>
      </x:c>
      <x:c r="U222" s="46" t="n">
        <x:f>INDEX('Locations'!$D$6:$D$453,MATCH(C222,'Locations'!$A$6:$A$453,0))</x:f>
        <x:v>42.7284653662746</x:v>
      </x:c>
      <x:c r="V222" s="66" t="n">
        <x:f>INDEX('Locations'!$E$6:$E$453,MATCH(C222,'Locations'!$A$6:$A$453,0))</x:f>
        <x:v>-73.6769729287301</x:v>
      </x:c>
      <x:c r="W222" s="44"/>
    </x:row>
    <x:row r="223" ht="23" customHeight="1">
      <x:c r="A223" s="24" t="s">
        <x:v>825</x:v>
      </x:c>
      <x:c r="B223" s="53" t="s">
        <x:v>340</x:v>
      </x:c>
      <x:c r="C223" s="53" t="s">
        <x:v>342</x:v>
      </x:c>
      <x:c r="D223" s="53" t="s">
        <x:v>606</x:v>
      </x:c>
      <x:c r="E223" s="67" t="n">
        <x:f>2*6371000*ASIN(SQRT(MIN(1,SIN(RADIANS(U223-S223)/2)^2+COS(RADIANS(S223))*COS(RADIANS(U223))*SIN(RADIANS(V223-T223)/2)^2)))</x:f>
        <x:v>77.6173565865728</x:v>
      </x:c>
      <x:c r="F223" s="48" t="s">
        <x:v>67</x:v>
      </x:c>
      <x:c r="G223" s="48" t="s">
        <x:v>66</x:v>
      </x:c>
      <x:c r="H223" s="48" t="s">
        <x:v>66</x:v>
      </x:c>
      <x:c r="I223" s="48" t="s">
        <x:v>66</x:v>
      </x:c>
      <x:c r="J223" s="48" t="s">
        <x:v>66</x:v>
      </x:c>
      <x:c r="K223" s="64"/>
      <x:c r="L223" s="64"/>
      <x:c r="M223" s="50"/>
      <x:c r="N223" s="49"/>
      <x:c r="O223" s="50"/>
      <x:c r="P223" s="50"/>
      <x:c r="Q223" s="32">
        <x:v>219</x:v>
      </x:c>
      <x:c r="R223" s="68"/>
      <x:c r="S223" s="54" t="n">
        <x:f>INDEX('Locations'!$D$6:$D$453,MATCH(B223,'Locations'!$A$6:$A$453,0))</x:f>
        <x:v>42.7290856442848</x:v>
      </x:c>
      <x:c r="T223" s="54" t="n">
        <x:f>INDEX('Locations'!$E$6:$E$453,MATCH(B223,'Locations'!$A$6:$A$453,0))</x:f>
        <x:v>-73.6769854400428</x:v>
      </x:c>
      <x:c r="U223" s="54" t="n">
        <x:f>INDEX('Locations'!$D$6:$D$453,MATCH(C223,'Locations'!$A$6:$A$453,0))</x:f>
        <x:v>42.7289201143948</x:v>
      </x:c>
      <x:c r="V223" s="69" t="n">
        <x:f>INDEX('Locations'!$E$6:$E$453,MATCH(C223,'Locations'!$A$6:$A$453,0))</x:f>
        <x:v>-73.6760622907363</x:v>
      </x:c>
      <x:c r="W223" s="44"/>
    </x:row>
    <x:row r="224" ht="23" customHeight="1">
      <x:c r="A224" s="21" t="s">
        <x:v>826</x:v>
      </x:c>
      <x:c r="B224" s="45" t="s">
        <x:v>343</x:v>
      </x:c>
      <x:c r="C224" s="45" t="s">
        <x:v>342</x:v>
      </x:c>
      <x:c r="D224" s="45" t="s">
        <x:v>606</x:v>
      </x:c>
      <x:c r="E224" s="63" t="n">
        <x:f>2*6371000*ASIN(SQRT(MIN(1,SIN(RADIANS(U224-S224)/2)^2+COS(RADIANS(S224))*COS(RADIANS(U224))*SIN(RADIANS(V224-T224)/2)^2)))</x:f>
        <x:v>25.564005533488235</x:v>
      </x:c>
      <x:c r="F224" s="48" t="s">
        <x:v>67</x:v>
      </x:c>
      <x:c r="G224" s="48" t="s">
        <x:v>66</x:v>
      </x:c>
      <x:c r="H224" s="48" t="s">
        <x:v>66</x:v>
      </x:c>
      <x:c r="I224" s="48" t="s">
        <x:v>66</x:v>
      </x:c>
      <x:c r="J224" s="48" t="s">
        <x:v>66</x:v>
      </x:c>
      <x:c r="K224" s="64"/>
      <x:c r="L224" s="64"/>
      <x:c r="M224" s="50"/>
      <x:c r="N224" s="49"/>
      <x:c r="O224" s="50"/>
      <x:c r="P224" s="50"/>
      <x:c r="Q224" s="30">
        <x:v>220</x:v>
      </x:c>
      <x:c r="R224" s="65"/>
      <x:c r="S224" s="46" t="n">
        <x:f>INDEX('Locations'!$D$6:$D$453,MATCH(B224,'Locations'!$A$6:$A$453,0))</x:f>
        <x:v>42.7286902117697</x:v>
      </x:c>
      <x:c r="T224" s="46" t="n">
        <x:f>INDEX('Locations'!$E$6:$E$453,MATCH(B224,'Locations'!$A$6:$A$453,0))</x:f>
        <x:v>-73.6760622907363</x:v>
      </x:c>
      <x:c r="U224" s="46" t="n">
        <x:f>INDEX('Locations'!$D$6:$D$453,MATCH(C224,'Locations'!$A$6:$A$453,0))</x:f>
        <x:v>42.7289201143948</x:v>
      </x:c>
      <x:c r="V224" s="66" t="n">
        <x:f>INDEX('Locations'!$E$6:$E$453,MATCH(C224,'Locations'!$A$6:$A$453,0))</x:f>
        <x:v>-73.6760622907363</x:v>
      </x:c>
      <x:c r="W224" s="44"/>
    </x:row>
    <x:row r="225" ht="23" customHeight="1">
      <x:c r="A225" s="24" t="s">
        <x:v>827</x:v>
      </x:c>
      <x:c r="B225" s="53" t="s">
        <x:v>344</x:v>
      </x:c>
      <x:c r="C225" s="53" t="s">
        <x:v>343</x:v>
      </x:c>
      <x:c r="D225" s="53" t="s">
        <x:v>606</x:v>
      </x:c>
      <x:c r="E225" s="67" t="n">
        <x:f>2*6371000*ASIN(SQRT(MIN(1,SIN(RADIANS(U225-S225)/2)^2+COS(RADIANS(S225))*COS(RADIANS(U225))*SIN(RADIANS(V225-T225)/2)^2)))</x:f>
        <x:v>14.049400243130831</x:v>
      </x:c>
      <x:c r="F225" s="48" t="s">
        <x:v>67</x:v>
      </x:c>
      <x:c r="G225" s="48" t="s">
        <x:v>66</x:v>
      </x:c>
      <x:c r="H225" s="48" t="s">
        <x:v>66</x:v>
      </x:c>
      <x:c r="I225" s="48" t="s">
        <x:v>66</x:v>
      </x:c>
      <x:c r="J225" s="48" t="s">
        <x:v>66</x:v>
      </x:c>
      <x:c r="K225" s="64"/>
      <x:c r="L225" s="64"/>
      <x:c r="M225" s="50"/>
      <x:c r="N225" s="49"/>
      <x:c r="O225" s="50"/>
      <x:c r="P225" s="50"/>
      <x:c r="Q225" s="32">
        <x:v>221</x:v>
      </x:c>
      <x:c r="R225" s="68"/>
      <x:c r="S225" s="54" t="n">
        <x:f>INDEX('Locations'!$D$6:$D$453,MATCH(B225,'Locations'!$A$6:$A$453,0))</x:f>
        <x:v>42.7286603244285</x:v>
      </x:c>
      <x:c r="T225" s="54" t="n">
        <x:f>INDEX('Locations'!$E$6:$E$453,MATCH(B225,'Locations'!$A$6:$A$453,0))</x:f>
        <x:v>-73.6758951688791</x:v>
      </x:c>
      <x:c r="U225" s="54" t="n">
        <x:f>INDEX('Locations'!$D$6:$D$453,MATCH(C225,'Locations'!$A$6:$A$453,0))</x:f>
        <x:v>42.7286902117697</x:v>
      </x:c>
      <x:c r="V225" s="69" t="n">
        <x:f>INDEX('Locations'!$E$6:$E$453,MATCH(C225,'Locations'!$A$6:$A$453,0))</x:f>
        <x:v>-73.6760622907363</x:v>
      </x:c>
      <x:c r="W225" s="44"/>
    </x:row>
    <x:row r="226" ht="23" customHeight="1">
      <x:c r="A226" s="21" t="s">
        <x:v>828</x:v>
      </x:c>
      <x:c r="B226" s="45" t="s">
        <x:v>345</x:v>
      </x:c>
      <x:c r="C226" s="45" t="s">
        <x:v>344</x:v>
      </x:c>
      <x:c r="D226" s="45" t="s">
        <x:v>606</x:v>
      </x:c>
      <x:c r="E226" s="63" t="n">
        <x:f>2*6371000*ASIN(SQRT(MIN(1,SIN(RADIANS(U226-S226)/2)^2+COS(RADIANS(S226))*COS(RADIANS(U226))*SIN(RADIANS(V226-T226)/2)^2)))</x:f>
        <x:v>21.892252619065776</x:v>
      </x:c>
      <x:c r="F226" s="48" t="s">
        <x:v>67</x:v>
      </x:c>
      <x:c r="G226" s="48" t="s">
        <x:v>66</x:v>
      </x:c>
      <x:c r="H226" s="48" t="s">
        <x:v>66</x:v>
      </x:c>
      <x:c r="I226" s="48" t="s">
        <x:v>66</x:v>
      </x:c>
      <x:c r="J226" s="48" t="s">
        <x:v>66</x:v>
      </x:c>
      <x:c r="K226" s="64"/>
      <x:c r="L226" s="64"/>
      <x:c r="M226" s="50"/>
      <x:c r="N226" s="49"/>
      <x:c r="O226" s="50"/>
      <x:c r="P226" s="50"/>
      <x:c r="Q226" s="30">
        <x:v>222</x:v>
      </x:c>
      <x:c r="R226" s="65"/>
      <x:c r="S226" s="46" t="n">
        <x:f>INDEX('Locations'!$D$6:$D$453,MATCH(B226,'Locations'!$A$6:$A$453,0))</x:f>
        <x:v>42.7284787013547</x:v>
      </x:c>
      <x:c r="T226" s="46" t="n">
        <x:f>INDEX('Locations'!$E$6:$E$453,MATCH(B226,'Locations'!$A$6:$A$453,0))</x:f>
        <x:v>-73.6757917124913</x:v>
      </x:c>
      <x:c r="U226" s="46" t="n">
        <x:f>INDEX('Locations'!$D$6:$D$453,MATCH(C226,'Locations'!$A$6:$A$453,0))</x:f>
        <x:v>42.7286603244285</x:v>
      </x:c>
      <x:c r="V226" s="66" t="n">
        <x:f>INDEX('Locations'!$E$6:$E$453,MATCH(C226,'Locations'!$A$6:$A$453,0))</x:f>
        <x:v>-73.6758951688791</x:v>
      </x:c>
      <x:c r="W226" s="44"/>
    </x:row>
    <x:row r="227" ht="23" customHeight="1">
      <x:c r="A227" s="24" t="s">
        <x:v>829</x:v>
      </x:c>
      <x:c r="B227" s="53" t="s">
        <x:v>345</x:v>
      </x:c>
      <x:c r="C227" s="53" t="s">
        <x:v>254</x:v>
      </x:c>
      <x:c r="D227" s="53" t="s">
        <x:v>606</x:v>
      </x:c>
      <x:c r="E227" s="67" t="n">
        <x:f>2*6371000*ASIN(SQRT(MIN(1,SIN(RADIANS(U227-S227)/2)^2+COS(RADIANS(S227))*COS(RADIANS(U227))*SIN(RADIANS(V227-T227)/2)^2)))</x:f>
        <x:v>21.99823680167153</x:v>
      </x:c>
      <x:c r="F227" s="48" t="s">
        <x:v>67</x:v>
      </x:c>
      <x:c r="G227" s="48" t="s">
        <x:v>66</x:v>
      </x:c>
      <x:c r="H227" s="48" t="s">
        <x:v>66</x:v>
      </x:c>
      <x:c r="I227" s="48" t="s">
        <x:v>66</x:v>
      </x:c>
      <x:c r="J227" s="48" t="s">
        <x:v>66</x:v>
      </x:c>
      <x:c r="K227" s="64"/>
      <x:c r="L227" s="64"/>
      <x:c r="M227" s="50"/>
      <x:c r="N227" s="49"/>
      <x:c r="O227" s="50"/>
      <x:c r="P227" s="50"/>
      <x:c r="Q227" s="32">
        <x:v>223</x:v>
      </x:c>
      <x:c r="R227" s="68"/>
      <x:c r="S227" s="54" t="n">
        <x:f>INDEX('Locations'!$D$6:$D$453,MATCH(B227,'Locations'!$A$6:$A$453,0))</x:f>
        <x:v>42.7284787013547</x:v>
      </x:c>
      <x:c r="T227" s="54" t="n">
        <x:f>INDEX('Locations'!$E$6:$E$453,MATCH(B227,'Locations'!$A$6:$A$453,0))</x:f>
        <x:v>-73.6757917124913</x:v>
      </x:c>
      <x:c r="U227" s="54" t="n">
        <x:f>INDEX('Locations'!$D$6:$D$453,MATCH(C227,'Locations'!$A$6:$A$453,0))</x:f>
        <x:v>42.7284143286197</x:v>
      </x:c>
      <x:c r="V227" s="69" t="n">
        <x:f>INDEX('Locations'!$E$6:$E$453,MATCH(C227,'Locations'!$A$6:$A$453,0))</x:f>
        <x:v>-73.6755370506137</x:v>
      </x:c>
      <x:c r="W227" s="44"/>
    </x:row>
    <x:row r="228" ht="23" customHeight="1">
      <x:c r="A228" s="21" t="s">
        <x:v>830</x:v>
      </x:c>
      <x:c r="B228" s="45" t="s">
        <x:v>252</x:v>
      </x:c>
      <x:c r="C228" s="45" t="s">
        <x:v>344</x:v>
      </x:c>
      <x:c r="D228" s="45" t="s">
        <x:v>606</x:v>
      </x:c>
      <x:c r="E228" s="63" t="n">
        <x:f>2*6371000*ASIN(SQRT(MIN(1,SIN(RADIANS(U228-S228)/2)^2+COS(RADIANS(S228))*COS(RADIANS(U228))*SIN(RADIANS(V228-T228)/2)^2)))</x:f>
        <x:v>66.7481137029832</x:v>
      </x:c>
      <x:c r="F228" s="48" t="s">
        <x:v>67</x:v>
      </x:c>
      <x:c r="G228" s="48" t="s">
        <x:v>66</x:v>
      </x:c>
      <x:c r="H228" s="48" t="s">
        <x:v>66</x:v>
      </x:c>
      <x:c r="I228" s="48" t="s">
        <x:v>66</x:v>
      </x:c>
      <x:c r="J228" s="48" t="s">
        <x:v>66</x:v>
      </x:c>
      <x:c r="K228" s="64"/>
      <x:c r="L228" s="64"/>
      <x:c r="M228" s="50"/>
      <x:c r="N228" s="49"/>
      <x:c r="O228" s="50"/>
      <x:c r="P228" s="50"/>
      <x:c r="Q228" s="30">
        <x:v>224</x:v>
      </x:c>
      <x:c r="R228" s="65"/>
      <x:c r="S228" s="46" t="n">
        <x:f>INDEX('Locations'!$D$6:$D$453,MATCH(B228,'Locations'!$A$6:$A$453,0))</x:f>
        <x:v>42.7292488751486</x:v>
      </x:c>
      <x:c r="T228" s="46" t="n">
        <x:f>INDEX('Locations'!$E$6:$E$453,MATCH(B228,'Locations'!$A$6:$A$453,0))</x:f>
        <x:v>-73.6757344135688</x:v>
      </x:c>
      <x:c r="U228" s="46" t="n">
        <x:f>INDEX('Locations'!$D$6:$D$453,MATCH(C228,'Locations'!$A$6:$A$453,0))</x:f>
        <x:v>42.7286603244285</x:v>
      </x:c>
      <x:c r="V228" s="66" t="n">
        <x:f>INDEX('Locations'!$E$6:$E$453,MATCH(C228,'Locations'!$A$6:$A$453,0))</x:f>
        <x:v>-73.6758951688791</x:v>
      </x:c>
      <x:c r="W228" s="44"/>
    </x:row>
    <x:row r="229" ht="23" customHeight="1">
      <x:c r="A229" s="24" t="s">
        <x:v>831</x:v>
      </x:c>
      <x:c r="B229" s="53" t="s">
        <x:v>336</x:v>
      </x:c>
      <x:c r="C229" s="53" t="s">
        <x:v>347</x:v>
      </x:c>
      <x:c r="D229" s="53" t="s">
        <x:v>606</x:v>
      </x:c>
      <x:c r="E229" s="67" t="n">
        <x:f>2*6371000*ASIN(SQRT(MIN(1,SIN(RADIANS(U229-S229)/2)^2+COS(RADIANS(S229))*COS(RADIANS(U229))*SIN(RADIANS(V229-T229)/2)^2)))</x:f>
        <x:v>76.83541289847331</x:v>
      </x:c>
      <x:c r="F229" s="48" t="s">
        <x:v>67</x:v>
      </x:c>
      <x:c r="G229" s="48" t="s">
        <x:v>66</x:v>
      </x:c>
      <x:c r="H229" s="48" t="s">
        <x:v>66</x:v>
      </x:c>
      <x:c r="I229" s="48" t="s">
        <x:v>66</x:v>
      </x:c>
      <x:c r="J229" s="48" t="s">
        <x:v>66</x:v>
      </x:c>
      <x:c r="K229" s="64"/>
      <x:c r="L229" s="64"/>
      <x:c r="M229" s="50"/>
      <x:c r="N229" s="49"/>
      <x:c r="O229" s="50"/>
      <x:c r="P229" s="50"/>
      <x:c r="Q229" s="32">
        <x:v>225</x:v>
      </x:c>
      <x:c r="R229" s="68"/>
      <x:c r="S229" s="54" t="n">
        <x:f>INDEX('Locations'!$D$6:$D$453,MATCH(B229,'Locations'!$A$6:$A$453,0))</x:f>
        <x:v>42.7289385066048</x:v>
      </x:c>
      <x:c r="T229" s="54" t="n">
        <x:f>INDEX('Locations'!$E$6:$E$453,MATCH(B229,'Locations'!$A$6:$A$453,0))</x:f>
        <x:v>-73.6772783012021</x:v>
      </x:c>
      <x:c r="U229" s="54" t="n">
        <x:f>INDEX('Locations'!$D$6:$D$453,MATCH(C229,'Locations'!$A$6:$A$453,0))</x:f>
        <x:v>42.7282591443478</x:v>
      </x:c>
      <x:c r="V229" s="69" t="n">
        <x:f>INDEX('Locations'!$E$6:$E$453,MATCH(C229,'Locations'!$A$6:$A$453,0))</x:f>
        <x:v>-73.6774501979695</x:v>
      </x:c>
      <x:c r="W229" s="44"/>
    </x:row>
    <x:row r="230" ht="23" customHeight="1">
      <x:c r="A230" s="21" t="s">
        <x:v>832</x:v>
      </x:c>
      <x:c r="B230" s="45" t="s">
        <x:v>335</x:v>
      </x:c>
      <x:c r="C230" s="45" t="s">
        <x:v>346</x:v>
      </x:c>
      <x:c r="D230" s="45" t="s">
        <x:v>606</x:v>
      </x:c>
      <x:c r="E230" s="63" t="n">
        <x:f>2*6371000*ASIN(SQRT(MIN(1,SIN(RADIANS(U230-S230)/2)^2+COS(RADIANS(S230))*COS(RADIANS(U230))*SIN(RADIANS(V230-T230)/2)^2)))</x:f>
        <x:v>86.20704001205233</x:v>
      </x:c>
      <x:c r="F230" s="48" t="s">
        <x:v>67</x:v>
      </x:c>
      <x:c r="G230" s="48" t="s">
        <x:v>66</x:v>
      </x:c>
      <x:c r="H230" s="48" t="s">
        <x:v>66</x:v>
      </x:c>
      <x:c r="I230" s="48" t="s">
        <x:v>66</x:v>
      </x:c>
      <x:c r="J230" s="48" t="s">
        <x:v>66</x:v>
      </x:c>
      <x:c r="K230" s="64"/>
      <x:c r="L230" s="64"/>
      <x:c r="M230" s="50"/>
      <x:c r="N230" s="49"/>
      <x:c r="O230" s="50"/>
      <x:c r="P230" s="50"/>
      <x:c r="Q230" s="30">
        <x:v>226</x:v>
      </x:c>
      <x:c r="R230" s="65"/>
      <x:c r="S230" s="46" t="n">
        <x:f>INDEX('Locations'!$D$6:$D$453,MATCH(B230,'Locations'!$A$6:$A$453,0))</x:f>
        <x:v>42.7289729919986</x:v>
      </x:c>
      <x:c r="T230" s="46" t="n">
        <x:f>INDEX('Locations'!$E$6:$E$453,MATCH(B230,'Locations'!$A$6:$A$453,0))</x:f>
        <x:v>-73.6776793936593</x:v>
      </x:c>
      <x:c r="U230" s="46" t="n">
        <x:f>INDEX('Locations'!$D$6:$D$453,MATCH(C230,'Locations'!$A$6:$A$453,0))</x:f>
        <x:v>42.7282189113884</x:v>
      </x:c>
      <x:c r="V230" s="66" t="n">
        <x:f>INDEX('Locations'!$E$6:$E$453,MATCH(C230,'Locations'!$A$6:$A$453,0))</x:f>
        <x:v>-73.6779245057166</x:v>
      </x:c>
      <x:c r="W230" s="44"/>
    </x:row>
    <x:row r="231" ht="23" customHeight="1">
      <x:c r="A231" s="24" t="s">
        <x:v>833</x:v>
      </x:c>
      <x:c r="B231" s="53" t="s">
        <x:v>347</x:v>
      </x:c>
      <x:c r="C231" s="53" t="s">
        <x:v>346</x:v>
      </x:c>
      <x:c r="D231" s="53" t="s">
        <x:v>606</x:v>
      </x:c>
      <x:c r="E231" s="67" t="n">
        <x:f>2*6371000*ASIN(SQRT(MIN(1,SIN(RADIANS(U231-S231)/2)^2+COS(RADIANS(S231))*COS(RADIANS(U231))*SIN(RADIANS(V231-T231)/2)^2)))</x:f>
        <x:v>38.999656780306445</x:v>
      </x:c>
      <x:c r="F231" s="48" t="s">
        <x:v>67</x:v>
      </x:c>
      <x:c r="G231" s="48" t="s">
        <x:v>66</x:v>
      </x:c>
      <x:c r="H231" s="48" t="s">
        <x:v>66</x:v>
      </x:c>
      <x:c r="I231" s="48" t="s">
        <x:v>66</x:v>
      </x:c>
      <x:c r="J231" s="48" t="s">
        <x:v>66</x:v>
      </x:c>
      <x:c r="K231" s="64"/>
      <x:c r="L231" s="64"/>
      <x:c r="M231" s="50"/>
      <x:c r="N231" s="49"/>
      <x:c r="O231" s="50"/>
      <x:c r="P231" s="50"/>
      <x:c r="Q231" s="32">
        <x:v>227</x:v>
      </x:c>
      <x:c r="R231" s="68"/>
      <x:c r="S231" s="54" t="n">
        <x:f>INDEX('Locations'!$D$6:$D$453,MATCH(B231,'Locations'!$A$6:$A$453,0))</x:f>
        <x:v>42.7282591443478</x:v>
      </x:c>
      <x:c r="T231" s="54" t="n">
        <x:f>INDEX('Locations'!$E$6:$E$453,MATCH(B231,'Locations'!$A$6:$A$453,0))</x:f>
        <x:v>-73.6774501979695</x:v>
      </x:c>
      <x:c r="U231" s="54" t="n">
        <x:f>INDEX('Locations'!$D$6:$D$453,MATCH(C231,'Locations'!$A$6:$A$453,0))</x:f>
        <x:v>42.7282189113884</x:v>
      </x:c>
      <x:c r="V231" s="69" t="n">
        <x:f>INDEX('Locations'!$E$6:$E$453,MATCH(C231,'Locations'!$A$6:$A$453,0))</x:f>
        <x:v>-73.6779245057166</x:v>
      </x:c>
      <x:c r="W231" s="44"/>
    </x:row>
    <x:row r="232" ht="23" customHeight="1">
      <x:c r="A232" s="21" t="s">
        <x:v>834</x:v>
      </x:c>
      <x:c r="B232" s="45" t="s">
        <x:v>317</x:v>
      </x:c>
      <x:c r="C232" s="45" t="s">
        <x:v>349</x:v>
      </x:c>
      <x:c r="D232" s="45" t="s">
        <x:v>606</x:v>
      </x:c>
      <x:c r="E232" s="63" t="n">
        <x:f>2*6371000*ASIN(SQRT(MIN(1,SIN(RADIANS(U232-S232)/2)^2+COS(RADIANS(S232))*COS(RADIANS(U232))*SIN(RADIANS(V232-T232)/2)^2)))</x:f>
        <x:v>38.36096528369796</x:v>
      </x:c>
      <x:c r="F232" s="48" t="s">
        <x:v>67</x:v>
      </x:c>
      <x:c r="G232" s="48" t="s">
        <x:v>66</x:v>
      </x:c>
      <x:c r="H232" s="48" t="s">
        <x:v>66</x:v>
      </x:c>
      <x:c r="I232" s="48" t="s">
        <x:v>66</x:v>
      </x:c>
      <x:c r="J232" s="48" t="s">
        <x:v>66</x:v>
      </x:c>
      <x:c r="K232" s="64"/>
      <x:c r="L232" s="64"/>
      <x:c r="M232" s="50"/>
      <x:c r="N232" s="49"/>
      <x:c r="O232" s="50"/>
      <x:c r="P232" s="50"/>
      <x:c r="Q232" s="30">
        <x:v>228</x:v>
      </x:c>
      <x:c r="R232" s="65"/>
      <x:c r="S232" s="46" t="n">
        <x:f>INDEX('Locations'!$D$6:$D$453,MATCH(B232,'Locations'!$A$6:$A$453,0))</x:f>
        <x:v>42.7286672215072</x:v>
      </x:c>
      <x:c r="T232" s="46" t="n">
        <x:f>INDEX('Locations'!$E$6:$E$453,MATCH(B232,'Locations'!$A$6:$A$453,0))</x:f>
        <x:v>-73.6798822189009</x:v>
      </x:c>
      <x:c r="U232" s="46" t="n">
        <x:f>INDEX('Locations'!$D$6:$D$453,MATCH(C232,'Locations'!$A$6:$A$453,0))</x:f>
        <x:v>42.7284373188822</x:v>
      </x:c>
      <x:c r="V232" s="66" t="n">
        <x:f>INDEX('Locations'!$E$6:$E$453,MATCH(C232,'Locations'!$A$6:$A$453,0))</x:f>
        <x:v>-73.6802323789827</x:v>
      </x:c>
      <x:c r="W232" s="44"/>
    </x:row>
    <x:row r="233" ht="23" customHeight="1">
      <x:c r="A233" s="24" t="s">
        <x:v>835</x:v>
      </x:c>
      <x:c r="B233" s="53" t="s">
        <x:v>350</x:v>
      </x:c>
      <x:c r="C233" s="53" t="s">
        <x:v>349</x:v>
      </x:c>
      <x:c r="D233" s="53" t="s">
        <x:v>606</x:v>
      </x:c>
      <x:c r="E233" s="67" t="n">
        <x:f>2*6371000*ASIN(SQRT(MIN(1,SIN(RADIANS(U233-S233)/2)^2+COS(RADIANS(S233))*COS(RADIANS(U233))*SIN(RADIANS(V233-T233)/2)^2)))</x:f>
        <x:v>22.076655514643228</x:v>
      </x:c>
      <x:c r="F233" s="48" t="s">
        <x:v>67</x:v>
      </x:c>
      <x:c r="G233" s="48" t="s">
        <x:v>66</x:v>
      </x:c>
      <x:c r="H233" s="48" t="s">
        <x:v>66</x:v>
      </x:c>
      <x:c r="I233" s="48" t="s">
        <x:v>66</x:v>
      </x:c>
      <x:c r="J233" s="48" t="s">
        <x:v>66</x:v>
      </x:c>
      <x:c r="K233" s="64"/>
      <x:c r="L233" s="64"/>
      <x:c r="M233" s="50"/>
      <x:c r="N233" s="49"/>
      <x:c r="O233" s="50"/>
      <x:c r="P233" s="50"/>
      <x:c r="Q233" s="32">
        <x:v>229</x:v>
      </x:c>
      <x:c r="R233" s="68"/>
      <x:c r="S233" s="54" t="n">
        <x:f>INDEX('Locations'!$D$6:$D$453,MATCH(B233,'Locations'!$A$6:$A$453,0))</x:f>
        <x:v>42.7282419016509</x:v>
      </x:c>
      <x:c r="T233" s="54" t="n">
        <x:f>INDEX('Locations'!$E$6:$E$453,MATCH(B233,'Locations'!$A$6:$A$453,0))</x:f>
        <x:v>-73.6802801280848</x:v>
      </x:c>
      <x:c r="U233" s="54" t="n">
        <x:f>INDEX('Locations'!$D$6:$D$453,MATCH(C233,'Locations'!$A$6:$A$453,0))</x:f>
        <x:v>42.7284373188822</x:v>
      </x:c>
      <x:c r="V233" s="69" t="n">
        <x:f>INDEX('Locations'!$E$6:$E$453,MATCH(C233,'Locations'!$A$6:$A$453,0))</x:f>
        <x:v>-73.6802323789827</x:v>
      </x:c>
      <x:c r="W233" s="44"/>
    </x:row>
    <x:row r="234" ht="23" customHeight="1">
      <x:c r="A234" s="21" t="s">
        <x:v>836</x:v>
      </x:c>
      <x:c r="B234" s="45" t="s">
        <x:v>312</x:v>
      </x:c>
      <x:c r="C234" s="45" t="s">
        <x:v>350</x:v>
      </x:c>
      <x:c r="D234" s="45" t="s">
        <x:v>606</x:v>
      </x:c>
      <x:c r="E234" s="63" t="n">
        <x:f>2*6371000*ASIN(SQRT(MIN(1,SIN(RADIANS(U234-S234)/2)^2+COS(RADIANS(S234))*COS(RADIANS(U234))*SIN(RADIANS(V234-T234)/2)^2)))</x:f>
        <x:v>39.723612739801716</x:v>
      </x:c>
      <x:c r="F234" s="48" t="s">
        <x:v>67</x:v>
      </x:c>
      <x:c r="G234" s="48" t="s">
        <x:v>66</x:v>
      </x:c>
      <x:c r="H234" s="48" t="s">
        <x:v>66</x:v>
      </x:c>
      <x:c r="I234" s="48" t="s">
        <x:v>66</x:v>
      </x:c>
      <x:c r="J234" s="48" t="s">
        <x:v>66</x:v>
      </x:c>
      <x:c r="K234" s="64"/>
      <x:c r="L234" s="64"/>
      <x:c r="M234" s="50"/>
      <x:c r="N234" s="49"/>
      <x:c r="O234" s="50"/>
      <x:c r="P234" s="50"/>
      <x:c r="Q234" s="30">
        <x:v>230</x:v>
      </x:c>
      <x:c r="R234" s="65"/>
      <x:c r="S234" s="46" t="n">
        <x:f>INDEX('Locations'!$D$6:$D$453,MATCH(B234,'Locations'!$A$6:$A$453,0))</x:f>
        <x:v>42.728325816109</x:v>
      </x:c>
      <x:c r="T234" s="46" t="n">
        <x:f>INDEX('Locations'!$E$6:$E$453,MATCH(B234,'Locations'!$A$6:$A$453,0))</x:f>
        <x:v>-73.6807528441951</x:v>
      </x:c>
      <x:c r="U234" s="46" t="n">
        <x:f>INDEX('Locations'!$D$6:$D$453,MATCH(C234,'Locations'!$A$6:$A$453,0))</x:f>
        <x:v>42.7282419016509</x:v>
      </x:c>
      <x:c r="V234" s="66" t="n">
        <x:f>INDEX('Locations'!$E$6:$E$453,MATCH(C234,'Locations'!$A$6:$A$453,0))</x:f>
        <x:v>-73.6802801280848</x:v>
      </x:c>
      <x:c r="W234" s="44"/>
    </x:row>
    <x:row r="235" ht="23" customHeight="1">
      <x:c r="A235" s="24" t="s">
        <x:v>837</x:v>
      </x:c>
      <x:c r="B235" s="53" t="s">
        <x:v>348</x:v>
      </x:c>
      <x:c r="C235" s="53" t="s">
        <x:v>70</x:v>
      </x:c>
      <x:c r="D235" s="53" t="s">
        <x:v>606</x:v>
      </x:c>
      <x:c r="E235" s="67" t="n">
        <x:f>2*6371000*ASIN(SQRT(MIN(1,SIN(RADIANS(U235-S235)/2)^2+COS(RADIANS(S235))*COS(RADIANS(U235))*SIN(RADIANS(V235-T235)/2)^2)))</x:f>
        <x:v>47.92161184705217</x:v>
      </x:c>
      <x:c r="F235" s="48" t="s">
        <x:v>67</x:v>
      </x:c>
      <x:c r="G235" s="48" t="s">
        <x:v>66</x:v>
      </x:c>
      <x:c r="H235" s="48" t="s">
        <x:v>66</x:v>
      </x:c>
      <x:c r="I235" s="48" t="s">
        <x:v>66</x:v>
      </x:c>
      <x:c r="J235" s="48" t="s">
        <x:v>66</x:v>
      </x:c>
      <x:c r="K235" s="64"/>
      <x:c r="L235" s="64"/>
      <x:c r="M235" s="50"/>
      <x:c r="N235" s="49"/>
      <x:c r="O235" s="50"/>
      <x:c r="P235" s="50"/>
      <x:c r="Q235" s="32">
        <x:v>231</x:v>
      </x:c>
      <x:c r="R235" s="68"/>
      <x:c r="S235" s="54" t="n">
        <x:f>INDEX('Locations'!$D$6:$D$453,MATCH(B235,'Locations'!$A$6:$A$453,0))</x:f>
        <x:v>42.7274062056088</x:v>
      </x:c>
      <x:c r="T235" s="54" t="n">
        <x:f>INDEX('Locations'!$E$6:$E$453,MATCH(B235,'Locations'!$A$6:$A$453,0))</x:f>
        <x:v>-73.6780677530227</x:v>
      </x:c>
      <x:c r="U235" s="54" t="n">
        <x:f>INDEX('Locations'!$D$6:$D$453,MATCH(C235,'Locations'!$A$6:$A$453,0))</x:f>
        <x:v>42.7274495940891</x:v>
      </x:c>
      <x:c r="V235" s="69" t="n">
        <x:f>INDEX('Locations'!$E$6:$E$453,MATCH(C235,'Locations'!$A$6:$A$453,0))</x:f>
        <x:v>-73.6786514525317</x:v>
      </x:c>
      <x:c r="W235" s="44"/>
    </x:row>
    <x:row r="236" ht="23" customHeight="1">
      <x:c r="A236" s="21" t="s">
        <x:v>838</x:v>
      </x:c>
      <x:c r="B236" s="45" t="s">
        <x:v>303</x:v>
      </x:c>
      <x:c r="C236" s="45" t="s">
        <x:v>351</x:v>
      </x:c>
      <x:c r="D236" s="45" t="s">
        <x:v>606</x:v>
      </x:c>
      <x:c r="E236" s="63" t="n">
        <x:f>2*6371000*ASIN(SQRT(MIN(1,SIN(RADIANS(U236-S236)/2)^2+COS(RADIANS(S236))*COS(RADIANS(U236))*SIN(RADIANS(V236-T236)/2)^2)))</x:f>
        <x:v>49.21415081073156</x:v>
      </x:c>
      <x:c r="F236" s="48" t="s">
        <x:v>67</x:v>
      </x:c>
      <x:c r="G236" s="48" t="s">
        <x:v>66</x:v>
      </x:c>
      <x:c r="H236" s="48" t="s">
        <x:v>66</x:v>
      </x:c>
      <x:c r="I236" s="48" t="s">
        <x:v>66</x:v>
      </x:c>
      <x:c r="J236" s="48" t="s">
        <x:v>66</x:v>
      </x:c>
      <x:c r="K236" s="64"/>
      <x:c r="L236" s="64"/>
      <x:c r="M236" s="50"/>
      <x:c r="N236" s="49"/>
      <x:c r="O236" s="50"/>
      <x:c r="P236" s="50"/>
      <x:c r="Q236" s="30">
        <x:v>232</x:v>
      </x:c>
      <x:c r="R236" s="65"/>
      <x:c r="S236" s="46" t="n">
        <x:f>INDEX('Locations'!$D$6:$D$453,MATCH(B236,'Locations'!$A$6:$A$453,0))</x:f>
        <x:v>42.7306432345696</x:v>
      </x:c>
      <x:c r="T236" s="46" t="n">
        <x:f>INDEX('Locations'!$E$6:$E$453,MATCH(B236,'Locations'!$A$6:$A$453,0))</x:f>
        <x:v>-73.6817683084322</x:v>
      </x:c>
      <x:c r="U236" s="46" t="n">
        <x:f>INDEX('Locations'!$D$6:$D$453,MATCH(C236,'Locations'!$A$6:$A$453,0))</x:f>
        <x:v>42.7306673743453</x:v>
      </x:c>
      <x:c r="V236" s="66" t="n">
        <x:f>INDEX('Locations'!$E$6:$E$453,MATCH(C236,'Locations'!$A$6:$A$453,0))</x:f>
        <x:v>-73.6823699471182</x:v>
      </x:c>
      <x:c r="W236" s="44"/>
    </x:row>
    <x:row r="237" ht="23" customHeight="1">
      <x:c r="A237" s="24" t="s">
        <x:v>839</x:v>
      </x:c>
      <x:c r="B237" s="53" t="s">
        <x:v>352</x:v>
      </x:c>
      <x:c r="C237" s="53" t="s">
        <x:v>351</x:v>
      </x:c>
      <x:c r="D237" s="53" t="s">
        <x:v>606</x:v>
      </x:c>
      <x:c r="E237" s="67" t="n">
        <x:f>2*6371000*ASIN(SQRT(MIN(1,SIN(RADIANS(U237-S237)/2)^2+COS(RADIANS(S237))*COS(RADIANS(U237))*SIN(RADIANS(V237-T237)/2)^2)))</x:f>
        <x:v>22.24355843045493</x:v>
      </x:c>
      <x:c r="F237" s="48" t="s">
        <x:v>67</x:v>
      </x:c>
      <x:c r="G237" s="48" t="s">
        <x:v>66</x:v>
      </x:c>
      <x:c r="H237" s="48" t="s">
        <x:v>66</x:v>
      </x:c>
      <x:c r="I237" s="48" t="s">
        <x:v>66</x:v>
      </x:c>
      <x:c r="J237" s="48" t="s">
        <x:v>66</x:v>
      </x:c>
      <x:c r="K237" s="64"/>
      <x:c r="L237" s="64"/>
      <x:c r="M237" s="50"/>
      <x:c r="N237" s="49"/>
      <x:c r="O237" s="50"/>
      <x:c r="P237" s="50"/>
      <x:c r="Q237" s="32">
        <x:v>233</x:v>
      </x:c>
      <x:c r="R237" s="68"/>
      <x:c r="S237" s="54" t="n">
        <x:f>INDEX('Locations'!$D$6:$D$453,MATCH(B237,'Locations'!$A$6:$A$453,0))</x:f>
        <x:v>42.7306030016103</x:v>
      </x:c>
      <x:c r="T237" s="54" t="n">
        <x:f>INDEX('Locations'!$E$6:$E$453,MATCH(B237,'Locations'!$A$6:$A$453,0))</x:f>
        <x:v>-73.6826277922693</x:v>
      </x:c>
      <x:c r="U237" s="54" t="n">
        <x:f>INDEX('Locations'!$D$6:$D$453,MATCH(C237,'Locations'!$A$6:$A$453,0))</x:f>
        <x:v>42.7306673743453</x:v>
      </x:c>
      <x:c r="V237" s="69" t="n">
        <x:f>INDEX('Locations'!$E$6:$E$453,MATCH(C237,'Locations'!$A$6:$A$453,0))</x:f>
        <x:v>-73.6823699471182</x:v>
      </x:c>
      <x:c r="W237" s="44"/>
    </x:row>
    <x:row r="238" ht="23" customHeight="1">
      <x:c r="A238" s="21" t="s">
        <x:v>840</x:v>
      </x:c>
      <x:c r="B238" s="45" t="s">
        <x:v>200</x:v>
      </x:c>
      <x:c r="C238" s="45" t="s">
        <x:v>352</x:v>
      </x:c>
      <x:c r="D238" s="45" t="s">
        <x:v>606</x:v>
      </x:c>
      <x:c r="E238" s="63" t="n">
        <x:f>2*6371000*ASIN(SQRT(MIN(1,SIN(RADIANS(U238-S238)/2)^2+COS(RADIANS(S238))*COS(RADIANS(U238))*SIN(RADIANS(V238-T238)/2)^2)))</x:f>
        <x:v>30.617624255406795</x:v>
      </x:c>
      <x:c r="F238" s="48" t="s">
        <x:v>67</x:v>
      </x:c>
      <x:c r="G238" s="48" t="s">
        <x:v>66</x:v>
      </x:c>
      <x:c r="H238" s="48" t="s">
        <x:v>66</x:v>
      </x:c>
      <x:c r="I238" s="48" t="s">
        <x:v>66</x:v>
      </x:c>
      <x:c r="J238" s="48" t="s">
        <x:v>66</x:v>
      </x:c>
      <x:c r="K238" s="64"/>
      <x:c r="L238" s="64"/>
      <x:c r="M238" s="50"/>
      <x:c r="N238" s="49"/>
      <x:c r="O238" s="50"/>
      <x:c r="P238" s="50"/>
      <x:c r="Q238" s="30">
        <x:v>234</x:v>
      </x:c>
      <x:c r="R238" s="65"/>
      <x:c r="S238" s="46" t="n">
        <x:f>INDEX('Locations'!$D$6:$D$453,MATCH(B238,'Locations'!$A$6:$A$453,0))</x:f>
        <x:v>42.7308675073972</x:v>
      </x:c>
      <x:c r="T238" s="46" t="n">
        <x:f>INDEX('Locations'!$E$6:$E$453,MATCH(B238,'Locations'!$A$6:$A$453,0))</x:f>
        <x:v>-73.6825236241763</x:v>
      </x:c>
      <x:c r="U238" s="46" t="n">
        <x:f>INDEX('Locations'!$D$6:$D$453,MATCH(C238,'Locations'!$A$6:$A$453,0))</x:f>
        <x:v>42.7306030016103</x:v>
      </x:c>
      <x:c r="V238" s="66" t="n">
        <x:f>INDEX('Locations'!$E$6:$E$453,MATCH(C238,'Locations'!$A$6:$A$453,0))</x:f>
        <x:v>-73.6826277922693</x:v>
      </x:c>
      <x:c r="W238" s="44"/>
    </x:row>
    <x:row r="239" ht="23" customHeight="1">
      <x:c r="A239" s="24" t="s">
        <x:v>841</x:v>
      </x:c>
      <x:c r="B239" s="53" t="s">
        <x:v>354</x:v>
      </x:c>
      <x:c r="C239" s="53" t="s">
        <x:v>353</x:v>
      </x:c>
      <x:c r="D239" s="53" t="s">
        <x:v>606</x:v>
      </x:c>
      <x:c r="E239" s="67" t="n">
        <x:f>2*6371000*ASIN(SQRT(MIN(1,SIN(RADIANS(U239-S239)/2)^2+COS(RADIANS(S239))*COS(RADIANS(U239))*SIN(RADIANS(V239-T239)/2)^2)))</x:f>
        <x:v>20.697548319219624</x:v>
      </x:c>
      <x:c r="F239" s="48" t="s">
        <x:v>67</x:v>
      </x:c>
      <x:c r="G239" s="48" t="s">
        <x:v>66</x:v>
      </x:c>
      <x:c r="H239" s="48" t="s">
        <x:v>66</x:v>
      </x:c>
      <x:c r="I239" s="48" t="s">
        <x:v>66</x:v>
      </x:c>
      <x:c r="J239" s="48" t="s">
        <x:v>66</x:v>
      </x:c>
      <x:c r="K239" s="64"/>
      <x:c r="L239" s="64"/>
      <x:c r="M239" s="50"/>
      <x:c r="N239" s="49"/>
      <x:c r="O239" s="50"/>
      <x:c r="P239" s="50"/>
      <x:c r="Q239" s="32">
        <x:v>235</x:v>
      </x:c>
      <x:c r="R239" s="68"/>
      <x:c r="S239" s="54" t="n">
        <x:f>INDEX('Locations'!$D$6:$D$453,MATCH(B239,'Locations'!$A$6:$A$453,0))</x:f>
        <x:v>42.7304144814577</x:v>
      </x:c>
      <x:c r="T239" s="54" t="n">
        <x:f>INDEX('Locations'!$E$6:$E$453,MATCH(B239,'Locations'!$A$6:$A$453,0))</x:f>
        <x:v>-73.6830654923715</x:v>
      </x:c>
      <x:c r="U239" s="54" t="n">
        <x:f>INDEX('Locations'!$D$6:$D$453,MATCH(C239,'Locations'!$A$6:$A$453,0))</x:f>
        <x:v>42.7305754132952</x:v>
      </x:c>
      <x:c r="V239" s="69" t="n">
        <x:f>INDEX('Locations'!$E$6:$E$453,MATCH(C239,'Locations'!$A$6:$A$453,0))</x:f>
        <x:v>-73.6829381614326</x:v>
      </x:c>
      <x:c r="W239" s="44"/>
    </x:row>
    <x:row r="240" ht="23" customHeight="1">
      <x:c r="A240" s="21" t="s">
        <x:v>842</x:v>
      </x:c>
      <x:c r="B240" s="45" t="s">
        <x:v>352</x:v>
      </x:c>
      <x:c r="C240" s="45" t="s">
        <x:v>353</x:v>
      </x:c>
      <x:c r="D240" s="45" t="s">
        <x:v>606</x:v>
      </x:c>
      <x:c r="E240" s="63" t="n">
        <x:f>2*6371000*ASIN(SQRT(MIN(1,SIN(RADIANS(U240-S240)/2)^2+COS(RADIANS(S240))*COS(RADIANS(U240))*SIN(RADIANS(V240-T240)/2)^2)))</x:f>
        <x:v>25.535425449568198</x:v>
      </x:c>
      <x:c r="F240" s="48" t="s">
        <x:v>67</x:v>
      </x:c>
      <x:c r="G240" s="48" t="s">
        <x:v>66</x:v>
      </x:c>
      <x:c r="H240" s="48" t="s">
        <x:v>66</x:v>
      </x:c>
      <x:c r="I240" s="48" t="s">
        <x:v>66</x:v>
      </x:c>
      <x:c r="J240" s="48" t="s">
        <x:v>66</x:v>
      </x:c>
      <x:c r="K240" s="64"/>
      <x:c r="L240" s="64"/>
      <x:c r="M240" s="50"/>
      <x:c r="N240" s="49"/>
      <x:c r="O240" s="50"/>
      <x:c r="P240" s="50"/>
      <x:c r="Q240" s="30">
        <x:v>236</x:v>
      </x:c>
      <x:c r="R240" s="65"/>
      <x:c r="S240" s="46" t="n">
        <x:f>INDEX('Locations'!$D$6:$D$453,MATCH(B240,'Locations'!$A$6:$A$453,0))</x:f>
        <x:v>42.7306030016103</x:v>
      </x:c>
      <x:c r="T240" s="46" t="n">
        <x:f>INDEX('Locations'!$E$6:$E$453,MATCH(B240,'Locations'!$A$6:$A$453,0))</x:f>
        <x:v>-73.6826277922693</x:v>
      </x:c>
      <x:c r="U240" s="46" t="n">
        <x:f>INDEX('Locations'!$D$6:$D$453,MATCH(C240,'Locations'!$A$6:$A$453,0))</x:f>
        <x:v>42.7305754132952</x:v>
      </x:c>
      <x:c r="V240" s="66" t="n">
        <x:f>INDEX('Locations'!$E$6:$E$453,MATCH(C240,'Locations'!$A$6:$A$453,0))</x:f>
        <x:v>-73.6829381614326</x:v>
      </x:c>
      <x:c r="W240" s="44"/>
    </x:row>
    <x:row r="241" ht="23" customHeight="1">
      <x:c r="A241" s="24" t="s">
        <x:v>843</x:v>
      </x:c>
      <x:c r="B241" s="53" t="s">
        <x:v>96</x:v>
      </x:c>
      <x:c r="C241" s="53" t="s">
        <x:v>354</x:v>
      </x:c>
      <x:c r="D241" s="53" t="s">
        <x:v>606</x:v>
      </x:c>
      <x:c r="E241" s="67" t="n">
        <x:f>2*6371000*ASIN(SQRT(MIN(1,SIN(RADIANS(U241-S241)/2)^2+COS(RADIANS(S241))*COS(RADIANS(U241))*SIN(RADIANS(V241-T241)/2)^2)))</x:f>
        <x:v>13.062094377565463</x:v>
      </x:c>
      <x:c r="F241" s="48" t="s">
        <x:v>67</x:v>
      </x:c>
      <x:c r="G241" s="48" t="s">
        <x:v>66</x:v>
      </x:c>
      <x:c r="H241" s="48" t="s">
        <x:v>66</x:v>
      </x:c>
      <x:c r="I241" s="48" t="s">
        <x:v>66</x:v>
      </x:c>
      <x:c r="J241" s="48" t="s">
        <x:v>66</x:v>
      </x:c>
      <x:c r="K241" s="64"/>
      <x:c r="L241" s="64"/>
      <x:c r="M241" s="50"/>
      <x:c r="N241" s="49"/>
      <x:c r="O241" s="50"/>
      <x:c r="P241" s="50"/>
      <x:c r="Q241" s="32">
        <x:v>237</x:v>
      </x:c>
      <x:c r="R241" s="68"/>
      <x:c r="S241" s="54" t="n">
        <x:f>INDEX('Locations'!$D$6:$D$453,MATCH(B241,'Locations'!$A$6:$A$453,0))</x:f>
        <x:v>42.7304685043522</x:v>
      </x:c>
      <x:c r="T241" s="54" t="n">
        <x:f>INDEX('Locations'!$E$6:$E$453,MATCH(B241,'Locations'!$A$6:$A$453,0))</x:f>
        <x:v>-73.6832074982253</x:v>
      </x:c>
      <x:c r="U241" s="54" t="n">
        <x:f>INDEX('Locations'!$D$6:$D$453,MATCH(C241,'Locations'!$A$6:$A$453,0))</x:f>
        <x:v>42.7304144814577</x:v>
      </x:c>
      <x:c r="V241" s="69" t="n">
        <x:f>INDEX('Locations'!$E$6:$E$453,MATCH(C241,'Locations'!$A$6:$A$453,0))</x:f>
        <x:v>-73.6830654923715</x:v>
      </x:c>
      <x:c r="W241" s="44"/>
    </x:row>
    <x:row r="242" ht="23" customHeight="1">
      <x:c r="A242" s="21" t="s">
        <x:v>844</x:v>
      </x:c>
      <x:c r="B242" s="45" t="s">
        <x:v>348</x:v>
      </x:c>
      <x:c r="C242" s="45" t="s">
        <x:v>355</x:v>
      </x:c>
      <x:c r="D242" s="45" t="s">
        <x:v>606</x:v>
      </x:c>
      <x:c r="E242" s="63" t="n">
        <x:f>2*6371000*ASIN(SQRT(MIN(1,SIN(RADIANS(U242-S242)/2)^2+COS(RADIANS(S242))*COS(RADIANS(U242))*SIN(RADIANS(V242-T242)/2)^2)))</x:f>
        <x:v>66.04081916064524</x:v>
      </x:c>
      <x:c r="F242" s="48" t="s">
        <x:v>67</x:v>
      </x:c>
      <x:c r="G242" s="48" t="s">
        <x:v>66</x:v>
      </x:c>
      <x:c r="H242" s="48" t="s">
        <x:v>66</x:v>
      </x:c>
      <x:c r="I242" s="48" t="s">
        <x:v>66</x:v>
      </x:c>
      <x:c r="J242" s="48" t="s">
        <x:v>66</x:v>
      </x:c>
      <x:c r="K242" s="64"/>
      <x:c r="L242" s="64"/>
      <x:c r="M242" s="50"/>
      <x:c r="N242" s="49"/>
      <x:c r="O242" s="50"/>
      <x:c r="P242" s="50"/>
      <x:c r="Q242" s="30">
        <x:v>238</x:v>
      </x:c>
      <x:c r="R242" s="65"/>
      <x:c r="S242" s="46" t="n">
        <x:f>INDEX('Locations'!$D$6:$D$453,MATCH(B242,'Locations'!$A$6:$A$453,0))</x:f>
        <x:v>42.7274062056088</x:v>
      </x:c>
      <x:c r="T242" s="46" t="n">
        <x:f>INDEX('Locations'!$E$6:$E$453,MATCH(B242,'Locations'!$A$6:$A$453,0))</x:f>
        <x:v>-73.6780677530227</x:v>
      </x:c>
      <x:c r="U242" s="46" t="n">
        <x:f>INDEX('Locations'!$D$6:$D$453,MATCH(C242,'Locations'!$A$6:$A$453,0))</x:f>
        <x:v>42.7271809010362</x:v>
      </x:c>
      <x:c r="V242" s="66" t="n">
        <x:f>INDEX('Locations'!$E$6:$E$453,MATCH(C242,'Locations'!$A$6:$A$453,0))</x:f>
        <x:v>-73.6773196837572</x:v>
      </x:c>
      <x:c r="W242" s="44"/>
    </x:row>
    <x:row r="243" ht="23" customHeight="1">
      <x:c r="A243" s="24" t="s">
        <x:v>845</x:v>
      </x:c>
      <x:c r="B243" s="53" t="s">
        <x:v>356</x:v>
      </x:c>
      <x:c r="C243" s="53" t="s">
        <x:v>355</x:v>
      </x:c>
      <x:c r="D243" s="53" t="s">
        <x:v>606</x:v>
      </x:c>
      <x:c r="E243" s="67" t="n">
        <x:f>2*6371000*ASIN(SQRT(MIN(1,SIN(RADIANS(U243-S243)/2)^2+COS(RADIANS(S243))*COS(RADIANS(U243))*SIN(RADIANS(V243-T243)/2)^2)))</x:f>
        <x:v>40.70344961530846</x:v>
      </x:c>
      <x:c r="F243" s="48" t="s">
        <x:v>67</x:v>
      </x:c>
      <x:c r="G243" s="48" t="s">
        <x:v>66</x:v>
      </x:c>
      <x:c r="H243" s="48" t="s">
        <x:v>66</x:v>
      </x:c>
      <x:c r="I243" s="48" t="s">
        <x:v>66</x:v>
      </x:c>
      <x:c r="J243" s="48" t="s">
        <x:v>66</x:v>
      </x:c>
      <x:c r="K243" s="64"/>
      <x:c r="L243" s="64"/>
      <x:c r="M243" s="50"/>
      <x:c r="N243" s="49"/>
      <x:c r="O243" s="50"/>
      <x:c r="P243" s="50"/>
      <x:c r="Q243" s="32">
        <x:v>239</x:v>
      </x:c>
      <x:c r="R243" s="68"/>
      <x:c r="S243" s="54" t="n">
        <x:f>INDEX('Locations'!$D$6:$D$453,MATCH(B243,'Locations'!$A$6:$A$453,0))</x:f>
        <x:v>42.7270429594612</x:v>
      </x:c>
      <x:c r="T243" s="54" t="n">
        <x:f>INDEX('Locations'!$E$6:$E$453,MATCH(B243,'Locations'!$A$6:$A$453,0))</x:f>
        <x:v>-73.6768581091039</x:v>
      </x:c>
      <x:c r="U243" s="54" t="n">
        <x:f>INDEX('Locations'!$D$6:$D$453,MATCH(C243,'Locations'!$A$6:$A$453,0))</x:f>
        <x:v>42.7271809010362</x:v>
      </x:c>
      <x:c r="V243" s="69" t="n">
        <x:f>INDEX('Locations'!$E$6:$E$453,MATCH(C243,'Locations'!$A$6:$A$453,0))</x:f>
        <x:v>-73.6773196837572</x:v>
      </x:c>
      <x:c r="W243" s="44"/>
    </x:row>
    <x:row r="244" ht="23" customHeight="1">
      <x:c r="A244" s="21" t="s">
        <x:v>846</x:v>
      </x:c>
      <x:c r="B244" s="45" t="s">
        <x:v>357</x:v>
      </x:c>
      <x:c r="C244" s="45" t="s">
        <x:v>356</x:v>
      </x:c>
      <x:c r="D244" s="45" t="s">
        <x:v>606</x:v>
      </x:c>
      <x:c r="E244" s="63" t="n">
        <x:f>2*6371000*ASIN(SQRT(MIN(1,SIN(RADIANS(U244-S244)/2)^2+COS(RADIANS(S244))*COS(RADIANS(U244))*SIN(RADIANS(V244-T244)/2)^2)))</x:f>
        <x:v>54.035230182530384</x:v>
      </x:c>
      <x:c r="F244" s="48" t="s">
        <x:v>67</x:v>
      </x:c>
      <x:c r="G244" s="48" t="s">
        <x:v>66</x:v>
      </x:c>
      <x:c r="H244" s="48" t="s">
        <x:v>66</x:v>
      </x:c>
      <x:c r="I244" s="48" t="s">
        <x:v>66</x:v>
      </x:c>
      <x:c r="J244" s="48" t="s">
        <x:v>66</x:v>
      </x:c>
      <x:c r="K244" s="64"/>
      <x:c r="L244" s="64"/>
      <x:c r="M244" s="50"/>
      <x:c r="N244" s="49"/>
      <x:c r="O244" s="50"/>
      <x:c r="P244" s="50"/>
      <x:c r="Q244" s="30">
        <x:v>240</x:v>
      </x:c>
      <x:c r="R244" s="65"/>
      <x:c r="S244" s="46" t="n">
        <x:f>INDEX('Locations'!$D$6:$D$453,MATCH(B244,'Locations'!$A$6:$A$453,0))</x:f>
        <x:v>42.726747534588</x:v>
      </x:c>
      <x:c r="T244" s="46" t="n">
        <x:f>INDEX('Locations'!$E$6:$E$453,MATCH(B244,'Locations'!$A$6:$A$453,0))</x:f>
        <x:v>-73.6763328689813</x:v>
      </x:c>
      <x:c r="U244" s="46" t="n">
        <x:f>INDEX('Locations'!$D$6:$D$453,MATCH(C244,'Locations'!$A$6:$A$453,0))</x:f>
        <x:v>42.7270429594612</x:v>
      </x:c>
      <x:c r="V244" s="66" t="n">
        <x:f>INDEX('Locations'!$E$6:$E$453,MATCH(C244,'Locations'!$A$6:$A$453,0))</x:f>
        <x:v>-73.6768581091039</x:v>
      </x:c>
      <x:c r="W244" s="44"/>
    </x:row>
    <x:row r="245" ht="23" customHeight="1">
      <x:c r="A245" s="24" t="s">
        <x:v>847</x:v>
      </x:c>
      <x:c r="B245" s="53" t="s">
        <x:v>259</x:v>
      </x:c>
      <x:c r="C245" s="53" t="s">
        <x:v>360</x:v>
      </x:c>
      <x:c r="D245" s="53" t="s">
        <x:v>606</x:v>
      </x:c>
      <x:c r="E245" s="67" t="n">
        <x:f>2*6371000*ASIN(SQRT(MIN(1,SIN(RADIANS(U245-S245)/2)^2+COS(RADIANS(S245))*COS(RADIANS(U245))*SIN(RADIANS(V245-T245)/2)^2)))</x:f>
        <x:v>53.464264545695144</x:v>
      </x:c>
      <x:c r="F245" s="48" t="s">
        <x:v>67</x:v>
      </x:c>
      <x:c r="G245" s="48" t="s">
        <x:v>66</x:v>
      </x:c>
      <x:c r="H245" s="48" t="s">
        <x:v>66</x:v>
      </x:c>
      <x:c r="I245" s="48" t="s">
        <x:v>66</x:v>
      </x:c>
      <x:c r="J245" s="48" t="s">
        <x:v>66</x:v>
      </x:c>
      <x:c r="K245" s="64"/>
      <x:c r="L245" s="64"/>
      <x:c r="M245" s="50"/>
      <x:c r="N245" s="49"/>
      <x:c r="O245" s="50"/>
      <x:c r="P245" s="50"/>
      <x:c r="Q245" s="32">
        <x:v>241</x:v>
      </x:c>
      <x:c r="R245" s="68"/>
      <x:c r="S245" s="54" t="n">
        <x:f>INDEX('Locations'!$D$6:$D$453,MATCH(B245,'Locations'!$A$6:$A$453,0))</x:f>
        <x:v>42.7271889476281</x:v>
      </x:c>
      <x:c r="T245" s="54" t="n">
        <x:f>INDEX('Locations'!$E$6:$E$453,MATCH(B245,'Locations'!$A$6:$A$453,0))</x:f>
        <x:v>-73.674741232246</x:v>
      </x:c>
      <x:c r="U245" s="54" t="n">
        <x:f>INDEX('Locations'!$D$6:$D$453,MATCH(C245,'Locations'!$A$6:$A$453,0))</x:f>
        <x:v>42.7270199691987</x:v>
      </x:c>
      <x:c r="V245" s="69" t="n">
        <x:f>INDEX('Locations'!$E$6:$E$453,MATCH(C245,'Locations'!$A$6:$A$453,0))</x:f>
        <x:v>-73.6753540123891</x:v>
      </x:c>
      <x:c r="W245" s="44"/>
    </x:row>
    <x:row r="246" ht="23" customHeight="1">
      <x:c r="A246" s="21" t="s">
        <x:v>848</x:v>
      </x:c>
      <x:c r="B246" s="45" t="s">
        <x:v>357</x:v>
      </x:c>
      <x:c r="C246" s="45" t="s">
        <x:v>358</x:v>
      </x:c>
      <x:c r="D246" s="45" t="s">
        <x:v>606</x:v>
      </x:c>
      <x:c r="E246" s="63" t="n">
        <x:f>2*6371000*ASIN(SQRT(MIN(1,SIN(RADIANS(U246-S246)/2)^2+COS(RADIANS(S246))*COS(RADIANS(U246))*SIN(RADIANS(V246-T246)/2)^2)))</x:f>
        <x:v>36.70889293962755</x:v>
      </x:c>
      <x:c r="F246" s="48" t="s">
        <x:v>67</x:v>
      </x:c>
      <x:c r="G246" s="48" t="s">
        <x:v>66</x:v>
      </x:c>
      <x:c r="H246" s="48" t="s">
        <x:v>66</x:v>
      </x:c>
      <x:c r="I246" s="48" t="s">
        <x:v>66</x:v>
      </x:c>
      <x:c r="J246" s="48" t="s">
        <x:v>66</x:v>
      </x:c>
      <x:c r="K246" s="64"/>
      <x:c r="L246" s="64"/>
      <x:c r="M246" s="50"/>
      <x:c r="N246" s="49"/>
      <x:c r="O246" s="50"/>
      <x:c r="P246" s="50"/>
      <x:c r="Q246" s="30">
        <x:v>242</x:v>
      </x:c>
      <x:c r="R246" s="65"/>
      <x:c r="S246" s="46" t="n">
        <x:f>INDEX('Locations'!$D$6:$D$453,MATCH(B246,'Locations'!$A$6:$A$453,0))</x:f>
        <x:v>42.726747534588</x:v>
      </x:c>
      <x:c r="T246" s="46" t="n">
        <x:f>INDEX('Locations'!$E$6:$E$453,MATCH(B246,'Locations'!$A$6:$A$453,0))</x:f>
        <x:v>-73.6763328689813</x:v>
      </x:c>
      <x:c r="U246" s="46" t="n">
        <x:f>INDEX('Locations'!$D$6:$D$453,MATCH(C246,'Locations'!$A$6:$A$453,0))</x:f>
        <x:v>42.7267050026023</x:v>
      </x:c>
      <x:c r="V246" s="66" t="n">
        <x:f>INDEX('Locations'!$E$6:$E$453,MATCH(C246,'Locations'!$A$6:$A$453,0))</x:f>
        <x:v>-73.6758872106954</x:v>
      </x:c>
      <x:c r="W246" s="44"/>
    </x:row>
    <x:row r="247" ht="23" customHeight="1">
      <x:c r="A247" s="24" t="s">
        <x:v>849</x:v>
      </x:c>
      <x:c r="B247" s="53" t="s">
        <x:v>360</x:v>
      </x:c>
      <x:c r="C247" s="53" t="s">
        <x:v>359</x:v>
      </x:c>
      <x:c r="D247" s="53" t="s">
        <x:v>606</x:v>
      </x:c>
      <x:c r="E247" s="67" t="n">
        <x:f>2*6371000*ASIN(SQRT(MIN(1,SIN(RADIANS(U247-S247)/2)^2+COS(RADIANS(S247))*COS(RADIANS(U247))*SIN(RADIANS(V247-T247)/2)^2)))</x:f>
        <x:v>24.385957625008462</x:v>
      </x:c>
      <x:c r="F247" s="48" t="s">
        <x:v>67</x:v>
      </x:c>
      <x:c r="G247" s="48" t="s">
        <x:v>66</x:v>
      </x:c>
      <x:c r="H247" s="48" t="s">
        <x:v>66</x:v>
      </x:c>
      <x:c r="I247" s="48" t="s">
        <x:v>66</x:v>
      </x:c>
      <x:c r="J247" s="48" t="s">
        <x:v>66</x:v>
      </x:c>
      <x:c r="K247" s="64"/>
      <x:c r="L247" s="64"/>
      <x:c r="M247" s="50"/>
      <x:c r="N247" s="49"/>
      <x:c r="O247" s="50"/>
      <x:c r="P247" s="50"/>
      <x:c r="Q247" s="32">
        <x:v>243</x:v>
      </x:c>
      <x:c r="R247" s="68"/>
      <x:c r="S247" s="54" t="n">
        <x:f>INDEX('Locations'!$D$6:$D$453,MATCH(B247,'Locations'!$A$6:$A$453,0))</x:f>
        <x:v>42.7270199691987</x:v>
      </x:c>
      <x:c r="T247" s="54" t="n">
        <x:f>INDEX('Locations'!$E$6:$E$453,MATCH(B247,'Locations'!$A$6:$A$453,0))</x:f>
        <x:v>-73.6753540123891</x:v>
      </x:c>
      <x:c r="U247" s="54" t="n">
        <x:f>INDEX('Locations'!$D$6:$D$453,MATCH(C247,'Locations'!$A$6:$A$453,0))</x:f>
        <x:v>42.7268165053755</x:v>
      </x:c>
      <x:c r="V247" s="69" t="n">
        <x:f>INDEX('Locations'!$E$6:$E$453,MATCH(C247,'Locations'!$A$6:$A$453,0))</x:f>
        <x:v>-73.6754654269606</x:v>
      </x:c>
      <x:c r="W247" s="44"/>
    </x:row>
    <x:row r="248" ht="23" customHeight="1">
      <x:c r="A248" s="21" t="s">
        <x:v>850</x:v>
      </x:c>
      <x:c r="B248" s="45" t="s">
        <x:v>358</x:v>
      </x:c>
      <x:c r="C248" s="45" t="s">
        <x:v>359</x:v>
      </x:c>
      <x:c r="D248" s="45" t="s">
        <x:v>606</x:v>
      </x:c>
      <x:c r="E248" s="63" t="n">
        <x:f>2*6371000*ASIN(SQRT(MIN(1,SIN(RADIANS(U248-S248)/2)^2+COS(RADIANS(S248))*COS(RADIANS(U248))*SIN(RADIANS(V248-T248)/2)^2)))</x:f>
        <x:v>36.615825209041546</x:v>
      </x:c>
      <x:c r="F248" s="48" t="s">
        <x:v>67</x:v>
      </x:c>
      <x:c r="G248" s="48" t="s">
        <x:v>66</x:v>
      </x:c>
      <x:c r="H248" s="48" t="s">
        <x:v>66</x:v>
      </x:c>
      <x:c r="I248" s="48" t="s">
        <x:v>66</x:v>
      </x:c>
      <x:c r="J248" s="48" t="s">
        <x:v>66</x:v>
      </x:c>
      <x:c r="K248" s="64"/>
      <x:c r="L248" s="64"/>
      <x:c r="M248" s="50"/>
      <x:c r="N248" s="49"/>
      <x:c r="O248" s="50"/>
      <x:c r="P248" s="50"/>
      <x:c r="Q248" s="30">
        <x:v>244</x:v>
      </x:c>
      <x:c r="R248" s="65"/>
      <x:c r="S248" s="46" t="n">
        <x:f>INDEX('Locations'!$D$6:$D$453,MATCH(B248,'Locations'!$A$6:$A$453,0))</x:f>
        <x:v>42.7267050026023</x:v>
      </x:c>
      <x:c r="T248" s="46" t="n">
        <x:f>INDEX('Locations'!$E$6:$E$453,MATCH(B248,'Locations'!$A$6:$A$453,0))</x:f>
        <x:v>-73.6758872106954</x:v>
      </x:c>
      <x:c r="U248" s="46" t="n">
        <x:f>INDEX('Locations'!$D$6:$D$453,MATCH(C248,'Locations'!$A$6:$A$453,0))</x:f>
        <x:v>42.7268165053755</x:v>
      </x:c>
      <x:c r="V248" s="66" t="n">
        <x:f>INDEX('Locations'!$E$6:$E$453,MATCH(C248,'Locations'!$A$6:$A$453,0))</x:f>
        <x:v>-73.6754654269606</x:v>
      </x:c>
      <x:c r="W248" s="44"/>
    </x:row>
    <x:row r="249" ht="23" customHeight="1">
      <x:c r="A249" s="24" t="s">
        <x:v>851</x:v>
      </x:c>
      <x:c r="B249" s="53" t="s">
        <x:v>357</x:v>
      </x:c>
      <x:c r="C249" s="53" t="s">
        <x:v>361</x:v>
      </x:c>
      <x:c r="D249" s="53" t="s">
        <x:v>606</x:v>
      </x:c>
      <x:c r="E249" s="67" t="n">
        <x:f>2*6371000*ASIN(SQRT(MIN(1,SIN(RADIANS(U249-S249)/2)^2+COS(RADIANS(S249))*COS(RADIANS(U249))*SIN(RADIANS(V249-T249)/2)^2)))</x:f>
        <x:v>70.551696880808</x:v>
      </x:c>
      <x:c r="F249" s="48" t="s">
        <x:v>67</x:v>
      </x:c>
      <x:c r="G249" s="48" t="s">
        <x:v>66</x:v>
      </x:c>
      <x:c r="H249" s="48" t="s">
        <x:v>66</x:v>
      </x:c>
      <x:c r="I249" s="48" t="s">
        <x:v>66</x:v>
      </x:c>
      <x:c r="J249" s="48" t="s">
        <x:v>66</x:v>
      </x:c>
      <x:c r="K249" s="64"/>
      <x:c r="L249" s="64"/>
      <x:c r="M249" s="50"/>
      <x:c r="N249" s="49"/>
      <x:c r="O249" s="50"/>
      <x:c r="P249" s="50"/>
      <x:c r="Q249" s="32">
        <x:v>245</x:v>
      </x:c>
      <x:c r="R249" s="68"/>
      <x:c r="S249" s="54" t="n">
        <x:f>INDEX('Locations'!$D$6:$D$453,MATCH(B249,'Locations'!$A$6:$A$453,0))</x:f>
        <x:v>42.726747534588</x:v>
      </x:c>
      <x:c r="T249" s="54" t="n">
        <x:f>INDEX('Locations'!$E$6:$E$453,MATCH(B249,'Locations'!$A$6:$A$453,0))</x:f>
        <x:v>-73.6763328689813</x:v>
      </x:c>
      <x:c r="U249" s="54" t="n">
        <x:f>INDEX('Locations'!$D$6:$D$453,MATCH(C249,'Locations'!$A$6:$A$453,0))</x:f>
        <x:v>42.7263187661922</x:v>
      </x:c>
      <x:c r="V249" s="69" t="n">
        <x:f>INDEX('Locations'!$E$6:$E$453,MATCH(C249,'Locations'!$A$6:$A$453,0))</x:f>
        <x:v>-73.6756962142872</x:v>
      </x:c>
      <x:c r="W249" s="44"/>
    </x:row>
    <x:row r="250" ht="23" customHeight="1">
      <x:c r="A250" s="21" t="s">
        <x:v>852</x:v>
      </x:c>
      <x:c r="B250" s="45" t="s">
        <x:v>362</x:v>
      </x:c>
      <x:c r="C250" s="45" t="s">
        <x:v>361</x:v>
      </x:c>
      <x:c r="D250" s="45" t="s">
        <x:v>606</x:v>
      </x:c>
      <x:c r="E250" s="63" t="n">
        <x:f>2*6371000*ASIN(SQRT(MIN(1,SIN(RADIANS(U250-S250)/2)^2+COS(RADIANS(S250))*COS(RADIANS(U250))*SIN(RADIANS(V250-T250)/2)^2)))</x:f>
        <x:v>64.48756737507733</x:v>
      </x:c>
      <x:c r="F250" s="48" t="s">
        <x:v>67</x:v>
      </x:c>
      <x:c r="G250" s="48" t="s">
        <x:v>66</x:v>
      </x:c>
      <x:c r="H250" s="48" t="s">
        <x:v>66</x:v>
      </x:c>
      <x:c r="I250" s="48" t="s">
        <x:v>66</x:v>
      </x:c>
      <x:c r="J250" s="48" t="s">
        <x:v>66</x:v>
      </x:c>
      <x:c r="K250" s="64"/>
      <x:c r="L250" s="64"/>
      <x:c r="M250" s="50"/>
      <x:c r="N250" s="49"/>
      <x:c r="O250" s="50"/>
      <x:c r="P250" s="50"/>
      <x:c r="Q250" s="30">
        <x:v>246</x:v>
      </x:c>
      <x:c r="R250" s="65"/>
      <x:c r="S250" s="46" t="n">
        <x:f>INDEX('Locations'!$D$6:$D$453,MATCH(B250,'Locations'!$A$6:$A$453,0))</x:f>
        <x:v>42.7258049338252</x:v>
      </x:c>
      <x:c r="T250" s="46" t="n">
        <x:f>INDEX('Locations'!$E$6:$E$453,MATCH(B250,'Locations'!$A$6:$A$453,0))</x:f>
        <x:v>-73.6753301378381</x:v>
      </x:c>
      <x:c r="U250" s="46" t="n">
        <x:f>INDEX('Locations'!$D$6:$D$453,MATCH(C250,'Locations'!$A$6:$A$453,0))</x:f>
        <x:v>42.7263187661922</x:v>
      </x:c>
      <x:c r="V250" s="66" t="n">
        <x:f>INDEX('Locations'!$E$6:$E$453,MATCH(C250,'Locations'!$A$6:$A$453,0))</x:f>
        <x:v>-73.6756962142872</x:v>
      </x:c>
      <x:c r="W250" s="44"/>
    </x:row>
    <x:row r="251" ht="23" customHeight="1">
      <x:c r="A251" s="24" t="s">
        <x:v>853</x:v>
      </x:c>
      <x:c r="B251" s="53" t="s">
        <x:v>362</x:v>
      </x:c>
      <x:c r="C251" s="53" t="s">
        <x:v>363</x:v>
      </x:c>
      <x:c r="D251" s="53" t="s">
        <x:v>606</x:v>
      </x:c>
      <x:c r="E251" s="67" t="n">
        <x:f>2*6371000*ASIN(SQRT(MIN(1,SIN(RADIANS(U251-S251)/2)^2+COS(RADIANS(S251))*COS(RADIANS(U251))*SIN(RADIANS(V251-T251)/2)^2)))</x:f>
        <x:v>68.12807473624193</x:v>
      </x:c>
      <x:c r="F251" s="48" t="s">
        <x:v>67</x:v>
      </x:c>
      <x:c r="G251" s="48" t="s">
        <x:v>66</x:v>
      </x:c>
      <x:c r="H251" s="48" t="s">
        <x:v>66</x:v>
      </x:c>
      <x:c r="I251" s="48" t="s">
        <x:v>66</x:v>
      </x:c>
      <x:c r="J251" s="48" t="s">
        <x:v>66</x:v>
      </x:c>
      <x:c r="K251" s="64"/>
      <x:c r="L251" s="64"/>
      <x:c r="M251" s="50"/>
      <x:c r="N251" s="49"/>
      <x:c r="O251" s="50"/>
      <x:c r="P251" s="50"/>
      <x:c r="Q251" s="32">
        <x:v>247</x:v>
      </x:c>
      <x:c r="R251" s="68"/>
      <x:c r="S251" s="54" t="n">
        <x:f>INDEX('Locations'!$D$6:$D$453,MATCH(B251,'Locations'!$A$6:$A$453,0))</x:f>
        <x:v>42.7258049338252</x:v>
      </x:c>
      <x:c r="T251" s="54" t="n">
        <x:f>INDEX('Locations'!$E$6:$E$453,MATCH(B251,'Locations'!$A$6:$A$453,0))</x:f>
        <x:v>-73.6753301378381</x:v>
      </x:c>
      <x:c r="U251" s="54" t="n">
        <x:f>INDEX('Locations'!$D$6:$D$453,MATCH(C251,'Locations'!$A$6:$A$453,0))</x:f>
        <x:v>42.7251922433294</x:v>
      </x:c>
      <x:c r="V251" s="69" t="n">
        <x:f>INDEX('Locations'!$E$6:$E$453,MATCH(C251,'Locations'!$A$6:$A$453,0))</x:f>
        <x:v>-73.6753301378381</x:v>
      </x:c>
      <x:c r="W251" s="44"/>
    </x:row>
    <x:row r="252" ht="23" customHeight="1">
      <x:c r="A252" s="21" t="s">
        <x:v>854</x:v>
      </x:c>
      <x:c r="B252" s="45" t="s">
        <x:v>354</x:v>
      </x:c>
      <x:c r="C252" s="45" t="s">
        <x:v>364</x:v>
      </x:c>
      <x:c r="D252" s="45" t="s">
        <x:v>606</x:v>
      </x:c>
      <x:c r="E252" s="63" t="n">
        <x:f>2*6371000*ASIN(SQRT(MIN(1,SIN(RADIANS(U252-S252)/2)^2+COS(RADIANS(S252))*COS(RADIANS(U252))*SIN(RADIANS(V252-T252)/2)^2)))</x:f>
        <x:v>28.679722392444734</x:v>
      </x:c>
      <x:c r="F252" s="48" t="s">
        <x:v>67</x:v>
      </x:c>
      <x:c r="G252" s="48" t="s">
        <x:v>66</x:v>
      </x:c>
      <x:c r="H252" s="48" t="s">
        <x:v>66</x:v>
      </x:c>
      <x:c r="I252" s="48" t="s">
        <x:v>66</x:v>
      </x:c>
      <x:c r="J252" s="48" t="s">
        <x:v>66</x:v>
      </x:c>
      <x:c r="K252" s="64"/>
      <x:c r="L252" s="64"/>
      <x:c r="M252" s="50"/>
      <x:c r="N252" s="49"/>
      <x:c r="O252" s="50"/>
      <x:c r="P252" s="50"/>
      <x:c r="Q252" s="30">
        <x:v>248</x:v>
      </x:c>
      <x:c r="R252" s="65"/>
      <x:c r="S252" s="46" t="n">
        <x:f>INDEX('Locations'!$D$6:$D$453,MATCH(B252,'Locations'!$A$6:$A$453,0))</x:f>
        <x:v>42.7304144814577</x:v>
      </x:c>
      <x:c r="T252" s="46" t="n">
        <x:f>INDEX('Locations'!$E$6:$E$453,MATCH(B252,'Locations'!$A$6:$A$453,0))</x:f>
        <x:v>-73.6830654923715</x:v>
      </x:c>
      <x:c r="U252" s="46" t="n">
        <x:f>INDEX('Locations'!$D$6:$D$453,MATCH(C252,'Locations'!$A$6:$A$453,0))</x:f>
        <x:v>42.7301845788326</x:v>
      </x:c>
      <x:c r="V252" s="66" t="n">
        <x:f>INDEX('Locations'!$E$6:$E$453,MATCH(C252,'Locations'!$A$6:$A$453,0))</x:f>
        <x:v>-73.683224656045</x:v>
      </x:c>
      <x:c r="W252" s="44"/>
    </x:row>
    <x:row r="253" ht="23" customHeight="1">
      <x:c r="A253" s="24" t="s">
        <x:v>855</x:v>
      </x:c>
      <x:c r="B253" s="53" t="s">
        <x:v>368</x:v>
      </x:c>
      <x:c r="C253" s="53" t="s">
        <x:v>367</x:v>
      </x:c>
      <x:c r="D253" s="53" t="s">
        <x:v>606</x:v>
      </x:c>
      <x:c r="E253" s="67" t="n">
        <x:f>2*6371000*ASIN(SQRT(MIN(1,SIN(RADIANS(U253-S253)/2)^2+COS(RADIANS(S253))*COS(RADIANS(U253))*SIN(RADIANS(V253-T253)/2)^2)))</x:f>
        <x:v>17.829113442647287</x:v>
      </x:c>
      <x:c r="F253" s="48" t="s">
        <x:v>67</x:v>
      </x:c>
      <x:c r="G253" s="48" t="s">
        <x:v>66</x:v>
      </x:c>
      <x:c r="H253" s="48" t="s">
        <x:v>66</x:v>
      </x:c>
      <x:c r="I253" s="48" t="s">
        <x:v>66</x:v>
      </x:c>
      <x:c r="J253" s="48" t="s">
        <x:v>66</x:v>
      </x:c>
      <x:c r="K253" s="64"/>
      <x:c r="L253" s="64"/>
      <x:c r="M253" s="50"/>
      <x:c r="N253" s="49"/>
      <x:c r="O253" s="50"/>
      <x:c r="P253" s="50"/>
      <x:c r="Q253" s="32">
        <x:v>249</x:v>
      </x:c>
      <x:c r="R253" s="68"/>
      <x:c r="S253" s="54" t="n">
        <x:f>INDEX('Locations'!$D$6:$D$453,MATCH(B253,'Locations'!$A$6:$A$453,0))</x:f>
        <x:v>42.7308949779441</x:v>
      </x:c>
      <x:c r="T253" s="54" t="n">
        <x:f>INDEX('Locations'!$E$6:$E$453,MATCH(B253,'Locations'!$A$6:$A$453,0))</x:f>
        <x:v>-73.6836225652288</x:v>
      </x:c>
      <x:c r="U253" s="54" t="n">
        <x:f>INDEX('Locations'!$D$6:$D$453,MATCH(C253,'Locations'!$A$6:$A$453,0))</x:f>
        <x:v>42.7308076149466</x:v>
      </x:c>
      <x:c r="V253" s="69" t="n">
        <x:f>INDEX('Locations'!$E$6:$E$453,MATCH(C253,'Locations'!$A$6:$A$453,0))</x:f>
        <x:v>-73.6834395270043</x:v>
      </x:c>
      <x:c r="W253" s="44"/>
    </x:row>
    <x:row r="254" ht="23" customHeight="1">
      <x:c r="A254" s="21" t="s">
        <x:v>856</x:v>
      </x:c>
      <x:c r="B254" s="45" t="s">
        <x:v>366</x:v>
      </x:c>
      <x:c r="C254" s="45" t="s">
        <x:v>365</x:v>
      </x:c>
      <x:c r="D254" s="45" t="s">
        <x:v>606</x:v>
      </x:c>
      <x:c r="E254" s="63" t="n">
        <x:f>2*6371000*ASIN(SQRT(MIN(1,SIN(RADIANS(U254-S254)/2)^2+COS(RADIANS(S254))*COS(RADIANS(U254))*SIN(RADIANS(V254-T254)/2)^2)))</x:f>
        <x:v>42.17461078509305</x:v>
      </x:c>
      <x:c r="F254" s="48" t="s">
        <x:v>67</x:v>
      </x:c>
      <x:c r="G254" s="48" t="s">
        <x:v>66</x:v>
      </x:c>
      <x:c r="H254" s="48" t="s">
        <x:v>66</x:v>
      </x:c>
      <x:c r="I254" s="48" t="s">
        <x:v>66</x:v>
      </x:c>
      <x:c r="J254" s="48" t="s">
        <x:v>66</x:v>
      </x:c>
      <x:c r="K254" s="64"/>
      <x:c r="L254" s="64"/>
      <x:c r="M254" s="50"/>
      <x:c r="N254" s="49"/>
      <x:c r="O254" s="50"/>
      <x:c r="P254" s="50"/>
      <x:c r="Q254" s="30">
        <x:v>250</x:v>
      </x:c>
      <x:c r="R254" s="65"/>
      <x:c r="S254" s="46" t="n">
        <x:f>INDEX('Locations'!$D$6:$D$453,MATCH(B254,'Locations'!$A$6:$A$453,0))</x:f>
        <x:v>42.7305524230327</x:v>
      </x:c>
      <x:c r="T254" s="46" t="n">
        <x:f>INDEX('Locations'!$E$6:$E$453,MATCH(B254,'Locations'!$A$6:$A$453,0))</x:f>
        <x:v>-73.683597099041</x:v>
      </x:c>
      <x:c r="U254" s="46" t="n">
        <x:f>INDEX('Locations'!$D$6:$D$453,MATCH(C254,'Locations'!$A$6:$A$453,0))</x:f>
        <x:v>42.730178831267</x:v>
      </x:c>
      <x:c r="V254" s="66" t="n">
        <x:f>INDEX('Locations'!$E$6:$E$453,MATCH(C254,'Locations'!$A$6:$A$453,0))</x:f>
        <x:v>-73.6835079673839</x:v>
      </x:c>
      <x:c r="W254" s="44"/>
    </x:row>
    <x:row r="255" ht="23" customHeight="1">
      <x:c r="A255" s="24" t="s">
        <x:v>857</x:v>
      </x:c>
      <x:c r="B255" s="53" t="s">
        <x:v>364</x:v>
      </x:c>
      <x:c r="C255" s="53" t="s">
        <x:v>365</x:v>
      </x:c>
      <x:c r="D255" s="53" t="s">
        <x:v>606</x:v>
      </x:c>
      <x:c r="E255" s="67" t="n">
        <x:f>2*6371000*ASIN(SQRT(MIN(1,SIN(RADIANS(U255-S255)/2)^2+COS(RADIANS(S255))*COS(RADIANS(U255))*SIN(RADIANS(V255-T255)/2)^2)))</x:f>
        <x:v>23.149422025679005</x:v>
      </x:c>
      <x:c r="F255" s="48" t="s">
        <x:v>67</x:v>
      </x:c>
      <x:c r="G255" s="48" t="s">
        <x:v>66</x:v>
      </x:c>
      <x:c r="H255" s="48" t="s">
        <x:v>66</x:v>
      </x:c>
      <x:c r="I255" s="48" t="s">
        <x:v>66</x:v>
      </x:c>
      <x:c r="J255" s="48" t="s">
        <x:v>66</x:v>
      </x:c>
      <x:c r="K255" s="64"/>
      <x:c r="L255" s="64"/>
      <x:c r="M255" s="50"/>
      <x:c r="N255" s="49"/>
      <x:c r="O255" s="50"/>
      <x:c r="P255" s="50"/>
      <x:c r="Q255" s="32">
        <x:v>251</x:v>
      </x:c>
      <x:c r="R255" s="68"/>
      <x:c r="S255" s="54" t="n">
        <x:f>INDEX('Locations'!$D$6:$D$453,MATCH(B255,'Locations'!$A$6:$A$453,0))</x:f>
        <x:v>42.7301845788326</x:v>
      </x:c>
      <x:c r="T255" s="54" t="n">
        <x:f>INDEX('Locations'!$E$6:$E$453,MATCH(B255,'Locations'!$A$6:$A$453,0))</x:f>
        <x:v>-73.683224656045</x:v>
      </x:c>
      <x:c r="U255" s="54" t="n">
        <x:f>INDEX('Locations'!$D$6:$D$453,MATCH(C255,'Locations'!$A$6:$A$453,0))</x:f>
        <x:v>42.730178831267</x:v>
      </x:c>
      <x:c r="V255" s="69" t="n">
        <x:f>INDEX('Locations'!$E$6:$E$453,MATCH(C255,'Locations'!$A$6:$A$453,0))</x:f>
        <x:v>-73.6835079673839</x:v>
      </x:c>
      <x:c r="W255" s="44"/>
    </x:row>
    <x:row r="256" ht="23" customHeight="1">
      <x:c r="A256" s="21" t="s">
        <x:v>858</x:v>
      </x:c>
      <x:c r="B256" s="45" t="s">
        <x:v>366</x:v>
      </x:c>
      <x:c r="C256" s="45" t="s">
        <x:v>367</x:v>
      </x:c>
      <x:c r="D256" s="45" t="s">
        <x:v>606</x:v>
      </x:c>
      <x:c r="E256" s="63" t="n">
        <x:f>2*6371000*ASIN(SQRT(MIN(1,SIN(RADIANS(U256-S256)/2)^2+COS(RADIANS(S256))*COS(RADIANS(U256))*SIN(RADIANS(V256-T256)/2)^2)))</x:f>
        <x:v>31.158350388551657</x:v>
      </x:c>
      <x:c r="F256" s="48" t="s">
        <x:v>67</x:v>
      </x:c>
      <x:c r="G256" s="48" t="s">
        <x:v>66</x:v>
      </x:c>
      <x:c r="H256" s="48" t="s">
        <x:v>66</x:v>
      </x:c>
      <x:c r="I256" s="48" t="s">
        <x:v>66</x:v>
      </x:c>
      <x:c r="J256" s="48" t="s">
        <x:v>66</x:v>
      </x:c>
      <x:c r="K256" s="64"/>
      <x:c r="L256" s="64"/>
      <x:c r="M256" s="50"/>
      <x:c r="N256" s="49"/>
      <x:c r="O256" s="50"/>
      <x:c r="P256" s="50"/>
      <x:c r="Q256" s="30">
        <x:v>252</x:v>
      </x:c>
      <x:c r="R256" s="65"/>
      <x:c r="S256" s="46" t="n">
        <x:f>INDEX('Locations'!$D$6:$D$453,MATCH(B256,'Locations'!$A$6:$A$453,0))</x:f>
        <x:v>42.7305524230327</x:v>
      </x:c>
      <x:c r="T256" s="46" t="n">
        <x:f>INDEX('Locations'!$E$6:$E$453,MATCH(B256,'Locations'!$A$6:$A$453,0))</x:f>
        <x:v>-73.683597099041</x:v>
      </x:c>
      <x:c r="U256" s="46" t="n">
        <x:f>INDEX('Locations'!$D$6:$D$453,MATCH(C256,'Locations'!$A$6:$A$453,0))</x:f>
        <x:v>42.7308076149466</x:v>
      </x:c>
      <x:c r="V256" s="66" t="n">
        <x:f>INDEX('Locations'!$E$6:$E$453,MATCH(C256,'Locations'!$A$6:$A$453,0))</x:f>
        <x:v>-73.6834395270043</x:v>
      </x:c>
      <x:c r="W256" s="44"/>
    </x:row>
    <x:row r="257" ht="23" customHeight="1">
      <x:c r="A257" s="24" t="s">
        <x:v>859</x:v>
      </x:c>
      <x:c r="B257" s="53" t="s">
        <x:v>368</x:v>
      </x:c>
      <x:c r="C257" s="53" t="s">
        <x:v>160</x:v>
      </x:c>
      <x:c r="D257" s="53" t="s">
        <x:v>606</x:v>
      </x:c>
      <x:c r="E257" s="67" t="n">
        <x:f>2*6371000*ASIN(SQRT(MIN(1,SIN(RADIANS(U257-S257)/2)^2+COS(RADIANS(S257))*COS(RADIANS(U257))*SIN(RADIANS(V257-T257)/2)^2)))</x:f>
        <x:v>39.812664482776945</x:v>
      </x:c>
      <x:c r="F257" s="48" t="s">
        <x:v>67</x:v>
      </x:c>
      <x:c r="G257" s="48" t="s">
        <x:v>66</x:v>
      </x:c>
      <x:c r="H257" s="48" t="s">
        <x:v>66</x:v>
      </x:c>
      <x:c r="I257" s="48" t="s">
        <x:v>66</x:v>
      </x:c>
      <x:c r="J257" s="48" t="s">
        <x:v>66</x:v>
      </x:c>
      <x:c r="K257" s="64"/>
      <x:c r="L257" s="64"/>
      <x:c r="M257" s="50"/>
      <x:c r="N257" s="49"/>
      <x:c r="O257" s="50"/>
      <x:c r="P257" s="50"/>
      <x:c r="Q257" s="32">
        <x:v>253</x:v>
      </x:c>
      <x:c r="R257" s="68"/>
      <x:c r="S257" s="54" t="n">
        <x:f>INDEX('Locations'!$D$6:$D$453,MATCH(B257,'Locations'!$A$6:$A$453,0))</x:f>
        <x:v>42.7308949779441</x:v>
      </x:c>
      <x:c r="T257" s="54" t="n">
        <x:f>INDEX('Locations'!$E$6:$E$453,MATCH(B257,'Locations'!$A$6:$A$453,0))</x:f>
        <x:v>-73.6836225652288</x:v>
      </x:c>
      <x:c r="U257" s="54" t="n">
        <x:f>INDEX('Locations'!$D$6:$D$453,MATCH(C257,'Locations'!$A$6:$A$453,0))</x:f>
        <x:v>42.7311695906155</x:v>
      </x:c>
      <x:c r="V257" s="69" t="n">
        <x:f>INDEX('Locations'!$E$6:$E$453,MATCH(C257,'Locations'!$A$6:$A$453,0))</x:f>
        <x:v>-73.6833097926915</x:v>
      </x:c>
      <x:c r="W257" s="44"/>
    </x:row>
    <x:row r="258" ht="23" customHeight="1">
      <x:c r="A258" s="21" t="s">
        <x:v>860</x:v>
      </x:c>
      <x:c r="B258" s="45" t="s">
        <x:v>368</x:v>
      </x:c>
      <x:c r="C258" s="45" t="s">
        <x:v>369</x:v>
      </x:c>
      <x:c r="D258" s="45" t="s">
        <x:v>606</x:v>
      </x:c>
      <x:c r="E258" s="63" t="n">
        <x:f>2*6371000*ASIN(SQRT(MIN(1,SIN(RADIANS(U258-S258)/2)^2+COS(RADIANS(S258))*COS(RADIANS(U258))*SIN(RADIANS(V258-T258)/2)^2)))</x:f>
        <x:v>95.13155721719666</x:v>
      </x:c>
      <x:c r="F258" s="48" t="s">
        <x:v>67</x:v>
      </x:c>
      <x:c r="G258" s="48" t="s">
        <x:v>66</x:v>
      </x:c>
      <x:c r="H258" s="48" t="s">
        <x:v>66</x:v>
      </x:c>
      <x:c r="I258" s="48" t="s">
        <x:v>66</x:v>
      </x:c>
      <x:c r="J258" s="48" t="s">
        <x:v>66</x:v>
      </x:c>
      <x:c r="K258" s="64"/>
      <x:c r="L258" s="64"/>
      <x:c r="M258" s="50"/>
      <x:c r="N258" s="49"/>
      <x:c r="O258" s="50"/>
      <x:c r="P258" s="50"/>
      <x:c r="Q258" s="30">
        <x:v>254</x:v>
      </x:c>
      <x:c r="R258" s="65"/>
      <x:c r="S258" s="46" t="n">
        <x:f>INDEX('Locations'!$D$6:$D$453,MATCH(B258,'Locations'!$A$6:$A$453,0))</x:f>
        <x:v>42.7308949779441</x:v>
      </x:c>
      <x:c r="T258" s="46" t="n">
        <x:f>INDEX('Locations'!$E$6:$E$453,MATCH(B258,'Locations'!$A$6:$A$453,0))</x:f>
        <x:v>-73.6836225652288</x:v>
      </x:c>
      <x:c r="U258" s="46" t="n">
        <x:f>INDEX('Locations'!$D$6:$D$453,MATCH(C258,'Locations'!$A$6:$A$453,0))</x:f>
        <x:v>42.7302512505939</x:v>
      </x:c>
      <x:c r="V258" s="66" t="n">
        <x:f>INDEX('Locations'!$E$6:$E$453,MATCH(C258,'Locations'!$A$6:$A$453,0))</x:f>
        <x:v>-73.6843897341352</x:v>
      </x:c>
      <x:c r="W258" s="44"/>
    </x:row>
    <x:row r="259" ht="23" customHeight="1">
      <x:c r="A259" s="24" t="s">
        <x:v>861</x:v>
      </x:c>
      <x:c r="B259" s="53" t="s">
        <x:v>370</x:v>
      </x:c>
      <x:c r="C259" s="53" t="s">
        <x:v>369</x:v>
      </x:c>
      <x:c r="D259" s="53" t="s">
        <x:v>606</x:v>
      </x:c>
      <x:c r="E259" s="67" t="n">
        <x:f>2*6371000*ASIN(SQRT(MIN(1,SIN(RADIANS(U259-S259)/2)^2+COS(RADIANS(S259))*COS(RADIANS(U259))*SIN(RADIANS(V259-T259)/2)^2)))</x:f>
        <x:v>60.83185706176666</x:v>
      </x:c>
      <x:c r="F259" s="48" t="s">
        <x:v>67</x:v>
      </x:c>
      <x:c r="G259" s="48" t="s">
        <x:v>66</x:v>
      </x:c>
      <x:c r="H259" s="48" t="s">
        <x:v>66</x:v>
      </x:c>
      <x:c r="I259" s="48" t="s">
        <x:v>66</x:v>
      </x:c>
      <x:c r="J259" s="48" t="s">
        <x:v>66</x:v>
      </x:c>
      <x:c r="K259" s="64"/>
      <x:c r="L259" s="64"/>
      <x:c r="M259" s="50"/>
      <x:c r="N259" s="49"/>
      <x:c r="O259" s="50"/>
      <x:c r="P259" s="50"/>
      <x:c r="Q259" s="32">
        <x:v>255</x:v>
      </x:c>
      <x:c r="R259" s="68"/>
      <x:c r="S259" s="54" t="n">
        <x:f>INDEX('Locations'!$D$6:$D$453,MATCH(B259,'Locations'!$A$6:$A$453,0))</x:f>
        <x:v>42.7297132784513</x:v>
      </x:c>
      <x:c r="T259" s="54" t="n">
        <x:f>INDEX('Locations'!$E$6:$E$453,MATCH(B259,'Locations'!$A$6:$A$453,0))</x:f>
        <x:v>-73.6845250232577</x:v>
      </x:c>
      <x:c r="U259" s="54" t="n">
        <x:f>INDEX('Locations'!$D$6:$D$453,MATCH(C259,'Locations'!$A$6:$A$453,0))</x:f>
        <x:v>42.7302512505939</x:v>
      </x:c>
      <x:c r="V259" s="69" t="n">
        <x:f>INDEX('Locations'!$E$6:$E$453,MATCH(C259,'Locations'!$A$6:$A$453,0))</x:f>
        <x:v>-73.6843897341352</x:v>
      </x:c>
      <x:c r="W259" s="44"/>
    </x:row>
    <x:row r="260" ht="23" customHeight="1">
      <x:c r="A260" s="21" t="s">
        <x:v>862</x:v>
      </x:c>
      <x:c r="B260" s="45" t="s">
        <x:v>374</x:v>
      </x:c>
      <x:c r="C260" s="45" t="s">
        <x:v>373</x:v>
      </x:c>
      <x:c r="D260" s="45" t="s">
        <x:v>606</x:v>
      </x:c>
      <x:c r="E260" s="63" t="n">
        <x:f>2*6371000*ASIN(SQRT(MIN(1,SIN(RADIANS(U260-S260)/2)^2+COS(RADIANS(S260))*COS(RADIANS(U260))*SIN(RADIANS(V260-T260)/2)^2)))</x:f>
        <x:v>12.646003482784907</x:v>
      </x:c>
      <x:c r="F260" s="48" t="s">
        <x:v>67</x:v>
      </x:c>
      <x:c r="G260" s="48" t="s">
        <x:v>66</x:v>
      </x:c>
      <x:c r="H260" s="48" t="s">
        <x:v>66</x:v>
      </x:c>
      <x:c r="I260" s="48" t="s">
        <x:v>66</x:v>
      </x:c>
      <x:c r="J260" s="48" t="s">
        <x:v>66</x:v>
      </x:c>
      <x:c r="K260" s="64"/>
      <x:c r="L260" s="64"/>
      <x:c r="M260" s="50"/>
      <x:c r="N260" s="49"/>
      <x:c r="O260" s="50"/>
      <x:c r="P260" s="50"/>
      <x:c r="Q260" s="30">
        <x:v>256</x:v>
      </x:c>
      <x:c r="R260" s="65"/>
      <x:c r="S260" s="46" t="n">
        <x:f>INDEX('Locations'!$D$6:$D$453,MATCH(B260,'Locations'!$A$6:$A$453,0))</x:f>
        <x:v>42.7289936832348</x:v>
      </x:c>
      <x:c r="T260" s="46" t="n">
        <x:f>INDEX('Locations'!$E$6:$E$453,MATCH(B260,'Locations'!$A$6:$A$453,0))</x:f>
        <x:v>-73.6847367109435</x:v>
      </x:c>
      <x:c r="U260" s="46" t="n">
        <x:f>INDEX('Locations'!$D$6:$D$453,MATCH(C260,'Locations'!$A$6:$A$453,0))</x:f>
        <x:v>42.7290270191155</x:v>
      </x:c>
      <x:c r="V260" s="66" t="n">
        <x:f>INDEX('Locations'!$E$6:$E$453,MATCH(C260,'Locations'!$A$6:$A$453,0))</x:f>
        <x:v>-73.6845886887271</x:v>
      </x:c>
      <x:c r="W260" s="44"/>
    </x:row>
    <x:row r="261" ht="23" customHeight="1">
      <x:c r="A261" s="24" t="s">
        <x:v>863</x:v>
      </x:c>
      <x:c r="B261" s="53" t="s">
        <x:v>372</x:v>
      </x:c>
      <x:c r="C261" s="53" t="s">
        <x:v>373</x:v>
      </x:c>
      <x:c r="D261" s="53" t="s">
        <x:v>606</x:v>
      </x:c>
      <x:c r="E261" s="67" t="n">
        <x:f>2*6371000*ASIN(SQRT(MIN(1,SIN(RADIANS(U261-S261)/2)^2+COS(RADIANS(S261))*COS(RADIANS(U261))*SIN(RADIANS(V261-T261)/2)^2)))</x:f>
        <x:v>18.779567563869385</x:v>
      </x:c>
      <x:c r="F261" s="48" t="s">
        <x:v>67</x:v>
      </x:c>
      <x:c r="G261" s="48" t="s">
        <x:v>66</x:v>
      </x:c>
      <x:c r="H261" s="48" t="s">
        <x:v>66</x:v>
      </x:c>
      <x:c r="I261" s="48" t="s">
        <x:v>66</x:v>
      </x:c>
      <x:c r="J261" s="48" t="s">
        <x:v>66</x:v>
      </x:c>
      <x:c r="K261" s="64"/>
      <x:c r="L261" s="64"/>
      <x:c r="M261" s="50"/>
      <x:c r="N261" s="49"/>
      <x:c r="O261" s="50"/>
      <x:c r="P261" s="50"/>
      <x:c r="Q261" s="32">
        <x:v>257</x:v>
      </x:c>
      <x:c r="R261" s="68"/>
      <x:c r="S261" s="54" t="n">
        <x:f>INDEX('Locations'!$D$6:$D$453,MATCH(B261,'Locations'!$A$6:$A$453,0))</x:f>
        <x:v>42.7291822033874</x:v>
      </x:c>
      <x:c r="T261" s="54" t="n">
        <x:f>INDEX('Locations'!$E$6:$E$453,MATCH(B261,'Locations'!$A$6:$A$453,0))</x:f>
        <x:v>-73.6844979654332</x:v>
      </x:c>
      <x:c r="U261" s="54" t="n">
        <x:f>INDEX('Locations'!$D$6:$D$453,MATCH(C261,'Locations'!$A$6:$A$453,0))</x:f>
        <x:v>42.7290270191155</x:v>
      </x:c>
      <x:c r="V261" s="69" t="n">
        <x:f>INDEX('Locations'!$E$6:$E$453,MATCH(C261,'Locations'!$A$6:$A$453,0))</x:f>
        <x:v>-73.6845886887271</x:v>
      </x:c>
      <x:c r="W261" s="44"/>
    </x:row>
    <x:row r="262" ht="23" customHeight="1">
      <x:c r="A262" s="21" t="s">
        <x:v>864</x:v>
      </x:c>
      <x:c r="B262" s="45" t="s">
        <x:v>371</x:v>
      </x:c>
      <x:c r="C262" s="45" t="s">
        <x:v>372</x:v>
      </x:c>
      <x:c r="D262" s="45" t="s">
        <x:v>606</x:v>
      </x:c>
      <x:c r="E262" s="63" t="n">
        <x:f>2*6371000*ASIN(SQRT(MIN(1,SIN(RADIANS(U262-S262)/2)^2+COS(RADIANS(S262))*COS(RADIANS(U262))*SIN(RADIANS(V262-T262)/2)^2)))</x:f>
        <x:v>33.1416746782132</x:v>
      </x:c>
      <x:c r="F262" s="48" t="s">
        <x:v>67</x:v>
      </x:c>
      <x:c r="G262" s="48" t="s">
        <x:v>66</x:v>
      </x:c>
      <x:c r="H262" s="48" t="s">
        <x:v>66</x:v>
      </x:c>
      <x:c r="I262" s="48" t="s">
        <x:v>66</x:v>
      </x:c>
      <x:c r="J262" s="48" t="s">
        <x:v>66</x:v>
      </x:c>
      <x:c r="K262" s="64"/>
      <x:c r="L262" s="64"/>
      <x:c r="M262" s="50"/>
      <x:c r="N262" s="49"/>
      <x:c r="O262" s="50"/>
      <x:c r="P262" s="50"/>
      <x:c r="Q262" s="30">
        <x:v>258</x:v>
      </x:c>
      <x:c r="R262" s="65"/>
      <x:c r="S262" s="46" t="n">
        <x:f>INDEX('Locations'!$D$6:$D$453,MATCH(B262,'Locations'!$A$6:$A$453,0))</x:f>
        <x:v>42.7294718806949</x:v>
      </x:c>
      <x:c r="T262" s="46" t="n">
        <x:f>INDEX('Locations'!$E$6:$E$453,MATCH(B262,'Locations'!$A$6:$A$453,0))</x:f>
        <x:v>-73.6844024672291</x:v>
      </x:c>
      <x:c r="U262" s="46" t="n">
        <x:f>INDEX('Locations'!$D$6:$D$453,MATCH(C262,'Locations'!$A$6:$A$453,0))</x:f>
        <x:v>42.7291822033874</x:v>
      </x:c>
      <x:c r="V262" s="66" t="n">
        <x:f>INDEX('Locations'!$E$6:$E$453,MATCH(C262,'Locations'!$A$6:$A$453,0))</x:f>
        <x:v>-73.6844979654332</x:v>
      </x:c>
      <x:c r="W262" s="44"/>
    </x:row>
    <x:row r="263" ht="23" customHeight="1">
      <x:c r="A263" s="24" t="s">
        <x:v>865</x:v>
      </x:c>
      <x:c r="B263" s="53" t="s">
        <x:v>370</x:v>
      </x:c>
      <x:c r="C263" s="53" t="s">
        <x:v>371</x:v>
      </x:c>
      <x:c r="D263" s="53" t="s">
        <x:v>606</x:v>
      </x:c>
      <x:c r="E263" s="67" t="n">
        <x:f>2*6371000*ASIN(SQRT(MIN(1,SIN(RADIANS(U263-S263)/2)^2+COS(RADIANS(S263))*COS(RADIANS(U263))*SIN(RADIANS(V263-T263)/2)^2)))</x:f>
        <x:v>28.648057496228844</x:v>
      </x:c>
      <x:c r="F263" s="48" t="s">
        <x:v>67</x:v>
      </x:c>
      <x:c r="G263" s="48" t="s">
        <x:v>66</x:v>
      </x:c>
      <x:c r="H263" s="48" t="s">
        <x:v>66</x:v>
      </x:c>
      <x:c r="I263" s="48" t="s">
        <x:v>66</x:v>
      </x:c>
      <x:c r="J263" s="48" t="s">
        <x:v>66</x:v>
      </x:c>
      <x:c r="K263" s="64"/>
      <x:c r="L263" s="64"/>
      <x:c r="M263" s="50"/>
      <x:c r="N263" s="49"/>
      <x:c r="O263" s="50"/>
      <x:c r="P263" s="50"/>
      <x:c r="Q263" s="32">
        <x:v>259</x:v>
      </x:c>
      <x:c r="R263" s="68"/>
      <x:c r="S263" s="54" t="n">
        <x:f>INDEX('Locations'!$D$6:$D$453,MATCH(B263,'Locations'!$A$6:$A$453,0))</x:f>
        <x:v>42.7297132784513</x:v>
      </x:c>
      <x:c r="T263" s="54" t="n">
        <x:f>INDEX('Locations'!$E$6:$E$453,MATCH(B263,'Locations'!$A$6:$A$453,0))</x:f>
        <x:v>-73.6845250232577</x:v>
      </x:c>
      <x:c r="U263" s="54" t="n">
        <x:f>INDEX('Locations'!$D$6:$D$453,MATCH(C263,'Locations'!$A$6:$A$453,0))</x:f>
        <x:v>42.7294718806949</x:v>
      </x:c>
      <x:c r="V263" s="69" t="n">
        <x:f>INDEX('Locations'!$E$6:$E$453,MATCH(C263,'Locations'!$A$6:$A$453,0))</x:f>
        <x:v>-73.6844024672291</x:v>
      </x:c>
      <x:c r="W263" s="44"/>
    </x:row>
    <x:row r="264" ht="23" customHeight="1">
      <x:c r="A264" s="21" t="s">
        <x:v>866</x:v>
      </x:c>
      <x:c r="B264" s="45" t="s">
        <x:v>374</x:v>
      </x:c>
      <x:c r="C264" s="45" t="s">
        <x:v>370</x:v>
      </x:c>
      <x:c r="D264" s="45" t="s">
        <x:v>606</x:v>
      </x:c>
      <x:c r="E264" s="63" t="n">
        <x:f>2*6371000*ASIN(SQRT(MIN(1,SIN(RADIANS(U264-S264)/2)^2+COS(RADIANS(S264))*COS(RADIANS(U264))*SIN(RADIANS(V264-T264)/2)^2)))</x:f>
        <x:v>81.86221197244662</x:v>
      </x:c>
      <x:c r="F264" s="48" t="s">
        <x:v>67</x:v>
      </x:c>
      <x:c r="G264" s="48" t="s">
        <x:v>66</x:v>
      </x:c>
      <x:c r="H264" s="48" t="s">
        <x:v>66</x:v>
      </x:c>
      <x:c r="I264" s="48" t="s">
        <x:v>66</x:v>
      </x:c>
      <x:c r="J264" s="48" t="s">
        <x:v>66</x:v>
      </x:c>
      <x:c r="K264" s="64"/>
      <x:c r="L264" s="64"/>
      <x:c r="M264" s="50"/>
      <x:c r="N264" s="49"/>
      <x:c r="O264" s="50"/>
      <x:c r="P264" s="50"/>
      <x:c r="Q264" s="30">
        <x:v>260</x:v>
      </x:c>
      <x:c r="R264" s="65"/>
      <x:c r="S264" s="46" t="n">
        <x:f>INDEX('Locations'!$D$6:$D$453,MATCH(B264,'Locations'!$A$6:$A$453,0))</x:f>
        <x:v>42.7289936832348</x:v>
      </x:c>
      <x:c r="T264" s="46" t="n">
        <x:f>INDEX('Locations'!$E$6:$E$453,MATCH(B264,'Locations'!$A$6:$A$453,0))</x:f>
        <x:v>-73.6847367109435</x:v>
      </x:c>
      <x:c r="U264" s="46" t="n">
        <x:f>INDEX('Locations'!$D$6:$D$453,MATCH(C264,'Locations'!$A$6:$A$453,0))</x:f>
        <x:v>42.7297132784513</x:v>
      </x:c>
      <x:c r="V264" s="66" t="n">
        <x:f>INDEX('Locations'!$E$6:$E$453,MATCH(C264,'Locations'!$A$6:$A$453,0))</x:f>
        <x:v>-73.6845250232577</x:v>
      </x:c>
      <x:c r="W264" s="44"/>
    </x:row>
    <x:row r="265" ht="23" customHeight="1">
      <x:c r="A265" s="24" t="s">
        <x:v>867</x:v>
      </x:c>
      <x:c r="B265" s="53" t="s">
        <x:v>374</x:v>
      </x:c>
      <x:c r="C265" s="53" t="s">
        <x:v>375</x:v>
      </x:c>
      <x:c r="D265" s="53" t="s">
        <x:v>606</x:v>
      </x:c>
      <x:c r="E265" s="67" t="n">
        <x:f>2*6371000*ASIN(SQRT(MIN(1,SIN(RADIANS(U265-S265)/2)^2+COS(RADIANS(S265))*COS(RADIANS(U265))*SIN(RADIANS(V265-T265)/2)^2)))</x:f>
        <x:v>51.62439659142915</x:v>
      </x:c>
      <x:c r="F265" s="48" t="s">
        <x:v>67</x:v>
      </x:c>
      <x:c r="G265" s="48" t="s">
        <x:v>66</x:v>
      </x:c>
      <x:c r="H265" s="48" t="s">
        <x:v>66</x:v>
      </x:c>
      <x:c r="I265" s="48" t="s">
        <x:v>66</x:v>
      </x:c>
      <x:c r="J265" s="48" t="s">
        <x:v>66</x:v>
      </x:c>
      <x:c r="K265" s="64"/>
      <x:c r="L265" s="64"/>
      <x:c r="M265" s="50"/>
      <x:c r="N265" s="49"/>
      <x:c r="O265" s="50"/>
      <x:c r="P265" s="50"/>
      <x:c r="Q265" s="32">
        <x:v>261</x:v>
      </x:c>
      <x:c r="R265" s="68"/>
      <x:c r="S265" s="54" t="n">
        <x:f>INDEX('Locations'!$D$6:$D$453,MATCH(B265,'Locations'!$A$6:$A$453,0))</x:f>
        <x:v>42.7289936832348</x:v>
      </x:c>
      <x:c r="T265" s="54" t="n">
        <x:f>INDEX('Locations'!$E$6:$E$453,MATCH(B265,'Locations'!$A$6:$A$453,0))</x:f>
        <x:v>-73.6847367109435</x:v>
      </x:c>
      <x:c r="U265" s="54" t="n">
        <x:f>INDEX('Locations'!$D$6:$D$453,MATCH(C265,'Locations'!$A$6:$A$453,0))</x:f>
        <x:v>42.7285373265241</x:v>
      </x:c>
      <x:c r="V265" s="69" t="n">
        <x:f>INDEX('Locations'!$E$6:$E$453,MATCH(C265,'Locations'!$A$6:$A$453,0))</x:f>
        <x:v>-73.6848529004252</x:v>
      </x:c>
      <x:c r="W265" s="44"/>
    </x:row>
    <x:row r="266" ht="23" customHeight="1">
      <x:c r="A266" s="21" t="s">
        <x:v>868</x:v>
      </x:c>
      <x:c r="B266" s="45" t="s">
        <x:v>377</x:v>
      </x:c>
      <x:c r="C266" s="45" t="s">
        <x:v>376</x:v>
      </x:c>
      <x:c r="D266" s="45" t="s">
        <x:v>606</x:v>
      </x:c>
      <x:c r="E266" s="63" t="n">
        <x:f>2*6371000*ASIN(SQRT(MIN(1,SIN(RADIANS(U266-S266)/2)^2+COS(RADIANS(S266))*COS(RADIANS(U266))*SIN(RADIANS(V266-T266)/2)^2)))</x:f>
        <x:v>29.439550061677675</x:v>
      </x:c>
      <x:c r="F266" s="48" t="s">
        <x:v>67</x:v>
      </x:c>
      <x:c r="G266" s="48" t="s">
        <x:v>66</x:v>
      </x:c>
      <x:c r="H266" s="48" t="s">
        <x:v>66</x:v>
      </x:c>
      <x:c r="I266" s="48" t="s">
        <x:v>66</x:v>
      </x:c>
      <x:c r="J266" s="48" t="s">
        <x:v>66</x:v>
      </x:c>
      <x:c r="K266" s="64"/>
      <x:c r="L266" s="64"/>
      <x:c r="M266" s="50"/>
      <x:c r="N266" s="49"/>
      <x:c r="O266" s="50"/>
      <x:c r="P266" s="50"/>
      <x:c r="Q266" s="30">
        <x:v>262</x:v>
      </x:c>
      <x:c r="R266" s="65"/>
      <x:c r="S266" s="46" t="n">
        <x:f>INDEX('Locations'!$D$6:$D$453,MATCH(B266,'Locations'!$A$6:$A$453,0))</x:f>
        <x:v>42.7287246971635</x:v>
      </x:c>
      <x:c r="T266" s="46" t="n">
        <x:f>INDEX('Locations'!$E$6:$E$453,MATCH(B266,'Locations'!$A$6:$A$453,0))</x:f>
        <x:v>-73.6844661326985</x:v>
      </x:c>
      <x:c r="U266" s="46" t="n">
        <x:f>INDEX('Locations'!$D$6:$D$453,MATCH(C266,'Locations'!$A$6:$A$453,0))</x:f>
        <x:v>42.7284832994072</x:v>
      </x:c>
      <x:c r="V266" s="66" t="n">
        <x:f>INDEX('Locations'!$E$6:$E$453,MATCH(C266,'Locations'!$A$6:$A$453,0))</x:f>
        <x:v>-73.6846141549149</x:v>
      </x:c>
      <x:c r="W266" s="44"/>
    </x:row>
    <x:row r="267" ht="23" customHeight="1">
      <x:c r="A267" s="24" t="s">
        <x:v>869</x:v>
      </x:c>
      <x:c r="B267" s="53" t="s">
        <x:v>375</x:v>
      </x:c>
      <x:c r="C267" s="53" t="s">
        <x:v>376</x:v>
      </x:c>
      <x:c r="D267" s="53" t="s">
        <x:v>606</x:v>
      </x:c>
      <x:c r="E267" s="67" t="n">
        <x:f>2*6371000*ASIN(SQRT(MIN(1,SIN(RADIANS(U267-S267)/2)^2+COS(RADIANS(S267))*COS(RADIANS(U267))*SIN(RADIANS(V267-T267)/2)^2)))</x:f>
        <x:v>20.40540886954973</x:v>
      </x:c>
      <x:c r="F267" s="48" t="s">
        <x:v>67</x:v>
      </x:c>
      <x:c r="G267" s="48" t="s">
        <x:v>66</x:v>
      </x:c>
      <x:c r="H267" s="48" t="s">
        <x:v>66</x:v>
      </x:c>
      <x:c r="I267" s="48" t="s">
        <x:v>66</x:v>
      </x:c>
      <x:c r="J267" s="48" t="s">
        <x:v>66</x:v>
      </x:c>
      <x:c r="K267" s="64"/>
      <x:c r="L267" s="64"/>
      <x:c r="M267" s="50"/>
      <x:c r="N267" s="49"/>
      <x:c r="O267" s="50"/>
      <x:c r="P267" s="50"/>
      <x:c r="Q267" s="32">
        <x:v>263</x:v>
      </x:c>
      <x:c r="R267" s="68"/>
      <x:c r="S267" s="54" t="n">
        <x:f>INDEX('Locations'!$D$6:$D$453,MATCH(B267,'Locations'!$A$6:$A$453,0))</x:f>
        <x:v>42.7285373265241</x:v>
      </x:c>
      <x:c r="T267" s="54" t="n">
        <x:f>INDEX('Locations'!$E$6:$E$453,MATCH(B267,'Locations'!$A$6:$A$453,0))</x:f>
        <x:v>-73.6848529004252</x:v>
      </x:c>
      <x:c r="U267" s="54" t="n">
        <x:f>INDEX('Locations'!$D$6:$D$453,MATCH(C267,'Locations'!$A$6:$A$453,0))</x:f>
        <x:v>42.7284832994072</x:v>
      </x:c>
      <x:c r="V267" s="69" t="n">
        <x:f>INDEX('Locations'!$E$6:$E$453,MATCH(C267,'Locations'!$A$6:$A$453,0))</x:f>
        <x:v>-73.6846141549149</x:v>
      </x:c>
      <x:c r="W267" s="44"/>
    </x:row>
    <x:row r="268" ht="23" customHeight="1">
      <x:c r="A268" s="21" t="s">
        <x:v>870</x:v>
      </x:c>
      <x:c r="B268" s="45" t="s">
        <x:v>377</x:v>
      </x:c>
      <x:c r="C268" s="45" t="s">
        <x:v>120</x:v>
      </x:c>
      <x:c r="D268" s="45" t="s">
        <x:v>606</x:v>
      </x:c>
      <x:c r="E268" s="63" t="n">
        <x:f>2*6371000*ASIN(SQRT(MIN(1,SIN(RADIANS(U268-S268)/2)^2+COS(RADIANS(S268))*COS(RADIANS(U268))*SIN(RADIANS(V268-T268)/2)^2)))</x:f>
        <x:v>72.24051507358048</x:v>
      </x:c>
      <x:c r="F268" s="48" t="s">
        <x:v>67</x:v>
      </x:c>
      <x:c r="G268" s="48" t="s">
        <x:v>66</x:v>
      </x:c>
      <x:c r="H268" s="48" t="s">
        <x:v>66</x:v>
      </x:c>
      <x:c r="I268" s="48" t="s">
        <x:v>66</x:v>
      </x:c>
      <x:c r="J268" s="48" t="s">
        <x:v>66</x:v>
      </x:c>
      <x:c r="K268" s="64"/>
      <x:c r="L268" s="64"/>
      <x:c r="M268" s="50"/>
      <x:c r="N268" s="49"/>
      <x:c r="O268" s="50"/>
      <x:c r="P268" s="50"/>
      <x:c r="Q268" s="30">
        <x:v>264</x:v>
      </x:c>
      <x:c r="R268" s="65"/>
      <x:c r="S268" s="46" t="n">
        <x:f>INDEX('Locations'!$D$6:$D$453,MATCH(B268,'Locations'!$A$6:$A$453,0))</x:f>
        <x:v>42.7287246971635</x:v>
      </x:c>
      <x:c r="T268" s="46" t="n">
        <x:f>INDEX('Locations'!$E$6:$E$453,MATCH(B268,'Locations'!$A$6:$A$453,0))</x:f>
        <x:v>-73.6844661326985</x:v>
      </x:c>
      <x:c r="U268" s="46" t="n">
        <x:f>INDEX('Locations'!$D$6:$D$453,MATCH(C268,'Locations'!$A$6:$A$453,0))</x:f>
        <x:v>42.7288955249045</x:v>
      </x:c>
      <x:c r="V268" s="66" t="n">
        <x:f>INDEX('Locations'!$E$6:$E$453,MATCH(C268,'Locations'!$A$6:$A$453,0))</x:f>
        <x:v>-73.6836128303383</x:v>
      </x:c>
      <x:c r="W268" s="44"/>
    </x:row>
    <x:row r="269" ht="23" customHeight="1">
      <x:c r="A269" s="24" t="s">
        <x:v>871</x:v>
      </x:c>
      <x:c r="B269" s="53" t="s">
        <x:v>307</x:v>
      </x:c>
      <x:c r="C269" s="53" t="s">
        <x:v>76</x:v>
      </x:c>
      <x:c r="D269" s="53" t="s">
        <x:v>606</x:v>
      </x:c>
      <x:c r="E269" s="67" t="n">
        <x:f>2*6371000*ASIN(SQRT(MIN(1,SIN(RADIANS(U269-S269)/2)^2+COS(RADIANS(S269))*COS(RADIANS(U269))*SIN(RADIANS(V269-T269)/2)^2)))</x:f>
        <x:v>22.57067259743976</x:v>
      </x:c>
      <x:c r="F269" s="48" t="s">
        <x:v>67</x:v>
      </x:c>
      <x:c r="G269" s="48" t="s">
        <x:v>66</x:v>
      </x:c>
      <x:c r="H269" s="48" t="s">
        <x:v>66</x:v>
      </x:c>
      <x:c r="I269" s="48" t="s">
        <x:v>66</x:v>
      </x:c>
      <x:c r="J269" s="48" t="s">
        <x:v>66</x:v>
      </x:c>
      <x:c r="K269" s="64"/>
      <x:c r="L269" s="64"/>
      <x:c r="M269" s="50"/>
      <x:c r="N269" s="49"/>
      <x:c r="O269" s="50"/>
      <x:c r="P269" s="50"/>
      <x:c r="Q269" s="32">
        <x:v>265</x:v>
      </x:c>
      <x:c r="R269" s="68"/>
      <x:c r="S269" s="54" t="n">
        <x:f>INDEX('Locations'!$D$6:$D$453,MATCH(B269,'Locations'!$A$6:$A$453,0))</x:f>
        <x:v>42.7302374564364</x:v>
      </x:c>
      <x:c r="T269" s="54" t="n">
        <x:f>INDEX('Locations'!$E$6:$E$453,MATCH(B269,'Locations'!$A$6:$A$453,0))</x:f>
        <x:v>-73.6822919569181</x:v>
      </x:c>
      <x:c r="U269" s="54" t="n">
        <x:f>INDEX('Locations'!$D$6:$D$453,MATCH(C269,'Locations'!$A$6:$A$453,0))</x:f>
        <x:v>42.7302123784514</x:v>
      </x:c>
      <x:c r="V269" s="69" t="n">
        <x:f>INDEX('Locations'!$E$6:$E$453,MATCH(C269,'Locations'!$A$6:$A$453,0))</x:f>
        <x:v>-73.6825661737445</x:v>
      </x:c>
      <x:c r="W269" s="44"/>
    </x:row>
    <x:row r="270" ht="23" customHeight="1">
      <x:c r="A270" s="21" t="s">
        <x:v>872</x:v>
      </x:c>
      <x:c r="B270" s="45" t="s">
        <x:v>306</x:v>
      </x:c>
      <x:c r="C270" s="45" t="s">
        <x:v>76</x:v>
      </x:c>
      <x:c r="D270" s="45" t="s">
        <x:v>606</x:v>
      </x:c>
      <x:c r="E270" s="63" t="n">
        <x:f>2*6371000*ASIN(SQRT(MIN(1,SIN(RADIANS(U270-S270)/2)^2+COS(RADIANS(S270))*COS(RADIANS(U270))*SIN(RADIANS(V270-T270)/2)^2)))</x:f>
        <x:v>27.700217622087873</x:v>
      </x:c>
      <x:c r="F270" s="48" t="s">
        <x:v>67</x:v>
      </x:c>
      <x:c r="G270" s="48" t="s">
        <x:v>66</x:v>
      </x:c>
      <x:c r="H270" s="48" t="s">
        <x:v>66</x:v>
      </x:c>
      <x:c r="I270" s="48" t="s">
        <x:v>66</x:v>
      </x:c>
      <x:c r="J270" s="48" t="s">
        <x:v>66</x:v>
      </x:c>
      <x:c r="K270" s="64"/>
      <x:c r="L270" s="64"/>
      <x:c r="M270" s="50"/>
      <x:c r="N270" s="49"/>
      <x:c r="O270" s="50"/>
      <x:c r="P270" s="50"/>
      <x:c r="Q270" s="30">
        <x:v>266</x:v>
      </x:c>
      <x:c r="R270" s="65"/>
      <x:c r="S270" s="46" t="n">
        <x:f>INDEX('Locations'!$D$6:$D$453,MATCH(B270,'Locations'!$A$6:$A$453,0))</x:f>
        <x:v>42.7304489668515</x:v>
      </x:c>
      <x:c r="T270" s="46" t="n">
        <x:f>INDEX('Locations'!$E$6:$E$453,MATCH(B270,'Locations'!$A$6:$A$453,0))</x:f>
        <x:v>-73.6826723580979</x:v>
      </x:c>
      <x:c r="U270" s="46" t="n">
        <x:f>INDEX('Locations'!$D$6:$D$453,MATCH(C270,'Locations'!$A$6:$A$453,0))</x:f>
        <x:v>42.7302123784514</x:v>
      </x:c>
      <x:c r="V270" s="66" t="n">
        <x:f>INDEX('Locations'!$E$6:$E$453,MATCH(C270,'Locations'!$A$6:$A$453,0))</x:f>
        <x:v>-73.6825661737445</x:v>
      </x:c>
      <x:c r="W270" s="44"/>
    </x:row>
    <x:row r="271" ht="23" customHeight="1">
      <x:c r="A271" s="24" t="s">
        <x:v>873</x:v>
      </x:c>
      <x:c r="B271" s="53" t="s">
        <x:v>380</x:v>
      </x:c>
      <x:c r="C271" s="53" t="s">
        <x:v>294</x:v>
      </x:c>
      <x:c r="D271" s="53" t="s">
        <x:v>606</x:v>
      </x:c>
      <x:c r="E271" s="67" t="n">
        <x:f>2*6371000*ASIN(SQRT(MIN(1,SIN(RADIANS(U271-S271)/2)^2+COS(RADIANS(S271))*COS(RADIANS(U271))*SIN(RADIANS(V271-T271)/2)^2)))</x:f>
        <x:v>45.62668456493843</x:v>
      </x:c>
      <x:c r="F271" s="48" t="s">
        <x:v>67</x:v>
      </x:c>
      <x:c r="G271" s="48" t="s">
        <x:v>66</x:v>
      </x:c>
      <x:c r="H271" s="48" t="s">
        <x:v>66</x:v>
      </x:c>
      <x:c r="I271" s="48" t="s">
        <x:v>66</x:v>
      </x:c>
      <x:c r="J271" s="48" t="s">
        <x:v>66</x:v>
      </x:c>
      <x:c r="K271" s="64"/>
      <x:c r="L271" s="64"/>
      <x:c r="M271" s="50"/>
      <x:c r="N271" s="49"/>
      <x:c r="O271" s="50"/>
      <x:c r="P271" s="50"/>
      <x:c r="Q271" s="32">
        <x:v>267</x:v>
      </x:c>
      <x:c r="R271" s="68"/>
      <x:c r="S271" s="54" t="n">
        <x:f>INDEX('Locations'!$D$6:$D$453,MATCH(B271,'Locations'!$A$6:$A$453,0))</x:f>
        <x:v>42.729985713062</x:v>
      </x:c>
      <x:c r="T271" s="54" t="n">
        <x:f>INDEX('Locations'!$E$6:$E$453,MATCH(B271,'Locations'!$A$6:$A$453,0))</x:f>
        <x:v>-73.6823142398324</x:v>
      </x:c>
      <x:c r="U271" s="54" t="n">
        <x:f>INDEX('Locations'!$D$6:$D$453,MATCH(C271,'Locations'!$A$6:$A$453,0))</x:f>
        <x:v>42.729839724895</x:v>
      </x:c>
      <x:c r="V271" s="69" t="n">
        <x:f>INDEX('Locations'!$E$6:$E$453,MATCH(C271,'Locations'!$A$6:$A$453,0))</x:f>
        <x:v>-73.6817921829833</x:v>
      </x:c>
      <x:c r="W271" s="44"/>
    </x:row>
    <x:row r="272" ht="23" customHeight="1">
      <x:c r="A272" s="21" t="s">
        <x:v>874</x:v>
      </x:c>
      <x:c r="B272" s="45" t="s">
        <x:v>379</x:v>
      </x:c>
      <x:c r="C272" s="45" t="s">
        <x:v>380</x:v>
      </x:c>
      <x:c r="D272" s="45" t="s">
        <x:v>606</x:v>
      </x:c>
      <x:c r="E272" s="63" t="n">
        <x:f>2*6371000*ASIN(SQRT(MIN(1,SIN(RADIANS(U272-S272)/2)^2+COS(RADIANS(S272))*COS(RADIANS(U272))*SIN(RADIANS(V272-T272)/2)^2)))</x:f>
        <x:v>42.04169413546275</x:v>
      </x:c>
      <x:c r="F272" s="48" t="s">
        <x:v>67</x:v>
      </x:c>
      <x:c r="G272" s="48" t="s">
        <x:v>66</x:v>
      </x:c>
      <x:c r="H272" s="48" t="s">
        <x:v>66</x:v>
      </x:c>
      <x:c r="I272" s="48" t="s">
        <x:v>66</x:v>
      </x:c>
      <x:c r="J272" s="48" t="s">
        <x:v>66</x:v>
      </x:c>
      <x:c r="K272" s="64"/>
      <x:c r="L272" s="64"/>
      <x:c r="M272" s="50"/>
      <x:c r="N272" s="49"/>
      <x:c r="O272" s="50"/>
      <x:c r="P272" s="50"/>
      <x:c r="Q272" s="30">
        <x:v>268</x:v>
      </x:c>
      <x:c r="R272" s="65"/>
      <x:c r="S272" s="46" t="n">
        <x:f>INDEX('Locations'!$D$6:$D$453,MATCH(B272,'Locations'!$A$6:$A$453,0))</x:f>
        <x:v>42.7298282297638</x:v>
      </x:c>
      <x:c r="T272" s="46" t="n">
        <x:f>INDEX('Locations'!$E$6:$E$453,MATCH(B272,'Locations'!$A$6:$A$453,0))</x:f>
        <x:v>-73.6827821810326</x:v>
      </x:c>
      <x:c r="U272" s="46" t="n">
        <x:f>INDEX('Locations'!$D$6:$D$453,MATCH(C272,'Locations'!$A$6:$A$453,0))</x:f>
        <x:v>42.729985713062</x:v>
      </x:c>
      <x:c r="V272" s="66" t="n">
        <x:f>INDEX('Locations'!$E$6:$E$453,MATCH(C272,'Locations'!$A$6:$A$453,0))</x:f>
        <x:v>-73.6823142398324</x:v>
      </x:c>
      <x:c r="W272" s="44"/>
    </x:row>
    <x:row r="273" ht="23" customHeight="1">
      <x:c r="A273" s="24" t="s">
        <x:v>875</x:v>
      </x:c>
      <x:c r="B273" s="53" t="s">
        <x:v>378</x:v>
      </x:c>
      <x:c r="C273" s="53" t="s">
        <x:v>379</x:v>
      </x:c>
      <x:c r="D273" s="53" t="s">
        <x:v>606</x:v>
      </x:c>
      <x:c r="E273" s="67" t="n">
        <x:f>2*6371000*ASIN(SQRT(MIN(1,SIN(RADIANS(U273-S273)/2)^2+COS(RADIANS(S273))*COS(RADIANS(U273))*SIN(RADIANS(V273-T273)/2)^2)))</x:f>
        <x:v>26.28553600992615</x:v>
      </x:c>
      <x:c r="F273" s="48" t="s">
        <x:v>67</x:v>
      </x:c>
      <x:c r="G273" s="48" t="s">
        <x:v>66</x:v>
      </x:c>
      <x:c r="H273" s="48" t="s">
        <x:v>66</x:v>
      </x:c>
      <x:c r="I273" s="48" t="s">
        <x:v>66</x:v>
      </x:c>
      <x:c r="J273" s="48" t="s">
        <x:v>66</x:v>
      </x:c>
      <x:c r="K273" s="64"/>
      <x:c r="L273" s="64"/>
      <x:c r="M273" s="50"/>
      <x:c r="N273" s="49"/>
      <x:c r="O273" s="50"/>
      <x:c r="P273" s="50"/>
      <x:c r="Q273" s="32">
        <x:v>269</x:v>
      </x:c>
      <x:c r="R273" s="68"/>
      <x:c r="S273" s="54" t="n">
        <x:f>INDEX('Locations'!$D$6:$D$453,MATCH(B273,'Locations'!$A$6:$A$453,0))</x:f>
        <x:v>42.7300638799545</x:v>
      </x:c>
      <x:c r="T273" s="54" t="n">
        <x:f>INDEX('Locations'!$E$6:$E$453,MATCH(B273,'Locations'!$A$6:$A$453,0))</x:f>
        <x:v>-73.6828076472204</x:v>
      </x:c>
      <x:c r="U273" s="54" t="n">
        <x:f>INDEX('Locations'!$D$6:$D$453,MATCH(C273,'Locations'!$A$6:$A$453,0))</x:f>
        <x:v>42.7298282297638</x:v>
      </x:c>
      <x:c r="V273" s="69" t="n">
        <x:f>INDEX('Locations'!$E$6:$E$453,MATCH(C273,'Locations'!$A$6:$A$453,0))</x:f>
        <x:v>-73.6827821810326</x:v>
      </x:c>
      <x:c r="W273" s="44"/>
    </x:row>
    <x:row r="274" ht="23" customHeight="1">
      <x:c r="A274" s="21" t="s">
        <x:v>876</x:v>
      </x:c>
      <x:c r="B274" s="45" t="s">
        <x:v>76</x:v>
      </x:c>
      <x:c r="C274" s="45" t="s">
        <x:v>378</x:v>
      </x:c>
      <x:c r="D274" s="45" t="s">
        <x:v>606</x:v>
      </x:c>
      <x:c r="E274" s="63" t="n">
        <x:f>2*6371000*ASIN(SQRT(MIN(1,SIN(RADIANS(U274-S274)/2)^2+COS(RADIANS(S274))*COS(RADIANS(U274))*SIN(RADIANS(V274-T274)/2)^2)))</x:f>
        <x:v>25.72285644363952</x:v>
      </x:c>
      <x:c r="F274" s="48" t="s">
        <x:v>67</x:v>
      </x:c>
      <x:c r="G274" s="48" t="s">
        <x:v>66</x:v>
      </x:c>
      <x:c r="H274" s="48" t="s">
        <x:v>66</x:v>
      </x:c>
      <x:c r="I274" s="48" t="s">
        <x:v>66</x:v>
      </x:c>
      <x:c r="J274" s="48" t="s">
        <x:v>66</x:v>
      </x:c>
      <x:c r="K274" s="64"/>
      <x:c r="L274" s="64"/>
      <x:c r="M274" s="50"/>
      <x:c r="N274" s="49"/>
      <x:c r="O274" s="50"/>
      <x:c r="P274" s="50"/>
      <x:c r="Q274" s="30">
        <x:v>270</x:v>
      </x:c>
      <x:c r="R274" s="65"/>
      <x:c r="S274" s="46" t="n">
        <x:f>INDEX('Locations'!$D$6:$D$453,MATCH(B274,'Locations'!$A$6:$A$453,0))</x:f>
        <x:v>42.7302123784514</x:v>
      </x:c>
      <x:c r="T274" s="46" t="n">
        <x:f>INDEX('Locations'!$E$6:$E$453,MATCH(B274,'Locations'!$A$6:$A$453,0))</x:f>
        <x:v>-73.6825661737445</x:v>
      </x:c>
      <x:c r="U274" s="46" t="n">
        <x:f>INDEX('Locations'!$D$6:$D$453,MATCH(C274,'Locations'!$A$6:$A$453,0))</x:f>
        <x:v>42.7300638799545</x:v>
      </x:c>
      <x:c r="V274" s="66" t="n">
        <x:f>INDEX('Locations'!$E$6:$E$453,MATCH(C274,'Locations'!$A$6:$A$453,0))</x:f>
        <x:v>-73.6828076472204</x:v>
      </x:c>
      <x:c r="W274" s="44"/>
    </x:row>
    <x:row r="275" ht="23" customHeight="1">
      <x:c r="A275" s="24" t="s">
        <x:v>877</x:v>
      </x:c>
      <x:c r="B275" s="53" t="s">
        <x:v>331</x:v>
      </x:c>
      <x:c r="C275" s="53" t="s">
        <x:v>384</x:v>
      </x:c>
      <x:c r="D275" s="53" t="s">
        <x:v>606</x:v>
      </x:c>
      <x:c r="E275" s="67" t="n">
        <x:f>2*6371000*ASIN(SQRT(MIN(1,SIN(RADIANS(U275-S275)/2)^2+COS(RADIANS(S275))*COS(RADIANS(U275))*SIN(RADIANS(V275-T275)/2)^2)))</x:f>
        <x:v>35.8027434524166</x:v>
      </x:c>
      <x:c r="F275" s="48" t="s">
        <x:v>67</x:v>
      </x:c>
      <x:c r="G275" s="48" t="s">
        <x:v>66</x:v>
      </x:c>
      <x:c r="H275" s="48" t="s">
        <x:v>66</x:v>
      </x:c>
      <x:c r="I275" s="48" t="s">
        <x:v>66</x:v>
      </x:c>
      <x:c r="J275" s="48" t="s">
        <x:v>66</x:v>
      </x:c>
      <x:c r="K275" s="64"/>
      <x:c r="L275" s="64"/>
      <x:c r="M275" s="50"/>
      <x:c r="N275" s="49"/>
      <x:c r="O275" s="50"/>
      <x:c r="P275" s="50"/>
      <x:c r="Q275" s="32">
        <x:v>271</x:v>
      </x:c>
      <x:c r="R275" s="68"/>
      <x:c r="S275" s="54" t="n">
        <x:f>INDEX('Locations'!$D$6:$D$453,MATCH(B275,'Locations'!$A$6:$A$453,0))</x:f>
        <x:v>42.7287361922948</x:v>
      </x:c>
      <x:c r="T275" s="54" t="n">
        <x:f>INDEX('Locations'!$E$6:$E$453,MATCH(B275,'Locations'!$A$6:$A$453,0))</x:f>
        <x:v>-73.6826946410121</x:v>
      </x:c>
      <x:c r="U275" s="54" t="n">
        <x:f>INDEX('Locations'!$D$6:$D$453,MATCH(C275,'Locations'!$A$6:$A$453,0))</x:f>
        <x:v>42.7288051630823</x:v>
      </x:c>
      <x:c r="V275" s="69" t="n">
        <x:f>INDEX('Locations'!$E$6:$E$453,MATCH(C275,'Locations'!$A$6:$A$453,0))</x:f>
        <x:v>-73.6831227912939</x:v>
      </x:c>
      <x:c r="W275" s="44"/>
    </x:row>
    <x:row r="276" ht="23" customHeight="1">
      <x:c r="A276" s="21" t="s">
        <x:v>878</x:v>
      </x:c>
      <x:c r="B276" s="45" t="s">
        <x:v>379</x:v>
      </x:c>
      <x:c r="C276" s="45" t="s">
        <x:v>381</x:v>
      </x:c>
      <x:c r="D276" s="45" t="s">
        <x:v>606</x:v>
      </x:c>
      <x:c r="E276" s="63" t="n">
        <x:f>2*6371000*ASIN(SQRT(MIN(1,SIN(RADIANS(U276-S276)/2)^2+COS(RADIANS(S276))*COS(RADIANS(U276))*SIN(RADIANS(V276-T276)/2)^2)))</x:f>
        <x:v>21.981504576692398</x:v>
      </x:c>
      <x:c r="F276" s="48" t="s">
        <x:v>67</x:v>
      </x:c>
      <x:c r="G276" s="48" t="s">
        <x:v>66</x:v>
      </x:c>
      <x:c r="H276" s="48" t="s">
        <x:v>66</x:v>
      </x:c>
      <x:c r="I276" s="48" t="s">
        <x:v>66</x:v>
      </x:c>
      <x:c r="J276" s="48" t="s">
        <x:v>66</x:v>
      </x:c>
      <x:c r="K276" s="64"/>
      <x:c r="L276" s="64"/>
      <x:c r="M276" s="50"/>
      <x:c r="N276" s="49"/>
      <x:c r="O276" s="50"/>
      <x:c r="P276" s="50"/>
      <x:c r="Q276" s="30">
        <x:v>272</x:v>
      </x:c>
      <x:c r="R276" s="65"/>
      <x:c r="S276" s="46" t="n">
        <x:f>INDEX('Locations'!$D$6:$D$453,MATCH(B276,'Locations'!$A$6:$A$453,0))</x:f>
        <x:v>42.7298282297638</x:v>
      </x:c>
      <x:c r="T276" s="46" t="n">
        <x:f>INDEX('Locations'!$E$6:$E$453,MATCH(B276,'Locations'!$A$6:$A$453,0))</x:f>
        <x:v>-73.6827821810326</x:v>
      </x:c>
      <x:c r="U276" s="46" t="n">
        <x:f>INDEX('Locations'!$D$6:$D$453,MATCH(C276,'Locations'!$A$6:$A$453,0))</x:f>
        <x:v>42.729692587215</x:v>
      </x:c>
      <x:c r="V276" s="66" t="n">
        <x:f>INDEX('Locations'!$E$6:$E$453,MATCH(C276,'Locations'!$A$6:$A$453,0))</x:f>
        <x:v>-73.682977952351</x:v>
      </x:c>
      <x:c r="W276" s="44"/>
    </x:row>
    <x:row r="277" ht="23" customHeight="1">
      <x:c r="A277" s="24" t="s">
        <x:v>879</x:v>
      </x:c>
      <x:c r="B277" s="53" t="s">
        <x:v>382</x:v>
      </x:c>
      <x:c r="C277" s="53" t="s">
        <x:v>383</x:v>
      </x:c>
      <x:c r="D277" s="53" t="s">
        <x:v>606</x:v>
      </x:c>
      <x:c r="E277" s="67" t="n">
        <x:f>2*6371000*ASIN(SQRT(MIN(1,SIN(RADIANS(U277-S277)/2)^2+COS(RADIANS(S277))*COS(RADIANS(U277))*SIN(RADIANS(V277-T277)/2)^2)))</x:f>
        <x:v>23.819151727945634</x:v>
      </x:c>
      <x:c r="F277" s="48" t="s">
        <x:v>67</x:v>
      </x:c>
      <x:c r="G277" s="48" t="s">
        <x:v>66</x:v>
      </x:c>
      <x:c r="H277" s="48" t="s">
        <x:v>66</x:v>
      </x:c>
      <x:c r="I277" s="48" t="s">
        <x:v>66</x:v>
      </x:c>
      <x:c r="J277" s="48" t="s">
        <x:v>66</x:v>
      </x:c>
      <x:c r="K277" s="64"/>
      <x:c r="L277" s="64"/>
      <x:c r="M277" s="50"/>
      <x:c r="N277" s="49"/>
      <x:c r="O277" s="50"/>
      <x:c r="P277" s="50"/>
      <x:c r="Q277" s="32">
        <x:v>273</x:v>
      </x:c>
      <x:c r="R277" s="68"/>
      <x:c r="S277" s="54" t="n">
        <x:f>INDEX('Locations'!$D$6:$D$453,MATCH(B277,'Locations'!$A$6:$A$453,0))</x:f>
        <x:v>42.7294190030912</x:v>
      </x:c>
      <x:c r="T277" s="54" t="n">
        <x:f>INDEX('Locations'!$E$6:$E$453,MATCH(B277,'Locations'!$A$6:$A$453,0))</x:f>
        <x:v>-73.683055942551</x:v>
      </x:c>
      <x:c r="U277" s="54" t="n">
        <x:f>INDEX('Locations'!$D$6:$D$453,MATCH(C277,'Locations'!$A$6:$A$453,0))</x:f>
        <x:v>42.7292074926761</x:v>
      </x:c>
      <x:c r="V277" s="69" t="n">
        <x:f>INDEX('Locations'!$E$6:$E$453,MATCH(C277,'Locations'!$A$6:$A$453,0))</x:f>
        <x:v>-73.6831021000164</x:v>
      </x:c>
      <x:c r="W277" s="44"/>
    </x:row>
    <x:row r="278" ht="23" customHeight="1">
      <x:c r="A278" s="21" t="s">
        <x:v>880</x:v>
      </x:c>
      <x:c r="B278" s="45" t="s">
        <x:v>381</x:v>
      </x:c>
      <x:c r="C278" s="45" t="s">
        <x:v>382</x:v>
      </x:c>
      <x:c r="D278" s="45" t="s">
        <x:v>606</x:v>
      </x:c>
      <x:c r="E278" s="63" t="n">
        <x:f>2*6371000*ASIN(SQRT(MIN(1,SIN(RADIANS(U278-S278)/2)^2+COS(RADIANS(S278))*COS(RADIANS(U278))*SIN(RADIANS(V278-T278)/2)^2)))</x:f>
        <x:v>31.080977996994264</x:v>
      </x:c>
      <x:c r="F278" s="48" t="s">
        <x:v>67</x:v>
      </x:c>
      <x:c r="G278" s="48" t="s">
        <x:v>66</x:v>
      </x:c>
      <x:c r="H278" s="48" t="s">
        <x:v>66</x:v>
      </x:c>
      <x:c r="I278" s="48" t="s">
        <x:v>66</x:v>
      </x:c>
      <x:c r="J278" s="48" t="s">
        <x:v>66</x:v>
      </x:c>
      <x:c r="K278" s="64"/>
      <x:c r="L278" s="64"/>
      <x:c r="M278" s="50"/>
      <x:c r="N278" s="49"/>
      <x:c r="O278" s="50"/>
      <x:c r="P278" s="50"/>
      <x:c r="Q278" s="30">
        <x:v>274</x:v>
      </x:c>
      <x:c r="R278" s="65"/>
      <x:c r="S278" s="46" t="n">
        <x:f>INDEX('Locations'!$D$6:$D$453,MATCH(B278,'Locations'!$A$6:$A$453,0))</x:f>
        <x:v>42.729692587215</x:v>
      </x:c>
      <x:c r="T278" s="46" t="n">
        <x:f>INDEX('Locations'!$E$6:$E$453,MATCH(B278,'Locations'!$A$6:$A$453,0))</x:f>
        <x:v>-73.682977952351</x:v>
      </x:c>
      <x:c r="U278" s="46" t="n">
        <x:f>INDEX('Locations'!$D$6:$D$453,MATCH(C278,'Locations'!$A$6:$A$453,0))</x:f>
        <x:v>42.7294190030912</x:v>
      </x:c>
      <x:c r="V278" s="66" t="n">
        <x:f>INDEX('Locations'!$E$6:$E$453,MATCH(C278,'Locations'!$A$6:$A$453,0))</x:f>
        <x:v>-73.683055942551</x:v>
      </x:c>
      <x:c r="W278" s="44"/>
    </x:row>
    <x:row r="279" ht="23" customHeight="1">
      <x:c r="A279" s="24" t="s">
        <x:v>881</x:v>
      </x:c>
      <x:c r="B279" s="53" t="s">
        <x:v>122</x:v>
      </x:c>
      <x:c r="C279" s="53" t="s">
        <x:v>382</x:v>
      </x:c>
      <x:c r="D279" s="53" t="s">
        <x:v>606</x:v>
      </x:c>
      <x:c r="E279" s="67" t="n">
        <x:f>2*6371000*ASIN(SQRT(MIN(1,SIN(RADIANS(U279-S279)/2)^2+COS(RADIANS(S279))*COS(RADIANS(U279))*SIN(RADIANS(V279-T279)/2)^2)))</x:f>
        <x:v>42.243913755678385</x:v>
      </x:c>
      <x:c r="F279" s="48" t="s">
        <x:v>67</x:v>
      </x:c>
      <x:c r="G279" s="48" t="s">
        <x:v>66</x:v>
      </x:c>
      <x:c r="H279" s="48" t="s">
        <x:v>66</x:v>
      </x:c>
      <x:c r="I279" s="48" t="s">
        <x:v>66</x:v>
      </x:c>
      <x:c r="J279" s="48" t="s">
        <x:v>66</x:v>
      </x:c>
      <x:c r="K279" s="64"/>
      <x:c r="L279" s="64"/>
      <x:c r="M279" s="50"/>
      <x:c r="N279" s="49"/>
      <x:c r="O279" s="50"/>
      <x:c r="P279" s="50"/>
      <x:c r="Q279" s="32">
        <x:v>275</x:v>
      </x:c>
      <x:c r="R279" s="68"/>
      <x:c r="S279" s="54" t="n">
        <x:f>INDEX('Locations'!$D$6:$D$453,MATCH(B279,'Locations'!$A$6:$A$453,0))</x:f>
        <x:v>42.7293468233902</x:v>
      </x:c>
      <x:c r="T279" s="54" t="n">
        <x:f>INDEX('Locations'!$E$6:$E$453,MATCH(B279,'Locations'!$A$6:$A$453,0))</x:f>
        <x:v>-73.6825481754256</x:v>
      </x:c>
      <x:c r="U279" s="54" t="n">
        <x:f>INDEX('Locations'!$D$6:$D$453,MATCH(C279,'Locations'!$A$6:$A$453,0))</x:f>
        <x:v>42.7294190030912</x:v>
      </x:c>
      <x:c r="V279" s="69" t="n">
        <x:f>INDEX('Locations'!$E$6:$E$453,MATCH(C279,'Locations'!$A$6:$A$453,0))</x:f>
        <x:v>-73.683055942551</x:v>
      </x:c>
      <x:c r="W279" s="44"/>
    </x:row>
    <x:row r="280" ht="23" customHeight="1">
      <x:c r="A280" s="21" t="s">
        <x:v>882</x:v>
      </x:c>
      <x:c r="B280" s="45" t="s">
        <x:v>383</x:v>
      </x:c>
      <x:c r="C280" s="45" t="s">
        <x:v>384</x:v>
      </x:c>
      <x:c r="D280" s="45" t="s">
        <x:v>606</x:v>
      </x:c>
      <x:c r="E280" s="63" t="n">
        <x:f>2*6371000*ASIN(SQRT(MIN(1,SIN(RADIANS(U280-S280)/2)^2+COS(RADIANS(S280))*COS(RADIANS(U280))*SIN(RADIANS(V280-T280)/2)^2)))</x:f>
        <x:v>44.76892214637524</x:v>
      </x:c>
      <x:c r="F280" s="48" t="s">
        <x:v>67</x:v>
      </x:c>
      <x:c r="G280" s="48" t="s">
        <x:v>66</x:v>
      </x:c>
      <x:c r="H280" s="48" t="s">
        <x:v>66</x:v>
      </x:c>
      <x:c r="I280" s="48" t="s">
        <x:v>66</x:v>
      </x:c>
      <x:c r="J280" s="48" t="s">
        <x:v>66</x:v>
      </x:c>
      <x:c r="K280" s="64"/>
      <x:c r="L280" s="64"/>
      <x:c r="M280" s="50"/>
      <x:c r="N280" s="49"/>
      <x:c r="O280" s="50"/>
      <x:c r="P280" s="50"/>
      <x:c r="Q280" s="30">
        <x:v>276</x:v>
      </x:c>
      <x:c r="R280" s="65"/>
      <x:c r="S280" s="46" t="n">
        <x:f>INDEX('Locations'!$D$6:$D$453,MATCH(B280,'Locations'!$A$6:$A$453,0))</x:f>
        <x:v>42.7292074926761</x:v>
      </x:c>
      <x:c r="T280" s="46" t="n">
        <x:f>INDEX('Locations'!$E$6:$E$453,MATCH(B280,'Locations'!$A$6:$A$453,0))</x:f>
        <x:v>-73.6831021000164</x:v>
      </x:c>
      <x:c r="U280" s="46" t="n">
        <x:f>INDEX('Locations'!$D$6:$D$453,MATCH(C280,'Locations'!$A$6:$A$453,0))</x:f>
        <x:v>42.7288051630823</x:v>
      </x:c>
      <x:c r="V280" s="66" t="n">
        <x:f>INDEX('Locations'!$E$6:$E$453,MATCH(C280,'Locations'!$A$6:$A$453,0))</x:f>
        <x:v>-73.6831227912939</x:v>
      </x:c>
      <x:c r="W280" s="44"/>
    </x:row>
    <x:row r="281" ht="23" customHeight="1">
      <x:c r="A281" s="24" t="s">
        <x:v>883</x:v>
      </x:c>
      <x:c r="B281" s="53" t="s">
        <x:v>328</x:v>
      </x:c>
      <x:c r="C281" s="53" t="s">
        <x:v>148</x:v>
      </x:c>
      <x:c r="D281" s="53" t="s">
        <x:v>606</x:v>
      </x:c>
      <x:c r="E281" s="67" t="n">
        <x:f>2*6371000*ASIN(SQRT(MIN(1,SIN(RADIANS(U281-S281)/2)^2+COS(RADIANS(S281))*COS(RADIANS(U281))*SIN(RADIANS(V281-T281)/2)^2)))</x:f>
        <x:v>22.5021992657736</x:v>
      </x:c>
      <x:c r="F281" s="48" t="s">
        <x:v>67</x:v>
      </x:c>
      <x:c r="G281" s="48" t="s">
        <x:v>66</x:v>
      </x:c>
      <x:c r="H281" s="48" t="s">
        <x:v>66</x:v>
      </x:c>
      <x:c r="I281" s="48" t="s">
        <x:v>66</x:v>
      </x:c>
      <x:c r="J281" s="48" t="s">
        <x:v>66</x:v>
      </x:c>
      <x:c r="K281" s="64"/>
      <x:c r="L281" s="64"/>
      <x:c r="M281" s="50"/>
      <x:c r="N281" s="49"/>
      <x:c r="O281" s="50"/>
      <x:c r="P281" s="50"/>
      <x:c r="Q281" s="32">
        <x:v>277</x:v>
      </x:c>
      <x:c r="R281" s="68"/>
      <x:c r="S281" s="54" t="n">
        <x:f>INDEX('Locations'!$D$6:$D$453,MATCH(B281,'Locations'!$A$6:$A$453,0))</x:f>
        <x:v>42.7285120372353</x:v>
      </x:c>
      <x:c r="T281" s="54" t="n">
        <x:f>INDEX('Locations'!$E$6:$E$453,MATCH(B281,'Locations'!$A$6:$A$453,0))</x:f>
        <x:v>-73.6819163306486</x:v>
      </x:c>
      <x:c r="U281" s="54" t="n">
        <x:f>INDEX('Locations'!$D$6:$D$453,MATCH(C281,'Locations'!$A$6:$A$453,0))</x:f>
        <x:v>42.7283133827967</x:v>
      </x:c>
      <x:c r="V281" s="69" t="n">
        <x:f>INDEX('Locations'!$E$6:$E$453,MATCH(C281,'Locations'!$A$6:$A$453,0))</x:f>
        <x:v>-73.6819688586443</x:v>
      </x:c>
      <x:c r="W281" s="44"/>
    </x:row>
    <x:row r="282" ht="23" customHeight="1">
      <x:c r="A282" s="21" t="s">
        <x:v>884</x:v>
      </x:c>
      <x:c r="B282" s="45" t="s">
        <x:v>122</x:v>
      </x:c>
      <x:c r="C282" s="45" t="s">
        <x:v>385</x:v>
      </x:c>
      <x:c r="D282" s="45" t="s">
        <x:v>606</x:v>
      </x:c>
      <x:c r="E282" s="63" t="n">
        <x:f>2*6371000*ASIN(SQRT(MIN(1,SIN(RADIANS(U282-S282)/2)^2+COS(RADIANS(S282))*COS(RADIANS(U282))*SIN(RADIANS(V282-T282)/2)^2)))</x:f>
        <x:v>29.47804480014645</x:v>
      </x:c>
      <x:c r="F282" s="48" t="s">
        <x:v>67</x:v>
      </x:c>
      <x:c r="G282" s="48" t="s">
        <x:v>66</x:v>
      </x:c>
      <x:c r="H282" s="48" t="s">
        <x:v>66</x:v>
      </x:c>
      <x:c r="I282" s="48" t="s">
        <x:v>66</x:v>
      </x:c>
      <x:c r="J282" s="48" t="s">
        <x:v>66</x:v>
      </x:c>
      <x:c r="K282" s="64"/>
      <x:c r="L282" s="64"/>
      <x:c r="M282" s="50"/>
      <x:c r="N282" s="49"/>
      <x:c r="O282" s="50"/>
      <x:c r="P282" s="50"/>
      <x:c r="Q282" s="30">
        <x:v>278</x:v>
      </x:c>
      <x:c r="R282" s="65"/>
      <x:c r="S282" s="46" t="n">
        <x:f>INDEX('Locations'!$D$6:$D$453,MATCH(B282,'Locations'!$A$6:$A$453,0))</x:f>
        <x:v>42.7293468233902</x:v>
      </x:c>
      <x:c r="T282" s="46" t="n">
        <x:f>INDEX('Locations'!$E$6:$E$453,MATCH(B282,'Locations'!$A$6:$A$453,0))</x:f>
        <x:v>-73.6825481754256</x:v>
      </x:c>
      <x:c r="U282" s="46" t="n">
        <x:f>INDEX('Locations'!$D$6:$D$453,MATCH(C282,'Locations'!$A$6:$A$453,0))</x:f>
        <x:v>42.7291649606905</x:v>
      </x:c>
      <x:c r="V282" s="66" t="n">
        <x:f>INDEX('Locations'!$E$6:$E$453,MATCH(C282,'Locations'!$A$6:$A$453,0))</x:f>
        <x:v>-73.6822855903712</x:v>
      </x:c>
      <x:c r="W282" s="44"/>
    </x:row>
    <x:row r="283" ht="23" customHeight="1">
      <x:c r="A283" s="24" t="s">
        <x:v>885</x:v>
      </x:c>
      <x:c r="B283" s="53" t="s">
        <x:v>330</x:v>
      </x:c>
      <x:c r="C283" s="53" t="s">
        <x:v>385</x:v>
      </x:c>
      <x:c r="D283" s="53" t="s">
        <x:v>606</x:v>
      </x:c>
      <x:c r="E283" s="67" t="n">
        <x:f>2*6371000*ASIN(SQRT(MIN(1,SIN(RADIANS(U283-S283)/2)^2+COS(RADIANS(S283))*COS(RADIANS(U283))*SIN(RADIANS(V283-T283)/2)^2)))</x:f>
        <x:v>23.206908049114084</x:v>
      </x:c>
      <x:c r="F283" s="48" t="s">
        <x:v>67</x:v>
      </x:c>
      <x:c r="G283" s="48" t="s">
        <x:v>66</x:v>
      </x:c>
      <x:c r="H283" s="48" t="s">
        <x:v>66</x:v>
      </x:c>
      <x:c r="I283" s="48" t="s">
        <x:v>66</x:v>
      </x:c>
      <x:c r="J283" s="48" t="s">
        <x:v>66</x:v>
      </x:c>
      <x:c r="K283" s="64"/>
      <x:c r="L283" s="64"/>
      <x:c r="M283" s="50"/>
      <x:c r="N283" s="49"/>
      <x:c r="O283" s="50"/>
      <x:c r="P283" s="50"/>
      <x:c r="Q283" s="32">
        <x:v>279</x:v>
      </x:c>
      <x:c r="R283" s="68"/>
      <x:c r="S283" s="54" t="n">
        <x:f>INDEX('Locations'!$D$6:$D$453,MATCH(B283,'Locations'!$A$6:$A$453,0))</x:f>
        <x:v>42.7289568988148</x:v>
      </x:c>
      <x:c r="T283" s="54" t="n">
        <x:f>INDEX('Locations'!$E$6:$E$453,MATCH(B283,'Locations'!$A$6:$A$453,0))</x:f>
        <x:v>-73.6822633074569</x:v>
      </x:c>
      <x:c r="U283" s="54" t="n">
        <x:f>INDEX('Locations'!$D$6:$D$453,MATCH(C283,'Locations'!$A$6:$A$453,0))</x:f>
        <x:v>42.7291649606905</x:v>
      </x:c>
      <x:c r="V283" s="69" t="n">
        <x:f>INDEX('Locations'!$E$6:$E$453,MATCH(C283,'Locations'!$A$6:$A$453,0))</x:f>
        <x:v>-73.6822855903712</x:v>
      </x:c>
      <x:c r="W283" s="44"/>
    </x:row>
    <x:row r="284" ht="23" customHeight="1">
      <x:c r="A284" s="21" t="s">
        <x:v>886</x:v>
      </x:c>
      <x:c r="B284" s="45" t="s">
        <x:v>148</x:v>
      </x:c>
      <x:c r="C284" s="45" t="s">
        <x:v>104</x:v>
      </x:c>
      <x:c r="D284" s="45" t="s">
        <x:v>606</x:v>
      </x:c>
      <x:c r="E284" s="63" t="n">
        <x:f>2*6371000*ASIN(SQRT(MIN(1,SIN(RADIANS(U284-S284)/2)^2+COS(RADIANS(S284))*COS(RADIANS(U284))*SIN(RADIANS(V284-T284)/2)^2)))</x:f>
        <x:v>60.424580498831226</x:v>
      </x:c>
      <x:c r="F284" s="48" t="s">
        <x:v>67</x:v>
      </x:c>
      <x:c r="G284" s="48" t="s">
        <x:v>66</x:v>
      </x:c>
      <x:c r="H284" s="48" t="s">
        <x:v>66</x:v>
      </x:c>
      <x:c r="I284" s="48" t="s">
        <x:v>66</x:v>
      </x:c>
      <x:c r="J284" s="48" t="s">
        <x:v>66</x:v>
      </x:c>
      <x:c r="K284" s="64"/>
      <x:c r="L284" s="64"/>
      <x:c r="M284" s="50"/>
      <x:c r="N284" s="49"/>
      <x:c r="O284" s="50"/>
      <x:c r="P284" s="50"/>
      <x:c r="Q284" s="30">
        <x:v>280</x:v>
      </x:c>
      <x:c r="R284" s="65"/>
      <x:c r="S284" s="46" t="n">
        <x:f>INDEX('Locations'!$D$6:$D$453,MATCH(B284,'Locations'!$A$6:$A$453,0))</x:f>
        <x:v>42.7283133827967</x:v>
      </x:c>
      <x:c r="T284" s="46" t="n">
        <x:f>INDEX('Locations'!$E$6:$E$453,MATCH(B284,'Locations'!$A$6:$A$453,0))</x:f>
        <x:v>-73.6819688586443</x:v>
      </x:c>
      <x:c r="U284" s="46" t="n">
        <x:f>INDEX('Locations'!$D$6:$D$453,MATCH(C284,'Locations'!$A$6:$A$453,0))</x:f>
        <x:v>42.7281819912845</x:v>
      </x:c>
      <x:c r="V284" s="66" t="n">
        <x:f>INDEX('Locations'!$E$6:$E$453,MATCH(C284,'Locations'!$A$6:$A$453,0))</x:f>
        <x:v>-73.6812510506524</x:v>
      </x:c>
      <x:c r="W284" s="44"/>
    </x:row>
    <x:row r="285" ht="23" customHeight="1">
      <x:c r="A285" s="24" t="s">
        <x:v>887</x:v>
      </x:c>
      <x:c r="B285" s="53" t="s">
        <x:v>389</x:v>
      </x:c>
      <x:c r="C285" s="53" t="s">
        <x:v>104</x:v>
      </x:c>
      <x:c r="D285" s="53" t="s">
        <x:v>606</x:v>
      </x:c>
      <x:c r="E285" s="67" t="n">
        <x:f>2*6371000*ASIN(SQRT(MIN(1,SIN(RADIANS(U285-S285)/2)^2+COS(RADIANS(S285))*COS(RADIANS(U285))*SIN(RADIANS(V285-T285)/2)^2)))</x:f>
        <x:v>31.03122190096162</x:v>
      </x:c>
      <x:c r="F285" s="48" t="s">
        <x:v>67</x:v>
      </x:c>
      <x:c r="G285" s="48" t="s">
        <x:v>66</x:v>
      </x:c>
      <x:c r="H285" s="48" t="s">
        <x:v>66</x:v>
      </x:c>
      <x:c r="I285" s="48" t="s">
        <x:v>66</x:v>
      </x:c>
      <x:c r="J285" s="48" t="s">
        <x:v>66</x:v>
      </x:c>
      <x:c r="K285" s="64"/>
      <x:c r="L285" s="64"/>
      <x:c r="M285" s="50"/>
      <x:c r="N285" s="49"/>
      <x:c r="O285" s="50"/>
      <x:c r="P285" s="50"/>
      <x:c r="Q285" s="32">
        <x:v>281</x:v>
      </x:c>
      <x:c r="R285" s="68"/>
      <x:c r="S285" s="54" t="n">
        <x:f>INDEX('Locations'!$D$6:$D$453,MATCH(B285,'Locations'!$A$6:$A$453,0))</x:f>
        <x:v>42.7280028029208</x:v>
      </x:c>
      <x:c r="T285" s="54" t="n">
        <x:f>INDEX('Locations'!$E$6:$E$453,MATCH(B285,'Locations'!$A$6:$A$453,0))</x:f>
        <x:v>-73.6815422960158</x:v>
      </x:c>
      <x:c r="U285" s="54" t="n">
        <x:f>INDEX('Locations'!$D$6:$D$453,MATCH(C285,'Locations'!$A$6:$A$453,0))</x:f>
        <x:v>42.7281819912845</x:v>
      </x:c>
      <x:c r="V285" s="69" t="n">
        <x:f>INDEX('Locations'!$E$6:$E$453,MATCH(C285,'Locations'!$A$6:$A$453,0))</x:f>
        <x:v>-73.6812510506524</x:v>
      </x:c>
      <x:c r="W285" s="44"/>
    </x:row>
    <x:row r="286" ht="23" customHeight="1">
      <x:c r="A286" s="21" t="s">
        <x:v>888</x:v>
      </x:c>
      <x:c r="B286" s="45" t="s">
        <x:v>158</x:v>
      </x:c>
      <x:c r="C286" s="45" t="s">
        <x:v>389</x:v>
      </x:c>
      <x:c r="D286" s="45" t="s">
        <x:v>606</x:v>
      </x:c>
      <x:c r="E286" s="63" t="n">
        <x:f>2*6371000*ASIN(SQRT(MIN(1,SIN(RADIANS(U286-S286)/2)^2+COS(RADIANS(S286))*COS(RADIANS(U286))*SIN(RADIANS(V286-T286)/2)^2)))</x:f>
        <x:v>32.13178201154733</x:v>
      </x:c>
      <x:c r="F286" s="48" t="s">
        <x:v>67</x:v>
      </x:c>
      <x:c r="G286" s="48" t="s">
        <x:v>66</x:v>
      </x:c>
      <x:c r="H286" s="48" t="s">
        <x:v>66</x:v>
      </x:c>
      <x:c r="I286" s="48" t="s">
        <x:v>66</x:v>
      </x:c>
      <x:c r="J286" s="48" t="s">
        <x:v>66</x:v>
      </x:c>
      <x:c r="K286" s="64"/>
      <x:c r="L286" s="64"/>
      <x:c r="M286" s="50"/>
      <x:c r="N286" s="49"/>
      <x:c r="O286" s="50"/>
      <x:c r="P286" s="50"/>
      <x:c r="Q286" s="30">
        <x:v>282</x:v>
      </x:c>
      <x:c r="R286" s="65"/>
      <x:c r="S286" s="46" t="n">
        <x:f>INDEX('Locations'!$D$6:$D$453,MATCH(B286,'Locations'!$A$6:$A$453,0))</x:f>
        <x:v>42.7277297315786</x:v>
      </x:c>
      <x:c r="T286" s="46" t="n">
        <x:f>INDEX('Locations'!$E$6:$E$453,MATCH(B286,'Locations'!$A$6:$A$453,0))</x:f>
        <x:v>-73.681413620707</x:v>
      </x:c>
      <x:c r="U286" s="46" t="n">
        <x:f>INDEX('Locations'!$D$6:$D$453,MATCH(C286,'Locations'!$A$6:$A$453,0))</x:f>
        <x:v>42.7280028029208</x:v>
      </x:c>
      <x:c r="V286" s="66" t="n">
        <x:f>INDEX('Locations'!$E$6:$E$453,MATCH(C286,'Locations'!$A$6:$A$453,0))</x:f>
        <x:v>-73.6815422960158</x:v>
      </x:c>
      <x:c r="W286" s="44"/>
    </x:row>
    <x:row r="287" ht="23" customHeight="1">
      <x:c r="A287" s="24" t="s">
        <x:v>889</x:v>
      </x:c>
      <x:c r="B287" s="53" t="s">
        <x:v>384</x:v>
      </x:c>
      <x:c r="C287" s="53" t="s">
        <x:v>386</x:v>
      </x:c>
      <x:c r="D287" s="53" t="s">
        <x:v>606</x:v>
      </x:c>
      <x:c r="E287" s="67" t="n">
        <x:f>2*6371000*ASIN(SQRT(MIN(1,SIN(RADIANS(U287-S287)/2)^2+COS(RADIANS(S287))*COS(RADIANS(U287))*SIN(RADIANS(V287-T287)/2)^2)))</x:f>
        <x:v>26.91200430288157</x:v>
      </x:c>
      <x:c r="F287" s="48" t="s">
        <x:v>67</x:v>
      </x:c>
      <x:c r="G287" s="48" t="s">
        <x:v>66</x:v>
      </x:c>
      <x:c r="H287" s="48" t="s">
        <x:v>66</x:v>
      </x:c>
      <x:c r="I287" s="48" t="s">
        <x:v>66</x:v>
      </x:c>
      <x:c r="J287" s="48" t="s">
        <x:v>66</x:v>
      </x:c>
      <x:c r="K287" s="64"/>
      <x:c r="L287" s="64"/>
      <x:c r="M287" s="50"/>
      <x:c r="N287" s="49"/>
      <x:c r="O287" s="50"/>
      <x:c r="P287" s="50"/>
      <x:c r="Q287" s="32">
        <x:v>283</x:v>
      </x:c>
      <x:c r="R287" s="68"/>
      <x:c r="S287" s="54" t="n">
        <x:f>INDEX('Locations'!$D$6:$D$453,MATCH(B287,'Locations'!$A$6:$A$453,0))</x:f>
        <x:v>42.7288051630823</x:v>
      </x:c>
      <x:c r="T287" s="54" t="n">
        <x:f>INDEX('Locations'!$E$6:$E$453,MATCH(B287,'Locations'!$A$6:$A$453,0))</x:f>
        <x:v>-73.6831227912939</x:v>
      </x:c>
      <x:c r="U287" s="54" t="n">
        <x:f>INDEX('Locations'!$D$6:$D$453,MATCH(C287,'Locations'!$A$6:$A$453,0))</x:f>
        <x:v>42.728591353641</x:v>
      </x:c>
      <x:c r="V287" s="69" t="n">
        <x:f>INDEX('Locations'!$E$6:$E$453,MATCH(C287,'Locations'!$A$6:$A$453,0))</x:f>
        <x:v>-73.6832771800573</x:v>
      </x:c>
      <x:c r="W287" s="44"/>
    </x:row>
    <x:row r="288" ht="23" customHeight="1">
      <x:c r="A288" s="21" t="s">
        <x:v>890</x:v>
      </x:c>
      <x:c r="B288" s="45" t="s">
        <x:v>387</x:v>
      </x:c>
      <x:c r="C288" s="45" t="s">
        <x:v>386</x:v>
      </x:c>
      <x:c r="D288" s="45" t="s">
        <x:v>606</x:v>
      </x:c>
      <x:c r="E288" s="63" t="n">
        <x:f>2*6371000*ASIN(SQRT(MIN(1,SIN(RADIANS(U288-S288)/2)^2+COS(RADIANS(S288))*COS(RADIANS(U288))*SIN(RADIANS(V288-T288)/2)^2)))</x:f>
        <x:v>23.232029318642788</x:v>
      </x:c>
      <x:c r="F288" s="48" t="s">
        <x:v>67</x:v>
      </x:c>
      <x:c r="G288" s="48" t="s">
        <x:v>66</x:v>
      </x:c>
      <x:c r="H288" s="48" t="s">
        <x:v>66</x:v>
      </x:c>
      <x:c r="I288" s="48" t="s">
        <x:v>66</x:v>
      </x:c>
      <x:c r="J288" s="48" t="s">
        <x:v>66</x:v>
      </x:c>
      <x:c r="K288" s="64"/>
      <x:c r="L288" s="64"/>
      <x:c r="M288" s="50"/>
      <x:c r="N288" s="49"/>
      <x:c r="O288" s="50"/>
      <x:c r="P288" s="50"/>
      <x:c r="Q288" s="30">
        <x:v>284</x:v>
      </x:c>
      <x:c r="R288" s="65"/>
      <x:c r="S288" s="46" t="n">
        <x:f>INDEX('Locations'!$D$6:$D$453,MATCH(B288,'Locations'!$A$6:$A$453,0))</x:f>
        <x:v>42.7283855907915</x:v>
      </x:c>
      <x:c r="T288" s="46" t="n">
        <x:f>INDEX('Locations'!$E$6:$E$453,MATCH(B288,'Locations'!$A$6:$A$453,0))</x:f>
        <x:v>-73.683326520796</x:v>
      </x:c>
      <x:c r="U288" s="46" t="n">
        <x:f>INDEX('Locations'!$D$6:$D$453,MATCH(C288,'Locations'!$A$6:$A$453,0))</x:f>
        <x:v>42.728591353641</x:v>
      </x:c>
      <x:c r="V288" s="66" t="n">
        <x:f>INDEX('Locations'!$E$6:$E$453,MATCH(C288,'Locations'!$A$6:$A$453,0))</x:f>
        <x:v>-73.6832771800573</x:v>
      </x:c>
      <x:c r="W288" s="44"/>
    </x:row>
    <x:row r="289" ht="23" customHeight="1">
      <x:c r="A289" s="24" t="s">
        <x:v>891</x:v>
      </x:c>
      <x:c r="B289" s="53" t="s">
        <x:v>388</x:v>
      </x:c>
      <x:c r="C289" s="53" t="s">
        <x:v>387</x:v>
      </x:c>
      <x:c r="D289" s="53" t="s">
        <x:v>606</x:v>
      </x:c>
      <x:c r="E289" s="67" t="n">
        <x:f>2*6371000*ASIN(SQRT(MIN(1,SIN(RADIANS(U289-S289)/2)^2+COS(RADIANS(S289))*COS(RADIANS(U289))*SIN(RADIANS(V289-T289)/2)^2)))</x:f>
        <x:v>104.32443496627172</x:v>
      </x:c>
      <x:c r="F289" s="48" t="s">
        <x:v>67</x:v>
      </x:c>
      <x:c r="G289" s="48" t="s">
        <x:v>66</x:v>
      </x:c>
      <x:c r="H289" s="48" t="s">
        <x:v>66</x:v>
      </x:c>
      <x:c r="I289" s="48" t="s">
        <x:v>66</x:v>
      </x:c>
      <x:c r="J289" s="48" t="s">
        <x:v>66</x:v>
      </x:c>
      <x:c r="K289" s="64"/>
      <x:c r="L289" s="64"/>
      <x:c r="M289" s="50"/>
      <x:c r="N289" s="49"/>
      <x:c r="O289" s="50"/>
      <x:c r="P289" s="50"/>
      <x:c r="Q289" s="32">
        <x:v>285</x:v>
      </x:c>
      <x:c r="R289" s="68"/>
      <x:c r="S289" s="54" t="n">
        <x:f>INDEX('Locations'!$D$6:$D$453,MATCH(B289,'Locations'!$A$6:$A$453,0))</x:f>
        <x:v>42.7276958829164</x:v>
      </x:c>
      <x:c r="T289" s="54" t="n">
        <x:f>INDEX('Locations'!$E$6:$E$453,MATCH(B289,'Locations'!$A$6:$A$453,0))</x:f>
        <x:v>-73.6824606704121</x:v>
      </x:c>
      <x:c r="U289" s="54" t="n">
        <x:f>INDEX('Locations'!$D$6:$D$453,MATCH(C289,'Locations'!$A$6:$A$453,0))</x:f>
        <x:v>42.7283855907915</x:v>
      </x:c>
      <x:c r="V289" s="69" t="n">
        <x:f>INDEX('Locations'!$E$6:$E$453,MATCH(C289,'Locations'!$A$6:$A$453,0))</x:f>
        <x:v>-73.683326520796</x:v>
      </x:c>
      <x:c r="W289" s="44"/>
    </x:row>
    <x:row r="290" ht="23" customHeight="1">
      <x:c r="A290" s="21" t="s">
        <x:v>892</x:v>
      </x:c>
      <x:c r="B290" s="45" t="s">
        <x:v>388</x:v>
      </x:c>
      <x:c r="C290" s="45" t="s">
        <x:v>178</x:v>
      </x:c>
      <x:c r="D290" s="45" t="s">
        <x:v>606</x:v>
      </x:c>
      <x:c r="E290" s="63" t="n">
        <x:f>2*6371000*ASIN(SQRT(MIN(1,SIN(RADIANS(U290-S290)/2)^2+COS(RADIANS(S290))*COS(RADIANS(U290))*SIN(RADIANS(V290-T290)/2)^2)))</x:f>
        <x:v>156.06339806995786</x:v>
      </x:c>
      <x:c r="F290" s="48" t="s">
        <x:v>67</x:v>
      </x:c>
      <x:c r="G290" s="48" t="s">
        <x:v>66</x:v>
      </x:c>
      <x:c r="H290" s="48" t="s">
        <x:v>66</x:v>
      </x:c>
      <x:c r="I290" s="48" t="s">
        <x:v>66</x:v>
      </x:c>
      <x:c r="J290" s="48" t="s">
        <x:v>66</x:v>
      </x:c>
      <x:c r="K290" s="64"/>
      <x:c r="L290" s="64"/>
      <x:c r="M290" s="50"/>
      <x:c r="N290" s="49"/>
      <x:c r="O290" s="50"/>
      <x:c r="P290" s="50"/>
      <x:c r="Q290" s="30">
        <x:v>286</x:v>
      </x:c>
      <x:c r="R290" s="65"/>
      <x:c r="S290" s="46" t="n">
        <x:f>INDEX('Locations'!$D$6:$D$453,MATCH(B290,'Locations'!$A$6:$A$453,0))</x:f>
        <x:v>42.7276958829164</x:v>
      </x:c>
      <x:c r="T290" s="46" t="n">
        <x:f>INDEX('Locations'!$E$6:$E$453,MATCH(B290,'Locations'!$A$6:$A$453,0))</x:f>
        <x:v>-73.6824606704121</x:v>
      </x:c>
      <x:c r="U290" s="46" t="n">
        <x:f>INDEX('Locations'!$D$6:$D$453,MATCH(C290,'Locations'!$A$6:$A$453,0))</x:f>
        <x:v>42.727225286618</x:v>
      </x:c>
      <x:c r="V290" s="66" t="n">
        <x:f>INDEX('Locations'!$E$6:$E$453,MATCH(C290,'Locations'!$A$6:$A$453,0))</x:f>
        <x:v>-73.6806606651005</x:v>
      </x:c>
      <x:c r="W290" s="44"/>
    </x:row>
    <x:row r="291" ht="23" customHeight="1">
      <x:c r="A291" s="24" t="s">
        <x:v>893</x:v>
      </x:c>
      <x:c r="B291" s="53" t="s">
        <x:v>350</x:v>
      </x:c>
      <x:c r="C291" s="53" t="s">
        <x:v>390</x:v>
      </x:c>
      <x:c r="D291" s="53" t="s">
        <x:v>606</x:v>
      </x:c>
      <x:c r="E291" s="67" t="n">
        <x:f>2*6371000*ASIN(SQRT(MIN(1,SIN(RADIANS(U291-S291)/2)^2+COS(RADIANS(S291))*COS(RADIANS(U291))*SIN(RADIANS(V291-T291)/2)^2)))</x:f>
        <x:v>12.673402608593342</x:v>
      </x:c>
      <x:c r="F291" s="48" t="s">
        <x:v>67</x:v>
      </x:c>
      <x:c r="G291" s="48" t="s">
        <x:v>66</x:v>
      </x:c>
      <x:c r="H291" s="48" t="s">
        <x:v>66</x:v>
      </x:c>
      <x:c r="I291" s="48" t="s">
        <x:v>66</x:v>
      </x:c>
      <x:c r="J291" s="48" t="s">
        <x:v>66</x:v>
      </x:c>
      <x:c r="K291" s="64"/>
      <x:c r="L291" s="64"/>
      <x:c r="M291" s="50"/>
      <x:c r="N291" s="49"/>
      <x:c r="O291" s="50"/>
      <x:c r="P291" s="50"/>
      <x:c r="Q291" s="32">
        <x:v>287</x:v>
      </x:c>
      <x:c r="R291" s="68"/>
      <x:c r="S291" s="54" t="n">
        <x:f>INDEX('Locations'!$D$6:$D$453,MATCH(B291,'Locations'!$A$6:$A$453,0))</x:f>
        <x:v>42.7282419016509</x:v>
      </x:c>
      <x:c r="T291" s="54" t="n">
        <x:f>INDEX('Locations'!$E$6:$E$453,MATCH(B291,'Locations'!$A$6:$A$453,0))</x:f>
        <x:v>-73.6802801280848</x:v>
      </x:c>
      <x:c r="U291" s="54" t="n">
        <x:f>INDEX('Locations'!$D$6:$D$453,MATCH(C291,'Locations'!$A$6:$A$453,0))</x:f>
        <x:v>42.7283016763334</x:v>
      </x:c>
      <x:c r="V291" s="69" t="n">
        <x:f>INDEX('Locations'!$E$6:$E$453,MATCH(C291,'Locations'!$A$6:$A$453,0))</x:f>
        <x:v>-73.6801480222357</x:v>
      </x:c>
      <x:c r="W291" s="44"/>
    </x:row>
    <x:row r="292" ht="23" customHeight="1">
      <x:c r="A292" s="21" t="s">
        <x:v>894</x:v>
      </x:c>
      <x:c r="B292" s="45" t="s">
        <x:v>349</x:v>
      </x:c>
      <x:c r="C292" s="45" t="s">
        <x:v>390</x:v>
      </x:c>
      <x:c r="D292" s="45" t="s">
        <x:v>606</x:v>
      </x:c>
      <x:c r="E292" s="63" t="n">
        <x:f>2*6371000*ASIN(SQRT(MIN(1,SIN(RADIANS(U292-S292)/2)^2+COS(RADIANS(S292))*COS(RADIANS(U292))*SIN(RADIANS(V292-T292)/2)^2)))</x:f>
        <x:v>16.582131251298826</x:v>
      </x:c>
      <x:c r="F292" s="48" t="s">
        <x:v>67</x:v>
      </x:c>
      <x:c r="G292" s="48" t="s">
        <x:v>66</x:v>
      </x:c>
      <x:c r="H292" s="48" t="s">
        <x:v>66</x:v>
      </x:c>
      <x:c r="I292" s="48" t="s">
        <x:v>66</x:v>
      </x:c>
      <x:c r="J292" s="48" t="s">
        <x:v>66</x:v>
      </x:c>
      <x:c r="K292" s="64"/>
      <x:c r="L292" s="64"/>
      <x:c r="M292" s="50"/>
      <x:c r="N292" s="49"/>
      <x:c r="O292" s="50"/>
      <x:c r="P292" s="50"/>
      <x:c r="Q292" s="30">
        <x:v>288</x:v>
      </x:c>
      <x:c r="R292" s="65"/>
      <x:c r="S292" s="46" t="n">
        <x:f>INDEX('Locations'!$D$6:$D$453,MATCH(B292,'Locations'!$A$6:$A$453,0))</x:f>
        <x:v>42.7284373188822</x:v>
      </x:c>
      <x:c r="T292" s="46" t="n">
        <x:f>INDEX('Locations'!$E$6:$E$453,MATCH(B292,'Locations'!$A$6:$A$453,0))</x:f>
        <x:v>-73.6802323789827</x:v>
      </x:c>
      <x:c r="U292" s="46" t="n">
        <x:f>INDEX('Locations'!$D$6:$D$453,MATCH(C292,'Locations'!$A$6:$A$453,0))</x:f>
        <x:v>42.7283016763334</x:v>
      </x:c>
      <x:c r="V292" s="66" t="n">
        <x:f>INDEX('Locations'!$E$6:$E$453,MATCH(C292,'Locations'!$A$6:$A$453,0))</x:f>
        <x:v>-73.6801480222357</x:v>
      </x:c>
      <x:c r="W292" s="44"/>
    </x:row>
    <x:row r="293" ht="23" customHeight="1">
      <x:c r="A293" s="24" t="s">
        <x:v>895</x:v>
      </x:c>
      <x:c r="B293" s="53" t="s">
        <x:v>391</x:v>
      </x:c>
      <x:c r="C293" s="53" t="s">
        <x:v>390</x:v>
      </x:c>
      <x:c r="D293" s="53" t="s">
        <x:v>606</x:v>
      </x:c>
      <x:c r="E293" s="67" t="n">
        <x:f>2*6371000*ASIN(SQRT(MIN(1,SIN(RADIANS(U293-S293)/2)^2+COS(RADIANS(S293))*COS(RADIANS(U293))*SIN(RADIANS(V293-T293)/2)^2)))</x:f>
        <x:v>125.03207641583877</x:v>
      </x:c>
      <x:c r="F293" s="48" t="s">
        <x:v>67</x:v>
      </x:c>
      <x:c r="G293" s="48" t="s">
        <x:v>66</x:v>
      </x:c>
      <x:c r="H293" s="48" t="s">
        <x:v>66</x:v>
      </x:c>
      <x:c r="I293" s="48" t="s">
        <x:v>66</x:v>
      </x:c>
      <x:c r="J293" s="48" t="s">
        <x:v>66</x:v>
      </x:c>
      <x:c r="K293" s="64"/>
      <x:c r="L293" s="64"/>
      <x:c r="M293" s="50"/>
      <x:c r="N293" s="49"/>
      <x:c r="O293" s="50"/>
      <x:c r="P293" s="50"/>
      <x:c r="Q293" s="32">
        <x:v>289</x:v>
      </x:c>
      <x:c r="R293" s="68"/>
      <x:c r="S293" s="54" t="n">
        <x:f>INDEX('Locations'!$D$6:$D$453,MATCH(B293,'Locations'!$A$6:$A$453,0))</x:f>
        <x:v>42.7280694746821</x:v>
      </x:c>
      <x:c r="T293" s="54" t="n">
        <x:f>INDEX('Locations'!$E$6:$E$453,MATCH(B293,'Locations'!$A$6:$A$453,0))</x:f>
        <x:v>-73.6786502920678</x:v>
      </x:c>
      <x:c r="U293" s="54" t="n">
        <x:f>INDEX('Locations'!$D$6:$D$453,MATCH(C293,'Locations'!$A$6:$A$453,0))</x:f>
        <x:v>42.7283016763334</x:v>
      </x:c>
      <x:c r="V293" s="69" t="n">
        <x:f>INDEX('Locations'!$E$6:$E$453,MATCH(C293,'Locations'!$A$6:$A$453,0))</x:f>
        <x:v>-73.6801480222357</x:v>
      </x:c>
      <x:c r="W293" s="44"/>
    </x:row>
    <x:row r="294" ht="23" customHeight="1">
      <x:c r="A294" s="21" t="s">
        <x:v>896</x:v>
      </x:c>
      <x:c r="B294" s="45" t="s">
        <x:v>393</x:v>
      </x:c>
      <x:c r="C294" s="45" t="s">
        <x:v>392</x:v>
      </x:c>
      <x:c r="D294" s="45" t="s">
        <x:v>606</x:v>
      </x:c>
      <x:c r="E294" s="63" t="n">
        <x:f>2*6371000*ASIN(SQRT(MIN(1,SIN(RADIANS(U294-S294)/2)^2+COS(RADIANS(S294))*COS(RADIANS(U294))*SIN(RADIANS(V294-T294)/2)^2)))</x:f>
        <x:v>15.142941723694953</x:v>
      </x:c>
      <x:c r="F294" s="48" t="s">
        <x:v>67</x:v>
      </x:c>
      <x:c r="G294" s="48" t="s">
        <x:v>66</x:v>
      </x:c>
      <x:c r="H294" s="48" t="s">
        <x:v>66</x:v>
      </x:c>
      <x:c r="I294" s="48" t="s">
        <x:v>66</x:v>
      </x:c>
      <x:c r="J294" s="48" t="s">
        <x:v>66</x:v>
      </x:c>
      <x:c r="K294" s="64"/>
      <x:c r="L294" s="64"/>
      <x:c r="M294" s="50"/>
      <x:c r="N294" s="49"/>
      <x:c r="O294" s="50"/>
      <x:c r="P294" s="50"/>
      <x:c r="Q294" s="30">
        <x:v>290</x:v>
      </x:c>
      <x:c r="R294" s="65"/>
      <x:c r="S294" s="46" t="n">
        <x:f>INDEX('Locations'!$D$6:$D$453,MATCH(B294,'Locations'!$A$6:$A$453,0))</x:f>
        <x:v>42.7277706012695</x:v>
      </x:c>
      <x:c r="T294" s="46" t="n">
        <x:f>INDEX('Locations'!$E$6:$E$453,MATCH(B294,'Locations'!$A$6:$A$453,0))</x:f>
        <x:v>-73.6787680731863</x:v>
      </x:c>
      <x:c r="U294" s="46" t="n">
        <x:f>INDEX('Locations'!$D$6:$D$453,MATCH(C294,'Locations'!$A$6:$A$453,0))</x:f>
        <x:v>42.7278935991739</x:v>
      </x:c>
      <x:c r="V294" s="66" t="n">
        <x:f>INDEX('Locations'!$E$6:$E$453,MATCH(C294,'Locations'!$A$6:$A$453,0))</x:f>
        <x:v>-73.6786884913495</x:v>
      </x:c>
      <x:c r="W294" s="44"/>
    </x:row>
    <x:row r="295" ht="23" customHeight="1">
      <x:c r="A295" s="24" t="s">
        <x:v>897</x:v>
      </x:c>
      <x:c r="B295" s="53" t="s">
        <x:v>391</x:v>
      </x:c>
      <x:c r="C295" s="53" t="s">
        <x:v>392</x:v>
      </x:c>
      <x:c r="D295" s="53" t="s">
        <x:v>606</x:v>
      </x:c>
      <x:c r="E295" s="67" t="n">
        <x:f>2*6371000*ASIN(SQRT(MIN(1,SIN(RADIANS(U295-S295)/2)^2+COS(RADIANS(S295))*COS(RADIANS(U295))*SIN(RADIANS(V295-T295)/2)^2)))</x:f>
        <x:v>19.803809920203797</x:v>
      </x:c>
      <x:c r="F295" s="48" t="s">
        <x:v>67</x:v>
      </x:c>
      <x:c r="G295" s="48" t="s">
        <x:v>66</x:v>
      </x:c>
      <x:c r="H295" s="48" t="s">
        <x:v>66</x:v>
      </x:c>
      <x:c r="I295" s="48" t="s">
        <x:v>66</x:v>
      </x:c>
      <x:c r="J295" s="48" t="s">
        <x:v>66</x:v>
      </x:c>
      <x:c r="K295" s="64"/>
      <x:c r="L295" s="64"/>
      <x:c r="M295" s="50"/>
      <x:c r="N295" s="49"/>
      <x:c r="O295" s="50"/>
      <x:c r="P295" s="50"/>
      <x:c r="Q295" s="32">
        <x:v>291</x:v>
      </x:c>
      <x:c r="R295" s="68"/>
      <x:c r="S295" s="54" t="n">
        <x:f>INDEX('Locations'!$D$6:$D$453,MATCH(B295,'Locations'!$A$6:$A$453,0))</x:f>
        <x:v>42.7280694746821</x:v>
      </x:c>
      <x:c r="T295" s="54" t="n">
        <x:f>INDEX('Locations'!$E$6:$E$453,MATCH(B295,'Locations'!$A$6:$A$453,0))</x:f>
        <x:v>-73.6786502920678</x:v>
      </x:c>
      <x:c r="U295" s="54" t="n">
        <x:f>INDEX('Locations'!$D$6:$D$453,MATCH(C295,'Locations'!$A$6:$A$453,0))</x:f>
        <x:v>42.7278935991739</x:v>
      </x:c>
      <x:c r="V295" s="69" t="n">
        <x:f>INDEX('Locations'!$E$6:$E$453,MATCH(C295,'Locations'!$A$6:$A$453,0))</x:f>
        <x:v>-73.6786884913495</x:v>
      </x:c>
      <x:c r="W295" s="44"/>
    </x:row>
    <x:row r="296" ht="23" customHeight="1">
      <x:c r="A296" s="21" t="s">
        <x:v>898</x:v>
      </x:c>
      <x:c r="B296" s="45" t="s">
        <x:v>393</x:v>
      </x:c>
      <x:c r="C296" s="45" t="s">
        <x:v>394</x:v>
      </x:c>
      <x:c r="D296" s="45" t="s">
        <x:v>606</x:v>
      </x:c>
      <x:c r="E296" s="63" t="n">
        <x:f>2*6371000*ASIN(SQRT(MIN(1,SIN(RADIANS(U296-S296)/2)^2+COS(RADIANS(S296))*COS(RADIANS(U296))*SIN(RADIANS(V296-T296)/2)^2)))</x:f>
        <x:v>69.45409708830645</x:v>
      </x:c>
      <x:c r="F296" s="48" t="s">
        <x:v>67</x:v>
      </x:c>
      <x:c r="G296" s="48" t="s">
        <x:v>66</x:v>
      </x:c>
      <x:c r="H296" s="48" t="s">
        <x:v>66</x:v>
      </x:c>
      <x:c r="I296" s="48" t="s">
        <x:v>66</x:v>
      </x:c>
      <x:c r="J296" s="48" t="s">
        <x:v>66</x:v>
      </x:c>
      <x:c r="K296" s="64"/>
      <x:c r="L296" s="64"/>
      <x:c r="M296" s="50"/>
      <x:c r="N296" s="49"/>
      <x:c r="O296" s="50"/>
      <x:c r="P296" s="50"/>
      <x:c r="Q296" s="30">
        <x:v>292</x:v>
      </x:c>
      <x:c r="R296" s="65"/>
      <x:c r="S296" s="46" t="n">
        <x:f>INDEX('Locations'!$D$6:$D$453,MATCH(B296,'Locations'!$A$6:$A$453,0))</x:f>
        <x:v>42.7277706012695</x:v>
      </x:c>
      <x:c r="T296" s="46" t="n">
        <x:f>INDEX('Locations'!$E$6:$E$453,MATCH(B296,'Locations'!$A$6:$A$453,0))</x:f>
        <x:v>-73.6787680731863</x:v>
      </x:c>
      <x:c r="U296" s="46" t="n">
        <x:f>INDEX('Locations'!$D$6:$D$453,MATCH(C296,'Locations'!$A$6:$A$453,0))</x:f>
        <x:v>42.7278798050164</x:v>
      </x:c>
      <x:c r="V296" s="66" t="n">
        <x:f>INDEX('Locations'!$E$6:$E$453,MATCH(C296,'Locations'!$A$6:$A$453,0))</x:f>
        <x:v>-73.679605274109</x:v>
      </x:c>
      <x:c r="W296" s="44"/>
    </x:row>
    <x:row r="297" ht="23" customHeight="1">
      <x:c r="A297" s="24" t="s">
        <x:v>899</x:v>
      </x:c>
      <x:c r="B297" s="53" t="s">
        <x:v>395</x:v>
      </x:c>
      <x:c r="C297" s="53" t="s">
        <x:v>394</x:v>
      </x:c>
      <x:c r="D297" s="53" t="s">
        <x:v>606</x:v>
      </x:c>
      <x:c r="E297" s="67" t="n">
        <x:f>2*6371000*ASIN(SQRT(MIN(1,SIN(RADIANS(U297-S297)/2)^2+COS(RADIANS(S297))*COS(RADIANS(U297))*SIN(RADIANS(V297-T297)/2)^2)))</x:f>
        <x:v>32.07251400247041</x:v>
      </x:c>
      <x:c r="F297" s="48" t="s">
        <x:v>67</x:v>
      </x:c>
      <x:c r="G297" s="48" t="s">
        <x:v>66</x:v>
      </x:c>
      <x:c r="H297" s="48" t="s">
        <x:v>66</x:v>
      </x:c>
      <x:c r="I297" s="48" t="s">
        <x:v>66</x:v>
      </x:c>
      <x:c r="J297" s="48" t="s">
        <x:v>66</x:v>
      </x:c>
      <x:c r="K297" s="64"/>
      <x:c r="L297" s="64"/>
      <x:c r="M297" s="50"/>
      <x:c r="N297" s="49"/>
      <x:c r="O297" s="50"/>
      <x:c r="P297" s="50"/>
      <x:c r="Q297" s="32">
        <x:v>293</x:v>
      </x:c>
      <x:c r="R297" s="68"/>
      <x:c r="S297" s="54" t="n">
        <x:f>INDEX('Locations'!$D$6:$D$453,MATCH(B297,'Locations'!$A$6:$A$453,0))</x:f>
        <x:v>42.7280579795508</x:v>
      </x:c>
      <x:c r="T297" s="54" t="n">
        <x:f>INDEX('Locations'!$E$6:$E$453,MATCH(B297,'Locations'!$A$6:$A$453,0))</x:f>
        <x:v>-73.6799140516356</x:v>
      </x:c>
      <x:c r="U297" s="54" t="n">
        <x:f>INDEX('Locations'!$D$6:$D$453,MATCH(C297,'Locations'!$A$6:$A$453,0))</x:f>
        <x:v>42.7278798050164</x:v>
      </x:c>
      <x:c r="V297" s="69" t="n">
        <x:f>INDEX('Locations'!$E$6:$E$453,MATCH(C297,'Locations'!$A$6:$A$453,0))</x:f>
        <x:v>-73.679605274109</x:v>
      </x:c>
      <x:c r="W297" s="44"/>
    </x:row>
    <x:row r="298" ht="23" customHeight="1">
      <x:c r="A298" s="21" t="s">
        <x:v>900</x:v>
      </x:c>
      <x:c r="B298" s="45" t="s">
        <x:v>396</x:v>
      </x:c>
      <x:c r="C298" s="45" t="s">
        <x:v>395</x:v>
      </x:c>
      <x:c r="D298" s="45" t="s">
        <x:v>606</x:v>
      </x:c>
      <x:c r="E298" s="63" t="n">
        <x:f>2*6371000*ASIN(SQRT(MIN(1,SIN(RADIANS(U298-S298)/2)^2+COS(RADIANS(S298))*COS(RADIANS(U298))*SIN(RADIANS(V298-T298)/2)^2)))</x:f>
        <x:v>36.51063254508437</x:v>
      </x:c>
      <x:c r="F298" s="48" t="s">
        <x:v>67</x:v>
      </x:c>
      <x:c r="G298" s="48" t="s">
        <x:v>66</x:v>
      </x:c>
      <x:c r="H298" s="48" t="s">
        <x:v>66</x:v>
      </x:c>
      <x:c r="I298" s="48" t="s">
        <x:v>66</x:v>
      </x:c>
      <x:c r="J298" s="48" t="s">
        <x:v>66</x:v>
      </x:c>
      <x:c r="K298" s="64"/>
      <x:c r="L298" s="64"/>
      <x:c r="M298" s="50"/>
      <x:c r="N298" s="49"/>
      <x:c r="O298" s="50"/>
      <x:c r="P298" s="50"/>
      <x:c r="Q298" s="30">
        <x:v>294</x:v>
      </x:c>
      <x:c r="R298" s="65"/>
      <x:c r="S298" s="46" t="n">
        <x:f>INDEX('Locations'!$D$6:$D$453,MATCH(B298,'Locations'!$A$6:$A$453,0))</x:f>
        <x:v>42.7280832688396</x:v>
      </x:c>
      <x:c r="T298" s="46" t="n">
        <x:f>INDEX('Locations'!$E$6:$E$453,MATCH(B298,'Locations'!$A$6:$A$453,0))</x:f>
        <x:v>-73.6803597099215</x:v>
      </x:c>
      <x:c r="U298" s="46" t="n">
        <x:f>INDEX('Locations'!$D$6:$D$453,MATCH(C298,'Locations'!$A$6:$A$453,0))</x:f>
        <x:v>42.7280579795508</x:v>
      </x:c>
      <x:c r="V298" s="66" t="n">
        <x:f>INDEX('Locations'!$E$6:$E$453,MATCH(C298,'Locations'!$A$6:$A$453,0))</x:f>
        <x:v>-73.6799140516356</x:v>
      </x:c>
      <x:c r="W298" s="44"/>
    </x:row>
    <x:row r="299" ht="23" customHeight="1">
      <x:c r="A299" s="24" t="s">
        <x:v>901</x:v>
      </x:c>
      <x:c r="B299" s="53" t="s">
        <x:v>350</x:v>
      </x:c>
      <x:c r="C299" s="53" t="s">
        <x:v>396</x:v>
      </x:c>
      <x:c r="D299" s="53" t="s">
        <x:v>606</x:v>
      </x:c>
      <x:c r="E299" s="67" t="n">
        <x:f>2*6371000*ASIN(SQRT(MIN(1,SIN(RADIANS(U299-S299)/2)^2+COS(RADIANS(S299))*COS(RADIANS(U299))*SIN(RADIANS(V299-T299)/2)^2)))</x:f>
        <x:v>18.798804107533353</x:v>
      </x:c>
      <x:c r="F299" s="48" t="s">
        <x:v>67</x:v>
      </x:c>
      <x:c r="G299" s="48" t="s">
        <x:v>66</x:v>
      </x:c>
      <x:c r="H299" s="48" t="s">
        <x:v>66</x:v>
      </x:c>
      <x:c r="I299" s="48" t="s">
        <x:v>66</x:v>
      </x:c>
      <x:c r="J299" s="48" t="s">
        <x:v>66</x:v>
      </x:c>
      <x:c r="K299" s="64"/>
      <x:c r="L299" s="64"/>
      <x:c r="M299" s="50"/>
      <x:c r="N299" s="49"/>
      <x:c r="O299" s="50"/>
      <x:c r="P299" s="50"/>
      <x:c r="Q299" s="32">
        <x:v>295</x:v>
      </x:c>
      <x:c r="R299" s="68"/>
      <x:c r="S299" s="54" t="n">
        <x:f>INDEX('Locations'!$D$6:$D$453,MATCH(B299,'Locations'!$A$6:$A$453,0))</x:f>
        <x:v>42.7282419016509</x:v>
      </x:c>
      <x:c r="T299" s="54" t="n">
        <x:f>INDEX('Locations'!$E$6:$E$453,MATCH(B299,'Locations'!$A$6:$A$453,0))</x:f>
        <x:v>-73.6802801280848</x:v>
      </x:c>
      <x:c r="U299" s="54" t="n">
        <x:f>INDEX('Locations'!$D$6:$D$453,MATCH(C299,'Locations'!$A$6:$A$453,0))</x:f>
        <x:v>42.7280832688396</x:v>
      </x:c>
      <x:c r="V299" s="69" t="n">
        <x:f>INDEX('Locations'!$E$6:$E$453,MATCH(C299,'Locations'!$A$6:$A$453,0))</x:f>
        <x:v>-73.6803597099215</x:v>
      </x:c>
      <x:c r="W299" s="44"/>
    </x:row>
    <x:row r="300" ht="23" customHeight="1">
      <x:c r="A300" s="21" t="s">
        <x:v>902</x:v>
      </x:c>
      <x:c r="B300" s="45" t="s">
        <x:v>178</x:v>
      </x:c>
      <x:c r="C300" s="45" t="s">
        <x:v>396</x:v>
      </x:c>
      <x:c r="D300" s="45" t="s">
        <x:v>606</x:v>
      </x:c>
      <x:c r="E300" s="63" t="n">
        <x:f>2*6371000*ASIN(SQRT(MIN(1,SIN(RADIANS(U300-S300)/2)^2+COS(RADIANS(S300))*COS(RADIANS(U300))*SIN(RADIANS(V300-T300)/2)^2)))</x:f>
        <x:v>98.51951416467035</x:v>
      </x:c>
      <x:c r="F300" s="48" t="s">
        <x:v>67</x:v>
      </x:c>
      <x:c r="G300" s="48" t="s">
        <x:v>66</x:v>
      </x:c>
      <x:c r="H300" s="48" t="s">
        <x:v>66</x:v>
      </x:c>
      <x:c r="I300" s="48" t="s">
        <x:v>66</x:v>
      </x:c>
      <x:c r="J300" s="48" t="s">
        <x:v>66</x:v>
      </x:c>
      <x:c r="K300" s="64"/>
      <x:c r="L300" s="64"/>
      <x:c r="M300" s="50"/>
      <x:c r="N300" s="49"/>
      <x:c r="O300" s="50"/>
      <x:c r="P300" s="50"/>
      <x:c r="Q300" s="30">
        <x:v>296</x:v>
      </x:c>
      <x:c r="R300" s="65"/>
      <x:c r="S300" s="46" t="n">
        <x:f>INDEX('Locations'!$D$6:$D$453,MATCH(B300,'Locations'!$A$6:$A$453,0))</x:f>
        <x:v>42.727225286618</x:v>
      </x:c>
      <x:c r="T300" s="46" t="n">
        <x:f>INDEX('Locations'!$E$6:$E$453,MATCH(B300,'Locations'!$A$6:$A$453,0))</x:f>
        <x:v>-73.6806606651005</x:v>
      </x:c>
      <x:c r="U300" s="46" t="n">
        <x:f>INDEX('Locations'!$D$6:$D$453,MATCH(C300,'Locations'!$A$6:$A$453,0))</x:f>
        <x:v>42.7280832688396</x:v>
      </x:c>
      <x:c r="V300" s="66" t="n">
        <x:f>INDEX('Locations'!$E$6:$E$453,MATCH(C300,'Locations'!$A$6:$A$453,0))</x:f>
        <x:v>-73.6803597099215</x:v>
      </x:c>
      <x:c r="W300" s="44"/>
    </x:row>
    <x:row r="301" ht="23" customHeight="1">
      <x:c r="A301" s="24" t="s">
        <x:v>903</x:v>
      </x:c>
      <x:c r="B301" s="53" t="s">
        <x:v>397</x:v>
      </x:c>
      <x:c r="C301" s="53" t="s">
        <x:v>178</x:v>
      </x:c>
      <x:c r="D301" s="53" t="s">
        <x:v>606</x:v>
      </x:c>
      <x:c r="E301" s="67" t="n">
        <x:f>2*6371000*ASIN(SQRT(MIN(1,SIN(RADIANS(U301-S301)/2)^2+COS(RADIANS(S301))*COS(RADIANS(U301))*SIN(RADIANS(V301-T301)/2)^2)))</x:f>
        <x:v>210.747453895319</x:v>
      </x:c>
      <x:c r="F301" s="48" t="s">
        <x:v>67</x:v>
      </x:c>
      <x:c r="G301" s="48" t="s">
        <x:v>66</x:v>
      </x:c>
      <x:c r="H301" s="48" t="s">
        <x:v>66</x:v>
      </x:c>
      <x:c r="I301" s="48" t="s">
        <x:v>66</x:v>
      </x:c>
      <x:c r="J301" s="48" t="s">
        <x:v>66</x:v>
      </x:c>
      <x:c r="K301" s="64"/>
      <x:c r="L301" s="64"/>
      <x:c r="M301" s="50"/>
      <x:c r="N301" s="49"/>
      <x:c r="O301" s="50"/>
      <x:c r="P301" s="50"/>
      <x:c r="Q301" s="32">
        <x:v>297</x:v>
      </x:c>
      <x:c r="R301" s="68"/>
      <x:c r="S301" s="54" t="n">
        <x:f>INDEX('Locations'!$D$6:$D$453,MATCH(B301,'Locations'!$A$6:$A$453,0))</x:f>
        <x:v>42.7268509907693</x:v>
      </x:c>
      <x:c r="T301" s="54" t="n">
        <x:f>INDEX('Locations'!$E$6:$E$453,MATCH(B301,'Locations'!$A$6:$A$453,0))</x:f>
        <x:v>-73.6781314184922</x:v>
      </x:c>
      <x:c r="U301" s="54" t="n">
        <x:f>INDEX('Locations'!$D$6:$D$453,MATCH(C301,'Locations'!$A$6:$A$453,0))</x:f>
        <x:v>42.727225286618</x:v>
      </x:c>
      <x:c r="V301" s="69" t="n">
        <x:f>INDEX('Locations'!$E$6:$E$453,MATCH(C301,'Locations'!$A$6:$A$453,0))</x:f>
        <x:v>-73.6806606651005</x:v>
      </x:c>
      <x:c r="W301" s="44"/>
    </x:row>
    <x:row r="302" ht="23" customHeight="1">
      <x:c r="A302" s="21" t="s">
        <x:v>904</x:v>
      </x:c>
      <x:c r="B302" s="45" t="s">
        <x:v>355</x:v>
      </x:c>
      <x:c r="C302" s="45" t="s">
        <x:v>398</x:v>
      </x:c>
      <x:c r="D302" s="45" t="s">
        <x:v>606</x:v>
      </x:c>
      <x:c r="E302" s="63" t="n">
        <x:f>2*6371000*ASIN(SQRT(MIN(1,SIN(RADIANS(U302-S302)/2)^2+COS(RADIANS(S302))*COS(RADIANS(U302))*SIN(RADIANS(V302-T302)/2)^2)))</x:f>
        <x:v>20.359123609845614</x:v>
      </x:c>
      <x:c r="F302" s="48" t="s">
        <x:v>67</x:v>
      </x:c>
      <x:c r="G302" s="48" t="s">
        <x:v>66</x:v>
      </x:c>
      <x:c r="H302" s="48" t="s">
        <x:v>66</x:v>
      </x:c>
      <x:c r="I302" s="48" t="s">
        <x:v>66</x:v>
      </x:c>
      <x:c r="J302" s="48" t="s">
        <x:v>66</x:v>
      </x:c>
      <x:c r="K302" s="64"/>
      <x:c r="L302" s="64"/>
      <x:c r="M302" s="50"/>
      <x:c r="N302" s="49"/>
      <x:c r="O302" s="50"/>
      <x:c r="P302" s="50"/>
      <x:c r="Q302" s="30">
        <x:v>298</x:v>
      </x:c>
      <x:c r="R302" s="65"/>
      <x:c r="S302" s="46" t="n">
        <x:f>INDEX('Locations'!$D$6:$D$453,MATCH(B302,'Locations'!$A$6:$A$453,0))</x:f>
        <x:v>42.7271809010362</x:v>
      </x:c>
      <x:c r="T302" s="46" t="n">
        <x:f>INDEX('Locations'!$E$6:$E$453,MATCH(B302,'Locations'!$A$6:$A$453,0))</x:f>
        <x:v>-73.6773196837572</x:v>
      </x:c>
      <x:c r="U302" s="46" t="n">
        <x:f>INDEX('Locations'!$D$6:$D$453,MATCH(C302,'Locations'!$A$6:$A$453,0))</x:f>
        <x:v>42.7270579031318</x:v>
      </x:c>
      <x:c r="V302" s="66" t="n">
        <x:f>INDEX('Locations'!$E$6:$E$453,MATCH(C302,'Locations'!$A$6:$A$453,0))</x:f>
        <x:v>-73.6775043136185</x:v>
      </x:c>
      <x:c r="W302" s="44"/>
    </x:row>
    <x:row r="303" ht="23" customHeight="1">
      <x:c r="A303" s="24" t="s">
        <x:v>905</x:v>
      </x:c>
      <x:c r="B303" s="53" t="s">
        <x:v>348</x:v>
      </x:c>
      <x:c r="C303" s="53" t="s">
        <x:v>399</x:v>
      </x:c>
      <x:c r="D303" s="53" t="s">
        <x:v>606</x:v>
      </x:c>
      <x:c r="E303" s="67" t="n">
        <x:f>2*6371000*ASIN(SQRT(MIN(1,SIN(RADIANS(U303-S303)/2)^2+COS(RADIANS(S303))*COS(RADIANS(U303))*SIN(RADIANS(V303-T303)/2)^2)))</x:f>
        <x:v>36.47415033804125</x:v>
      </x:c>
      <x:c r="F303" s="48" t="s">
        <x:v>67</x:v>
      </x:c>
      <x:c r="G303" s="48" t="s">
        <x:v>66</x:v>
      </x:c>
      <x:c r="H303" s="48" t="s">
        <x:v>66</x:v>
      </x:c>
      <x:c r="I303" s="48" t="s">
        <x:v>66</x:v>
      </x:c>
      <x:c r="J303" s="48" t="s">
        <x:v>66</x:v>
      </x:c>
      <x:c r="K303" s="64"/>
      <x:c r="L303" s="64"/>
      <x:c r="M303" s="50"/>
      <x:c r="N303" s="49"/>
      <x:c r="O303" s="50"/>
      <x:c r="P303" s="50"/>
      <x:c r="Q303" s="32">
        <x:v>299</x:v>
      </x:c>
      <x:c r="R303" s="68"/>
      <x:c r="S303" s="54" t="n">
        <x:f>INDEX('Locations'!$D$6:$D$453,MATCH(B303,'Locations'!$A$6:$A$453,0))</x:f>
        <x:v>42.7274062056088</x:v>
      </x:c>
      <x:c r="T303" s="54" t="n">
        <x:f>INDEX('Locations'!$E$6:$E$453,MATCH(B303,'Locations'!$A$6:$A$453,0))</x:f>
        <x:v>-73.6780677530227</x:v>
      </x:c>
      <x:c r="U303" s="54" t="n">
        <x:f>INDEX('Locations'!$D$6:$D$453,MATCH(C303,'Locations'!$A$6:$A$453,0))</x:f>
        <x:v>42.7270785943681</x:v>
      </x:c>
      <x:c r="V303" s="69" t="n">
        <x:f>INDEX('Locations'!$E$6:$E$453,MATCH(C303,'Locations'!$A$6:$A$453,0))</x:f>
        <x:v>-73.678090035937</x:v>
      </x:c>
      <x:c r="W303" s="44"/>
    </x:row>
    <x:row r="304" ht="23" customHeight="1">
      <x:c r="A304" s="21" t="s">
        <x:v>906</x:v>
      </x:c>
      <x:c r="B304" s="45" t="s">
        <x:v>397</x:v>
      </x:c>
      <x:c r="C304" s="45" t="s">
        <x:v>399</x:v>
      </x:c>
      <x:c r="D304" s="45" t="s">
        <x:v>606</x:v>
      </x:c>
      <x:c r="E304" s="63" t="n">
        <x:f>2*6371000*ASIN(SQRT(MIN(1,SIN(RADIANS(U304-S304)/2)^2+COS(RADIANS(S304))*COS(RADIANS(U304))*SIN(RADIANS(V304-T304)/2)^2)))</x:f>
        <x:v>25.533106721568185</x:v>
      </x:c>
      <x:c r="F304" s="48" t="s">
        <x:v>67</x:v>
      </x:c>
      <x:c r="G304" s="48" t="s">
        <x:v>66</x:v>
      </x:c>
      <x:c r="H304" s="48" t="s">
        <x:v>66</x:v>
      </x:c>
      <x:c r="I304" s="48" t="s">
        <x:v>66</x:v>
      </x:c>
      <x:c r="J304" s="48" t="s">
        <x:v>66</x:v>
      </x:c>
      <x:c r="K304" s="64"/>
      <x:c r="L304" s="64"/>
      <x:c r="M304" s="50"/>
      <x:c r="N304" s="49"/>
      <x:c r="O304" s="50"/>
      <x:c r="P304" s="50"/>
      <x:c r="Q304" s="30">
        <x:v>300</x:v>
      </x:c>
      <x:c r="R304" s="65"/>
      <x:c r="S304" s="46" t="n">
        <x:f>INDEX('Locations'!$D$6:$D$453,MATCH(B304,'Locations'!$A$6:$A$453,0))</x:f>
        <x:v>42.7268509907693</x:v>
      </x:c>
      <x:c r="T304" s="46" t="n">
        <x:f>INDEX('Locations'!$E$6:$E$453,MATCH(B304,'Locations'!$A$6:$A$453,0))</x:f>
        <x:v>-73.6781314184922</x:v>
      </x:c>
      <x:c r="U304" s="46" t="n">
        <x:f>INDEX('Locations'!$D$6:$D$453,MATCH(C304,'Locations'!$A$6:$A$453,0))</x:f>
        <x:v>42.7270785943681</x:v>
      </x:c>
      <x:c r="V304" s="66" t="n">
        <x:f>INDEX('Locations'!$E$6:$E$453,MATCH(C304,'Locations'!$A$6:$A$453,0))</x:f>
        <x:v>-73.678090035937</x:v>
      </x:c>
      <x:c r="W304" s="44"/>
    </x:row>
    <x:row r="305" ht="23" customHeight="1">
      <x:c r="A305" s="24" t="s">
        <x:v>907</x:v>
      </x:c>
      <x:c r="B305" s="53" t="s">
        <x:v>398</x:v>
      </x:c>
      <x:c r="C305" s="53" t="s">
        <x:v>399</x:v>
      </x:c>
      <x:c r="D305" s="53" t="s">
        <x:v>606</x:v>
      </x:c>
      <x:c r="E305" s="67" t="n">
        <x:f>2*6371000*ASIN(SQRT(MIN(1,SIN(RADIANS(U305-S305)/2)^2+COS(RADIANS(S305))*COS(RADIANS(U305))*SIN(RADIANS(V305-T305)/2)^2)))</x:f>
        <x:v>47.89892726227315</x:v>
      </x:c>
      <x:c r="F305" s="48" t="s">
        <x:v>67</x:v>
      </x:c>
      <x:c r="G305" s="48" t="s">
        <x:v>66</x:v>
      </x:c>
      <x:c r="H305" s="48" t="s">
        <x:v>66</x:v>
      </x:c>
      <x:c r="I305" s="48" t="s">
        <x:v>66</x:v>
      </x:c>
      <x:c r="J305" s="48" t="s">
        <x:v>66</x:v>
      </x:c>
      <x:c r="K305" s="64"/>
      <x:c r="L305" s="64"/>
      <x:c r="M305" s="50"/>
      <x:c r="N305" s="49"/>
      <x:c r="O305" s="50"/>
      <x:c r="P305" s="50"/>
      <x:c r="Q305" s="32">
        <x:v>301</x:v>
      </x:c>
      <x:c r="R305" s="68"/>
      <x:c r="S305" s="54" t="n">
        <x:f>INDEX('Locations'!$D$6:$D$453,MATCH(B305,'Locations'!$A$6:$A$453,0))</x:f>
        <x:v>42.7270579031318</x:v>
      </x:c>
      <x:c r="T305" s="54" t="n">
        <x:f>INDEX('Locations'!$E$6:$E$453,MATCH(B305,'Locations'!$A$6:$A$453,0))</x:f>
        <x:v>-73.6775043136185</x:v>
      </x:c>
      <x:c r="U305" s="54" t="n">
        <x:f>INDEX('Locations'!$D$6:$D$453,MATCH(C305,'Locations'!$A$6:$A$453,0))</x:f>
        <x:v>42.7270785943681</x:v>
      </x:c>
      <x:c r="V305" s="69" t="n">
        <x:f>INDEX('Locations'!$E$6:$E$453,MATCH(C305,'Locations'!$A$6:$A$453,0))</x:f>
        <x:v>-73.678090035937</x:v>
      </x:c>
      <x:c r="W305" s="44"/>
    </x:row>
    <x:row r="306" ht="23" customHeight="1">
      <x:c r="A306" s="21" t="s">
        <x:v>908</x:v>
      </x:c>
      <x:c r="B306" s="45" t="s">
        <x:v>397</x:v>
      </x:c>
      <x:c r="C306" s="45" t="s">
        <x:v>400</x:v>
      </x:c>
      <x:c r="D306" s="45" t="s">
        <x:v>606</x:v>
      </x:c>
      <x:c r="E306" s="63" t="n">
        <x:f>2*6371000*ASIN(SQRT(MIN(1,SIN(RADIANS(U306-S306)/2)^2+COS(RADIANS(S306))*COS(RADIANS(U306))*SIN(RADIANS(V306-T306)/2)^2)))</x:f>
        <x:v>124.26408812538047</x:v>
      </x:c>
      <x:c r="F306" s="48" t="s">
        <x:v>67</x:v>
      </x:c>
      <x:c r="G306" s="48" t="s">
        <x:v>66</x:v>
      </x:c>
      <x:c r="H306" s="48" t="s">
        <x:v>66</x:v>
      </x:c>
      <x:c r="I306" s="48" t="s">
        <x:v>66</x:v>
      </x:c>
      <x:c r="J306" s="48" t="s">
        <x:v>66</x:v>
      </x:c>
      <x:c r="K306" s="64"/>
      <x:c r="L306" s="64"/>
      <x:c r="M306" s="50"/>
      <x:c r="N306" s="49"/>
      <x:c r="O306" s="50"/>
      <x:c r="P306" s="50"/>
      <x:c r="Q306" s="30">
        <x:v>302</x:v>
      </x:c>
      <x:c r="R306" s="65"/>
      <x:c r="S306" s="46" t="n">
        <x:f>INDEX('Locations'!$D$6:$D$453,MATCH(B306,'Locations'!$A$6:$A$453,0))</x:f>
        <x:v>42.7268509907693</x:v>
      </x:c>
      <x:c r="T306" s="46" t="n">
        <x:f>INDEX('Locations'!$E$6:$E$453,MATCH(B306,'Locations'!$A$6:$A$453,0))</x:f>
        <x:v>-73.6781314184922</x:v>
      </x:c>
      <x:c r="U306" s="46" t="n">
        <x:f>INDEX('Locations'!$D$6:$D$453,MATCH(C306,'Locations'!$A$6:$A$453,0))</x:f>
        <x:v>42.7257589533002</x:v>
      </x:c>
      <x:c r="V306" s="66" t="n">
        <x:f>INDEX('Locations'!$E$6:$E$453,MATCH(C306,'Locations'!$A$6:$A$453,0))</x:f>
        <x:v>-73.6784545207494</x:v>
      </x:c>
      <x:c r="W306" s="44"/>
    </x:row>
    <x:row r="307" ht="23" customHeight="1">
      <x:c r="A307" s="24" t="s">
        <x:v>909</x:v>
      </x:c>
      <x:c r="B307" s="53" t="s">
        <x:v>363</x:v>
      </x:c>
      <x:c r="C307" s="53" t="s">
        <x:v>400</x:v>
      </x:c>
      <x:c r="D307" s="53" t="s">
        <x:v>606</x:v>
      </x:c>
      <x:c r="E307" s="67" t="n">
        <x:f>2*6371000*ASIN(SQRT(MIN(1,SIN(RADIANS(U307-S307)/2)^2+COS(RADIANS(S307))*COS(RADIANS(U307))*SIN(RADIANS(V307-T307)/2)^2)))</x:f>
        <x:v>262.8804122142433</x:v>
      </x:c>
      <x:c r="F307" s="48" t="s">
        <x:v>67</x:v>
      </x:c>
      <x:c r="G307" s="48" t="s">
        <x:v>66</x:v>
      </x:c>
      <x:c r="H307" s="48" t="s">
        <x:v>66</x:v>
      </x:c>
      <x:c r="I307" s="48" t="s">
        <x:v>66</x:v>
      </x:c>
      <x:c r="J307" s="48" t="s">
        <x:v>66</x:v>
      </x:c>
      <x:c r="K307" s="64"/>
      <x:c r="L307" s="64"/>
      <x:c r="M307" s="50"/>
      <x:c r="N307" s="49"/>
      <x:c r="O307" s="50"/>
      <x:c r="P307" s="50"/>
      <x:c r="Q307" s="32">
        <x:v>303</x:v>
      </x:c>
      <x:c r="R307" s="68"/>
      <x:c r="S307" s="54" t="n">
        <x:f>INDEX('Locations'!$D$6:$D$453,MATCH(B307,'Locations'!$A$6:$A$453,0))</x:f>
        <x:v>42.7251922433294</x:v>
      </x:c>
      <x:c r="T307" s="54" t="n">
        <x:f>INDEX('Locations'!$E$6:$E$453,MATCH(B307,'Locations'!$A$6:$A$453,0))</x:f>
        <x:v>-73.6753301378381</x:v>
      </x:c>
      <x:c r="U307" s="54" t="n">
        <x:f>INDEX('Locations'!$D$6:$D$453,MATCH(C307,'Locations'!$A$6:$A$453,0))</x:f>
        <x:v>42.7257589533002</x:v>
      </x:c>
      <x:c r="V307" s="69" t="n">
        <x:f>INDEX('Locations'!$E$6:$E$453,MATCH(C307,'Locations'!$A$6:$A$453,0))</x:f>
        <x:v>-73.6784545207494</x:v>
      </x:c>
      <x:c r="W307" s="44"/>
    </x:row>
    <x:row r="308" ht="23" customHeight="1">
      <x:c r="A308" s="21" t="s">
        <x:v>910</x:v>
      </x:c>
      <x:c r="B308" s="45" t="s">
        <x:v>249</x:v>
      </x:c>
      <x:c r="C308" s="45" t="s">
        <x:v>403</x:v>
      </x:c>
      <x:c r="D308" s="45" t="s">
        <x:v>606</x:v>
      </x:c>
      <x:c r="E308" s="63" t="n">
        <x:f>2*6371000*ASIN(SQRT(MIN(1,SIN(RADIANS(U308-S308)/2)^2+COS(RADIANS(S308))*COS(RADIANS(U308))*SIN(RADIANS(V308-T308)/2)^2)))</x:f>
        <x:v>132.4240454382466</x:v>
      </x:c>
      <x:c r="F308" s="48" t="s">
        <x:v>67</x:v>
      </x:c>
      <x:c r="G308" s="48" t="s">
        <x:v>66</x:v>
      </x:c>
      <x:c r="H308" s="48" t="s">
        <x:v>66</x:v>
      </x:c>
      <x:c r="I308" s="48" t="s">
        <x:v>66</x:v>
      </x:c>
      <x:c r="J308" s="48" t="s">
        <x:v>66</x:v>
      </x:c>
      <x:c r="K308" s="64"/>
      <x:c r="L308" s="64"/>
      <x:c r="M308" s="50"/>
      <x:c r="N308" s="49"/>
      <x:c r="O308" s="50"/>
      <x:c r="P308" s="50"/>
      <x:c r="Q308" s="30">
        <x:v>304</x:v>
      </x:c>
      <x:c r="R308" s="65"/>
      <x:c r="S308" s="46" t="n">
        <x:f>INDEX('Locations'!$D$6:$D$453,MATCH(B308,'Locations'!$A$6:$A$453,0))</x:f>
        <x:v>42.7280005038946</x:v>
      </x:c>
      <x:c r="T308" s="46" t="n">
        <x:f>INDEX('Locations'!$E$6:$E$453,MATCH(B308,'Locations'!$A$6:$A$453,0))</x:f>
        <x:v>-73.6728790172658</x:v>
      </x:c>
      <x:c r="U308" s="46" t="n">
        <x:f>INDEX('Locations'!$D$6:$D$453,MATCH(C308,'Locations'!$A$6:$A$453,0))</x:f>
        <x:v>42.7268257014805</x:v>
      </x:c>
      <x:c r="V308" s="66" t="n">
        <x:f>INDEX('Locations'!$E$6:$E$453,MATCH(C308,'Locations'!$A$6:$A$453,0))</x:f>
        <x:v>-73.6731448206006</x:v>
      </x:c>
      <x:c r="W308" s="44"/>
    </x:row>
    <x:row r="309" ht="23" customHeight="1">
      <x:c r="A309" s="24" t="s">
        <x:v>911</x:v>
      </x:c>
      <x:c r="B309" s="53" t="s">
        <x:v>402</x:v>
      </x:c>
      <x:c r="C309" s="53" t="s">
        <x:v>403</x:v>
      </x:c>
      <x:c r="D309" s="53" t="s">
        <x:v>606</x:v>
      </x:c>
      <x:c r="E309" s="67" t="n">
        <x:f>2*6371000*ASIN(SQRT(MIN(1,SIN(RADIANS(U309-S309)/2)^2+COS(RADIANS(S309))*COS(RADIANS(U309))*SIN(RADIANS(V309-T309)/2)^2)))</x:f>
        <x:v>31.311865140348946</x:v>
      </x:c>
      <x:c r="F309" s="48" t="s">
        <x:v>67</x:v>
      </x:c>
      <x:c r="G309" s="48" t="s">
        <x:v>66</x:v>
      </x:c>
      <x:c r="H309" s="48" t="s">
        <x:v>66</x:v>
      </x:c>
      <x:c r="I309" s="48" t="s">
        <x:v>66</x:v>
      </x:c>
      <x:c r="J309" s="48" t="s">
        <x:v>66</x:v>
      </x:c>
      <x:c r="K309" s="64"/>
      <x:c r="L309" s="64"/>
      <x:c r="M309" s="50"/>
      <x:c r="N309" s="49"/>
      <x:c r="O309" s="50"/>
      <x:c r="P309" s="50"/>
      <x:c r="Q309" s="32">
        <x:v>305</x:v>
      </x:c>
      <x:c r="R309" s="68"/>
      <x:c r="S309" s="54" t="n">
        <x:f>INDEX('Locations'!$D$6:$D$453,MATCH(B309,'Locations'!$A$6:$A$453,0))</x:f>
        <x:v>42.7268969712943</x:v>
      </x:c>
      <x:c r="T309" s="54" t="n">
        <x:f>INDEX('Locations'!$E$6:$E$453,MATCH(B309,'Locations'!$A$6:$A$453,0))</x:f>
        <x:v>-73.6735156719599</x:v>
      </x:c>
      <x:c r="U309" s="54" t="n">
        <x:f>INDEX('Locations'!$D$6:$D$453,MATCH(C309,'Locations'!$A$6:$A$453,0))</x:f>
        <x:v>42.7268257014805</x:v>
      </x:c>
      <x:c r="V309" s="69" t="n">
        <x:f>INDEX('Locations'!$E$6:$E$453,MATCH(C309,'Locations'!$A$6:$A$453,0))</x:f>
        <x:v>-73.6731448206006</x:v>
      </x:c>
      <x:c r="W309" s="44"/>
    </x:row>
    <x:row r="310" ht="23" customHeight="1">
      <x:c r="A310" s="21" t="s">
        <x:v>912</x:v>
      </x:c>
      <x:c r="B310" s="45" t="s">
        <x:v>401</x:v>
      </x:c>
      <x:c r="C310" s="45" t="s">
        <x:v>403</x:v>
      </x:c>
      <x:c r="D310" s="45" t="s">
        <x:v>606</x:v>
      </x:c>
      <x:c r="E310" s="63" t="n">
        <x:f>2*6371000*ASIN(SQRT(MIN(1,SIN(RADIANS(U310-S310)/2)^2+COS(RADIANS(S310))*COS(RADIANS(U310))*SIN(RADIANS(V310-T310)/2)^2)))</x:f>
        <x:v>219.66288568717098</x:v>
      </x:c>
      <x:c r="F310" s="48" t="s">
        <x:v>67</x:v>
      </x:c>
      <x:c r="G310" s="48" t="s">
        <x:v>66</x:v>
      </x:c>
      <x:c r="H310" s="48" t="s">
        <x:v>66</x:v>
      </x:c>
      <x:c r="I310" s="48" t="s">
        <x:v>66</x:v>
      </x:c>
      <x:c r="J310" s="48" t="s">
        <x:v>66</x:v>
      </x:c>
      <x:c r="K310" s="64"/>
      <x:c r="L310" s="64"/>
      <x:c r="M310" s="50"/>
      <x:c r="N310" s="49"/>
      <x:c r="O310" s="50"/>
      <x:c r="P310" s="50"/>
      <x:c r="Q310" s="30">
        <x:v>306</x:v>
      </x:c>
      <x:c r="R310" s="65"/>
      <x:c r="S310" s="46" t="n">
        <x:f>INDEX('Locations'!$D$6:$D$453,MATCH(B310,'Locations'!$A$6:$A$453,0))</x:f>
        <x:v>42.7248899213775</x:v>
      </x:c>
      <x:c r="T310" s="46" t="n">
        <x:f>INDEX('Locations'!$E$6:$E$453,MATCH(B310,'Locations'!$A$6:$A$453,0))</x:f>
        <x:v>-73.6736812021804</x:v>
      </x:c>
      <x:c r="U310" s="46" t="n">
        <x:f>INDEX('Locations'!$D$6:$D$453,MATCH(C310,'Locations'!$A$6:$A$453,0))</x:f>
        <x:v>42.7268257014805</x:v>
      </x:c>
      <x:c r="V310" s="66" t="n">
        <x:f>INDEX('Locations'!$E$6:$E$453,MATCH(C310,'Locations'!$A$6:$A$453,0))</x:f>
        <x:v>-73.6731448206006</x:v>
      </x:c>
      <x:c r="W310" s="44"/>
    </x:row>
    <x:row r="311" ht="23" customHeight="1">
      <x:c r="A311" s="24" t="s">
        <x:v>913</x:v>
      </x:c>
      <x:c r="B311" s="53" t="s">
        <x:v>363</x:v>
      </x:c>
      <x:c r="C311" s="53" t="s">
        <x:v>401</x:v>
      </x:c>
      <x:c r="D311" s="53" t="s">
        <x:v>606</x:v>
      </x:c>
      <x:c r="E311" s="67" t="n">
        <x:f>2*6371000*ASIN(SQRT(MIN(1,SIN(RADIANS(U311-S311)/2)^2+COS(RADIANS(S311))*COS(RADIANS(U311))*SIN(RADIANS(V311-T311)/2)^2)))</x:f>
        <x:v>138.82624945755813</x:v>
      </x:c>
      <x:c r="F311" s="48" t="s">
        <x:v>67</x:v>
      </x:c>
      <x:c r="G311" s="48" t="s">
        <x:v>66</x:v>
      </x:c>
      <x:c r="H311" s="48" t="s">
        <x:v>66</x:v>
      </x:c>
      <x:c r="I311" s="48" t="s">
        <x:v>66</x:v>
      </x:c>
      <x:c r="J311" s="48" t="s">
        <x:v>66</x:v>
      </x:c>
      <x:c r="K311" s="64"/>
      <x:c r="L311" s="64"/>
      <x:c r="M311" s="50"/>
      <x:c r="N311" s="49"/>
      <x:c r="O311" s="50"/>
      <x:c r="P311" s="50"/>
      <x:c r="Q311" s="32">
        <x:v>307</x:v>
      </x:c>
      <x:c r="R311" s="68"/>
      <x:c r="S311" s="54" t="n">
        <x:f>INDEX('Locations'!$D$6:$D$453,MATCH(B311,'Locations'!$A$6:$A$453,0))</x:f>
        <x:v>42.7251922433294</x:v>
      </x:c>
      <x:c r="T311" s="54" t="n">
        <x:f>INDEX('Locations'!$E$6:$E$453,MATCH(B311,'Locations'!$A$6:$A$453,0))</x:f>
        <x:v>-73.6753301378381</x:v>
      </x:c>
      <x:c r="U311" s="54" t="n">
        <x:f>INDEX('Locations'!$D$6:$D$453,MATCH(C311,'Locations'!$A$6:$A$453,0))</x:f>
        <x:v>42.7248899213775</x:v>
      </x:c>
      <x:c r="V311" s="69" t="n">
        <x:f>INDEX('Locations'!$E$6:$E$453,MATCH(C311,'Locations'!$A$6:$A$453,0))</x:f>
        <x:v>-73.6736812021804</x:v>
      </x:c>
      <x:c r="W311" s="44"/>
    </x:row>
    <x:row r="312" ht="23" customHeight="1">
      <x:c r="A312" s="21" t="s">
        <x:v>914</x:v>
      </x:c>
      <x:c r="B312" s="45" t="s">
        <x:v>260</x:v>
      </x:c>
      <x:c r="C312" s="45" t="s">
        <x:v>404</x:v>
      </x:c>
      <x:c r="D312" s="45" t="s">
        <x:v>606</x:v>
      </x:c>
      <x:c r="E312" s="63" t="n">
        <x:f>2*6371000*ASIN(SQRT(MIN(1,SIN(RADIANS(U312-S312)/2)^2+COS(RADIANS(S312))*COS(RADIANS(U312))*SIN(RADIANS(V312-T312)/2)^2)))</x:f>
        <x:v>33.888856214388845</x:v>
      </x:c>
      <x:c r="F312" s="48" t="s">
        <x:v>67</x:v>
      </x:c>
      <x:c r="G312" s="48" t="s">
        <x:v>66</x:v>
      </x:c>
      <x:c r="H312" s="48" t="s">
        <x:v>66</x:v>
      </x:c>
      <x:c r="I312" s="48" t="s">
        <x:v>66</x:v>
      </x:c>
      <x:c r="J312" s="48" t="s">
        <x:v>66</x:v>
      </x:c>
      <x:c r="K312" s="64"/>
      <x:c r="L312" s="64"/>
      <x:c r="M312" s="50"/>
      <x:c r="N312" s="49"/>
      <x:c r="O312" s="50"/>
      <x:c r="P312" s="50"/>
      <x:c r="Q312" s="30">
        <x:v>308</x:v>
      </x:c>
      <x:c r="R312" s="65"/>
      <x:c r="S312" s="46" t="n">
        <x:f>INDEX('Locations'!$D$6:$D$453,MATCH(B312,'Locations'!$A$6:$A$453,0))</x:f>
        <x:v>42.7271429671031</x:v>
      </x:c>
      <x:c r="T312" s="46" t="n">
        <x:f>INDEX('Locations'!$E$6:$E$453,MATCH(B312,'Locations'!$A$6:$A$453,0))</x:f>
        <x:v>-73.6742860241398</x:v>
      </x:c>
      <x:c r="U312" s="46" t="n">
        <x:f>INDEX('Locations'!$D$6:$D$453,MATCH(C312,'Locations'!$A$6:$A$453,0))</x:f>
        <x:v>42.7268889247024</x:v>
      </x:c>
      <x:c r="V312" s="66" t="n">
        <x:f>INDEX('Locations'!$E$6:$E$453,MATCH(C312,'Locations'!$A$6:$A$453,0))</x:f>
        <x:v>-73.6740568284499</x:v>
      </x:c>
      <x:c r="W312" s="44"/>
    </x:row>
    <x:row r="313" ht="23" customHeight="1">
      <x:c r="A313" s="24" t="s">
        <x:v>915</x:v>
      </x:c>
      <x:c r="B313" s="53" t="s">
        <x:v>360</x:v>
      </x:c>
      <x:c r="C313" s="53" t="s">
        <x:v>405</x:v>
      </x:c>
      <x:c r="D313" s="53" t="s">
        <x:v>606</x:v>
      </x:c>
      <x:c r="E313" s="67" t="n">
        <x:f>2*6371000*ASIN(SQRT(MIN(1,SIN(RADIANS(U313-S313)/2)^2+COS(RADIANS(S313))*COS(RADIANS(U313))*SIN(RADIANS(V313-T313)/2)^2)))</x:f>
        <x:v>83.34326784954395</x:v>
      </x:c>
      <x:c r="F313" s="48" t="s">
        <x:v>67</x:v>
      </x:c>
      <x:c r="G313" s="48" t="s">
        <x:v>66</x:v>
      </x:c>
      <x:c r="H313" s="48" t="s">
        <x:v>66</x:v>
      </x:c>
      <x:c r="I313" s="48" t="s">
        <x:v>66</x:v>
      </x:c>
      <x:c r="J313" s="48" t="s">
        <x:v>66</x:v>
      </x:c>
      <x:c r="K313" s="64"/>
      <x:c r="L313" s="64"/>
      <x:c r="M313" s="50"/>
      <x:c r="N313" s="49"/>
      <x:c r="O313" s="50"/>
      <x:c r="P313" s="50"/>
      <x:c r="Q313" s="32">
        <x:v>309</x:v>
      </x:c>
      <x:c r="R313" s="68"/>
      <x:c r="S313" s="54" t="n">
        <x:f>INDEX('Locations'!$D$6:$D$453,MATCH(B313,'Locations'!$A$6:$A$453,0))</x:f>
        <x:v>42.7270199691987</x:v>
      </x:c>
      <x:c r="T313" s="54" t="n">
        <x:f>INDEX('Locations'!$E$6:$E$453,MATCH(B313,'Locations'!$A$6:$A$453,0))</x:f>
        <x:v>-73.6753540123891</x:v>
      </x:c>
      <x:c r="U313" s="54" t="n">
        <x:f>INDEX('Locations'!$D$6:$D$453,MATCH(C313,'Locations'!$A$6:$A$453,0))</x:f>
        <x:v>42.7268532897955</x:v>
      </x:c>
      <x:c r="V313" s="69" t="n">
        <x:f>INDEX('Locations'!$E$6:$E$453,MATCH(C313,'Locations'!$A$6:$A$453,0))</x:f>
        <x:v>-73.6743592394296</x:v>
      </x:c>
      <x:c r="W313" s="44"/>
    </x:row>
    <x:row r="314" ht="23" customHeight="1">
      <x:c r="A314" s="21" t="s">
        <x:v>916</x:v>
      </x:c>
      <x:c r="B314" s="45" t="s">
        <x:v>404</x:v>
      </x:c>
      <x:c r="C314" s="45" t="s">
        <x:v>405</x:v>
      </x:c>
      <x:c r="D314" s="45" t="s">
        <x:v>606</x:v>
      </x:c>
      <x:c r="E314" s="63" t="n">
        <x:f>2*6371000*ASIN(SQRT(MIN(1,SIN(RADIANS(U314-S314)/2)^2+COS(RADIANS(S314))*COS(RADIANS(U314))*SIN(RADIANS(V314-T314)/2)^2)))</x:f>
        <x:v>25.01774289873147</x:v>
      </x:c>
      <x:c r="F314" s="48" t="s">
        <x:v>67</x:v>
      </x:c>
      <x:c r="G314" s="48" t="s">
        <x:v>66</x:v>
      </x:c>
      <x:c r="H314" s="48" t="s">
        <x:v>66</x:v>
      </x:c>
      <x:c r="I314" s="48" t="s">
        <x:v>66</x:v>
      </x:c>
      <x:c r="J314" s="48" t="s">
        <x:v>66</x:v>
      </x:c>
      <x:c r="K314" s="64"/>
      <x:c r="L314" s="64"/>
      <x:c r="M314" s="50"/>
      <x:c r="N314" s="49"/>
      <x:c r="O314" s="50"/>
      <x:c r="P314" s="50"/>
      <x:c r="Q314" s="30">
        <x:v>310</x:v>
      </x:c>
      <x:c r="R314" s="65"/>
      <x:c r="S314" s="46" t="n">
        <x:f>INDEX('Locations'!$D$6:$D$453,MATCH(B314,'Locations'!$A$6:$A$453,0))</x:f>
        <x:v>42.7268889247024</x:v>
      </x:c>
      <x:c r="T314" s="46" t="n">
        <x:f>INDEX('Locations'!$E$6:$E$453,MATCH(B314,'Locations'!$A$6:$A$453,0))</x:f>
        <x:v>-73.6740568284499</x:v>
      </x:c>
      <x:c r="U314" s="46" t="n">
        <x:f>INDEX('Locations'!$D$6:$D$453,MATCH(C314,'Locations'!$A$6:$A$453,0))</x:f>
        <x:v>42.7268532897955</x:v>
      </x:c>
      <x:c r="V314" s="66" t="n">
        <x:f>INDEX('Locations'!$E$6:$E$453,MATCH(C314,'Locations'!$A$6:$A$453,0))</x:f>
        <x:v>-73.6743592394296</x:v>
      </x:c>
      <x:c r="W314" s="44"/>
    </x:row>
    <x:row r="315" ht="23" customHeight="1">
      <x:c r="A315" s="24" t="s">
        <x:v>917</x:v>
      </x:c>
      <x:c r="B315" s="53" t="s">
        <x:v>255</x:v>
      </x:c>
      <x:c r="C315" s="53" t="s">
        <x:v>409</x:v>
      </x:c>
      <x:c r="D315" s="53" t="s">
        <x:v>606</x:v>
      </x:c>
      <x:c r="E315" s="67" t="n">
        <x:f>2*6371000*ASIN(SQRT(MIN(1,SIN(RADIANS(U315-S315)/2)^2+COS(RADIANS(S315))*COS(RADIANS(U315))*SIN(RADIANS(V315-T315)/2)^2)))</x:f>
        <x:v>8.30428712272773</x:v>
      </x:c>
      <x:c r="F315" s="48" t="s">
        <x:v>67</x:v>
      </x:c>
      <x:c r="G315" s="48" t="s">
        <x:v>66</x:v>
      </x:c>
      <x:c r="H315" s="48" t="s">
        <x:v>66</x:v>
      </x:c>
      <x:c r="I315" s="48" t="s">
        <x:v>66</x:v>
      </x:c>
      <x:c r="J315" s="48" t="s">
        <x:v>66</x:v>
      </x:c>
      <x:c r="K315" s="64"/>
      <x:c r="L315" s="64"/>
      <x:c r="M315" s="50"/>
      <x:c r="N315" s="49"/>
      <x:c r="O315" s="50"/>
      <x:c r="P315" s="50"/>
      <x:c r="Q315" s="32">
        <x:v>311</x:v>
      </x:c>
      <x:c r="R315" s="68"/>
      <x:c r="S315" s="54" t="n">
        <x:f>INDEX('Locations'!$D$6:$D$453,MATCH(B315,'Locations'!$A$6:$A$453,0))</x:f>
        <x:v>42.7279165894364</x:v>
      </x:c>
      <x:c r="T315" s="54" t="n">
        <x:f>INDEX('Locations'!$E$6:$E$453,MATCH(B315,'Locations'!$A$6:$A$453,0))</x:f>
        <x:v>-73.6747030329644</x:v>
      </x:c>
      <x:c r="U315" s="54" t="n">
        <x:f>INDEX('Locations'!$D$6:$D$453,MATCH(C315,'Locations'!$A$6:$A$453,0))</x:f>
        <x:v>42.7278533662145</x:v>
      </x:c>
      <x:c r="V315" s="69" t="n">
        <x:f>INDEX('Locations'!$E$6:$E$453,MATCH(C315,'Locations'!$A$6:$A$453,0))</x:f>
        <x:v>-73.6746489173154</x:v>
      </x:c>
      <x:c r="W315" s="44"/>
    </x:row>
    <x:row r="316" ht="23" customHeight="1">
      <x:c r="A316" s="21" t="s">
        <x:v>918</x:v>
      </x:c>
      <x:c r="B316" s="45" t="s">
        <x:v>407</x:v>
      </x:c>
      <x:c r="C316" s="45" t="s">
        <x:v>409</x:v>
      </x:c>
      <x:c r="D316" s="45" t="s">
        <x:v>606</x:v>
      </x:c>
      <x:c r="E316" s="63" t="n">
        <x:f>2*6371000*ASIN(SQRT(MIN(1,SIN(RADIANS(U316-S316)/2)^2+COS(RADIANS(S316))*COS(RADIANS(U316))*SIN(RADIANS(V316-T316)/2)^2)))</x:f>
        <x:v>75.4814146227005</x:v>
      </x:c>
      <x:c r="F316" s="48" t="s">
        <x:v>67</x:v>
      </x:c>
      <x:c r="G316" s="48" t="s">
        <x:v>66</x:v>
      </x:c>
      <x:c r="H316" s="48" t="s">
        <x:v>66</x:v>
      </x:c>
      <x:c r="I316" s="48" t="s">
        <x:v>66</x:v>
      </x:c>
      <x:c r="J316" s="48" t="s">
        <x:v>66</x:v>
      </x:c>
      <x:c r="K316" s="64"/>
      <x:c r="L316" s="64"/>
      <x:c r="M316" s="50"/>
      <x:c r="N316" s="49"/>
      <x:c r="O316" s="50"/>
      <x:c r="P316" s="50"/>
      <x:c r="Q316" s="30">
        <x:v>312</x:v>
      </x:c>
      <x:c r="R316" s="65"/>
      <x:c r="S316" s="46" t="n">
        <x:f>INDEX('Locations'!$D$6:$D$453,MATCH(B316,'Locations'!$A$6:$A$453,0))</x:f>
        <x:v>42.7275981743007</x:v>
      </x:c>
      <x:c r="T316" s="46" t="n">
        <x:f>INDEX('Locations'!$E$6:$E$453,MATCH(B316,'Locations'!$A$6:$A$453,0))</x:f>
        <x:v>-73.675505217879</x:v>
      </x:c>
      <x:c r="U316" s="46" t="n">
        <x:f>INDEX('Locations'!$D$6:$D$453,MATCH(C316,'Locations'!$A$6:$A$453,0))</x:f>
        <x:v>42.7278533662145</x:v>
      </x:c>
      <x:c r="V316" s="66" t="n">
        <x:f>INDEX('Locations'!$E$6:$E$453,MATCH(C316,'Locations'!$A$6:$A$453,0))</x:f>
        <x:v>-73.6746489173154</x:v>
      </x:c>
      <x:c r="W316" s="44"/>
    </x:row>
    <x:row r="317" ht="23" customHeight="1">
      <x:c r="A317" s="24" t="s">
        <x:v>919</x:v>
      </x:c>
      <x:c r="B317" s="53" t="s">
        <x:v>258</x:v>
      </x:c>
      <x:c r="C317" s="53" t="s">
        <x:v>409</x:v>
      </x:c>
      <x:c r="D317" s="53" t="s">
        <x:v>606</x:v>
      </x:c>
      <x:c r="E317" s="67" t="n">
        <x:f>2*6371000*ASIN(SQRT(MIN(1,SIN(RADIANS(U317-S317)/2)^2+COS(RADIANS(S317))*COS(RADIANS(U317))*SIN(RADIANS(V317-T317)/2)^2)))</x:f>
        <x:v>45.70573471580597</x:v>
      </x:c>
      <x:c r="F317" s="48" t="s">
        <x:v>67</x:v>
      </x:c>
      <x:c r="G317" s="48" t="s">
        <x:v>66</x:v>
      </x:c>
      <x:c r="H317" s="48" t="s">
        <x:v>66</x:v>
      </x:c>
      <x:c r="I317" s="48" t="s">
        <x:v>66</x:v>
      </x:c>
      <x:c r="J317" s="48" t="s">
        <x:v>66</x:v>
      </x:c>
      <x:c r="K317" s="64"/>
      <x:c r="L317" s="64"/>
      <x:c r="M317" s="50"/>
      <x:c r="N317" s="49"/>
      <x:c r="O317" s="50"/>
      <x:c r="P317" s="50"/>
      <x:c r="Q317" s="32">
        <x:v>313</x:v>
      </x:c>
      <x:c r="R317" s="68"/>
      <x:c r="S317" s="54" t="n">
        <x:f>INDEX('Locations'!$D$6:$D$453,MATCH(B317,'Locations'!$A$6:$A$453,0))</x:f>
        <x:v>42.7274441395419</x:v>
      </x:c>
      <x:c r="T317" s="54" t="n">
        <x:f>INDEX('Locations'!$E$6:$E$453,MATCH(B317,'Locations'!$A$6:$A$453,0))</x:f>
        <x:v>-73.6747014413277</x:v>
      </x:c>
      <x:c r="U317" s="54" t="n">
        <x:f>INDEX('Locations'!$D$6:$D$453,MATCH(C317,'Locations'!$A$6:$A$453,0))</x:f>
        <x:v>42.7278533662145</x:v>
      </x:c>
      <x:c r="V317" s="69" t="n">
        <x:f>INDEX('Locations'!$E$6:$E$453,MATCH(C317,'Locations'!$A$6:$A$453,0))</x:f>
        <x:v>-73.6746489173154</x:v>
      </x:c>
      <x:c r="W317" s="44"/>
    </x:row>
    <x:row r="318" ht="23" customHeight="1">
      <x:c r="A318" s="21" t="s">
        <x:v>920</x:v>
      </x:c>
      <x:c r="B318" s="45" t="s">
        <x:v>407</x:v>
      </x:c>
      <x:c r="C318" s="45" t="s">
        <x:v>408</x:v>
      </x:c>
      <x:c r="D318" s="45" t="s">
        <x:v>606</x:v>
      </x:c>
      <x:c r="E318" s="63" t="n">
        <x:f>2*6371000*ASIN(SQRT(MIN(1,SIN(RADIANS(U318-S318)/2)^2+COS(RADIANS(S318))*COS(RADIANS(U318))*SIN(RADIANS(V318-T318)/2)^2)))</x:f>
        <x:v>60.30007572971053</x:v>
      </x:c>
      <x:c r="F318" s="48" t="s">
        <x:v>67</x:v>
      </x:c>
      <x:c r="G318" s="48" t="s">
        <x:v>66</x:v>
      </x:c>
      <x:c r="H318" s="48" t="s">
        <x:v>66</x:v>
      </x:c>
      <x:c r="I318" s="48" t="s">
        <x:v>66</x:v>
      </x:c>
      <x:c r="J318" s="48" t="s">
        <x:v>66</x:v>
      </x:c>
      <x:c r="K318" s="64"/>
      <x:c r="L318" s="64"/>
      <x:c r="M318" s="50"/>
      <x:c r="N318" s="49"/>
      <x:c r="O318" s="50"/>
      <x:c r="P318" s="50"/>
      <x:c r="Q318" s="30">
        <x:v>314</x:v>
      </x:c>
      <x:c r="R318" s="65"/>
      <x:c r="S318" s="46" t="n">
        <x:f>INDEX('Locations'!$D$6:$D$453,MATCH(B318,'Locations'!$A$6:$A$453,0))</x:f>
        <x:v>42.7275981743007</x:v>
      </x:c>
      <x:c r="T318" s="46" t="n">
        <x:f>INDEX('Locations'!$E$6:$E$453,MATCH(B318,'Locations'!$A$6:$A$453,0))</x:f>
        <x:v>-73.675505217879</x:v>
      </x:c>
      <x:c r="U318" s="46" t="n">
        <x:f>INDEX('Locations'!$D$6:$D$453,MATCH(C318,'Locations'!$A$6:$A$453,0))</x:f>
        <x:v>42.7270579031318</x:v>
      </x:c>
      <x:c r="V318" s="66" t="n">
        <x:f>INDEX('Locations'!$E$6:$E$453,MATCH(C318,'Locations'!$A$6:$A$453,0))</x:f>
        <x:v>-73.6755688833484</x:v>
      </x:c>
      <x:c r="W318" s="44"/>
    </x:row>
    <x:row r="319" ht="23" customHeight="1">
      <x:c r="A319" s="24" t="s">
        <x:v>921</x:v>
      </x:c>
      <x:c r="B319" s="53" t="s">
        <x:v>360</x:v>
      </x:c>
      <x:c r="C319" s="53" t="s">
        <x:v>408</x:v>
      </x:c>
      <x:c r="D319" s="53" t="s">
        <x:v>606</x:v>
      </x:c>
      <x:c r="E319" s="67" t="n">
        <x:f>2*6371000*ASIN(SQRT(MIN(1,SIN(RADIANS(U319-S319)/2)^2+COS(RADIANS(S319))*COS(RADIANS(U319))*SIN(RADIANS(V319-T319)/2)^2)))</x:f>
        <x:v>18.05108528820988</x:v>
      </x:c>
      <x:c r="F319" s="48" t="s">
        <x:v>67</x:v>
      </x:c>
      <x:c r="G319" s="48" t="s">
        <x:v>66</x:v>
      </x:c>
      <x:c r="H319" s="48" t="s">
        <x:v>66</x:v>
      </x:c>
      <x:c r="I319" s="48" t="s">
        <x:v>66</x:v>
      </x:c>
      <x:c r="J319" s="48" t="s">
        <x:v>66</x:v>
      </x:c>
      <x:c r="K319" s="64"/>
      <x:c r="L319" s="64"/>
      <x:c r="M319" s="50"/>
      <x:c r="N319" s="49"/>
      <x:c r="O319" s="50"/>
      <x:c r="P319" s="50"/>
      <x:c r="Q319" s="32">
        <x:v>315</x:v>
      </x:c>
      <x:c r="R319" s="68"/>
      <x:c r="S319" s="54" t="n">
        <x:f>INDEX('Locations'!$D$6:$D$453,MATCH(B319,'Locations'!$A$6:$A$453,0))</x:f>
        <x:v>42.7270199691987</x:v>
      </x:c>
      <x:c r="T319" s="54" t="n">
        <x:f>INDEX('Locations'!$E$6:$E$453,MATCH(B319,'Locations'!$A$6:$A$453,0))</x:f>
        <x:v>-73.6753540123891</x:v>
      </x:c>
      <x:c r="U319" s="54" t="n">
        <x:f>INDEX('Locations'!$D$6:$D$453,MATCH(C319,'Locations'!$A$6:$A$453,0))</x:f>
        <x:v>42.7270579031318</x:v>
      </x:c>
      <x:c r="V319" s="69" t="n">
        <x:f>INDEX('Locations'!$E$6:$E$453,MATCH(C319,'Locations'!$A$6:$A$453,0))</x:f>
        <x:v>-73.6755688833484</x:v>
      </x:c>
      <x:c r="W319" s="44"/>
    </x:row>
    <x:row r="320" ht="23" customHeight="1">
      <x:c r="A320" s="21" t="s">
        <x:v>922</x:v>
      </x:c>
      <x:c r="B320" s="45" t="s">
        <x:v>410</x:v>
      </x:c>
      <x:c r="C320" s="45" t="s">
        <x:v>407</x:v>
      </x:c>
      <x:c r="D320" s="45" t="s">
        <x:v>661</x:v>
      </x:c>
      <x:c r="E320" s="63" t="n">
        <x:f>2*6371000*ASIN(SQRT(MIN(1,SIN(RADIANS(U320-S320)/2)^2+COS(RADIANS(S320))*COS(RADIANS(U320))*SIN(RADIANS(V320-T320)/2)^2)))</x:f>
        <x:v>31.135151467440515</x:v>
      </x:c>
      <x:c r="F320" s="48" t="s">
        <x:v>67</x:v>
      </x:c>
      <x:c r="G320" s="48" t="s">
        <x:v>66</x:v>
      </x:c>
      <x:c r="H320" s="48" t="s">
        <x:v>66</x:v>
      </x:c>
      <x:c r="I320" s="48" t="s">
        <x:v>66</x:v>
      </x:c>
      <x:c r="J320" s="48" t="s">
        <x:v>66</x:v>
      </x:c>
      <x:c r="K320" s="64"/>
      <x:c r="L320" s="64"/>
      <x:c r="M320" s="50"/>
      <x:c r="N320" s="49"/>
      <x:c r="O320" s="50"/>
      <x:c r="P320" s="50"/>
      <x:c r="Q320" s="30">
        <x:v>316</x:v>
      </x:c>
      <x:c r="R320" s="65"/>
      <x:c r="S320" s="46" t="n">
        <x:f>INDEX('Locations'!$D$6:$D$453,MATCH(B320,'Locations'!$A$6:$A$453,0))</x:f>
        <x:v>42.7276384072601</x:v>
      </x:c>
      <x:c r="T320" s="46" t="n">
        <x:f>INDEX('Locations'!$E$6:$E$453,MATCH(B320,'Locations'!$A$6:$A$453,0))</x:f>
        <x:v>-73.6758824357852</x:v>
      </x:c>
      <x:c r="U320" s="46" t="n">
        <x:f>INDEX('Locations'!$D$6:$D$453,MATCH(C320,'Locations'!$A$6:$A$453,0))</x:f>
        <x:v>42.7275981743007</x:v>
      </x:c>
      <x:c r="V320" s="66" t="n">
        <x:f>INDEX('Locations'!$E$6:$E$453,MATCH(C320,'Locations'!$A$6:$A$453,0))</x:f>
        <x:v>-73.675505217879</x:v>
      </x:c>
      <x:c r="W320" s="44"/>
    </x:row>
    <x:row r="321" ht="23" customHeight="1">
      <x:c r="A321" s="24" t="s">
        <x:v>923</x:v>
      </x:c>
      <x:c r="B321" s="53" t="s">
        <x:v>410</x:v>
      </x:c>
      <x:c r="C321" s="53" t="s">
        <x:v>406</x:v>
      </x:c>
      <x:c r="D321" s="53" t="s">
        <x:v>606</x:v>
      </x:c>
      <x:c r="E321" s="67" t="n">
        <x:f>2*6371000*ASIN(SQRT(MIN(1,SIN(RADIANS(U321-S321)/2)^2+COS(RADIANS(S321))*COS(RADIANS(U321))*SIN(RADIANS(V321-T321)/2)^2)))</x:f>
        <x:v>76.86629408245462</x:v>
      </x:c>
      <x:c r="F321" s="48" t="s">
        <x:v>67</x:v>
      </x:c>
      <x:c r="G321" s="48" t="s">
        <x:v>66</x:v>
      </x:c>
      <x:c r="H321" s="48" t="s">
        <x:v>66</x:v>
      </x:c>
      <x:c r="I321" s="48" t="s">
        <x:v>66</x:v>
      </x:c>
      <x:c r="J321" s="48" t="s">
        <x:v>66</x:v>
      </x:c>
      <x:c r="K321" s="64"/>
      <x:c r="L321" s="64"/>
      <x:c r="M321" s="50"/>
      <x:c r="N321" s="49"/>
      <x:c r="O321" s="50"/>
      <x:c r="P321" s="50"/>
      <x:c r="Q321" s="32">
        <x:v>317</x:v>
      </x:c>
      <x:c r="R321" s="68"/>
      <x:c r="S321" s="54" t="n">
        <x:f>INDEX('Locations'!$D$6:$D$453,MATCH(B321,'Locations'!$A$6:$A$453,0))</x:f>
        <x:v>42.7276384072601</x:v>
      </x:c>
      <x:c r="T321" s="54" t="n">
        <x:f>INDEX('Locations'!$E$6:$E$453,MATCH(B321,'Locations'!$A$6:$A$453,0))</x:f>
        <x:v>-73.6758824357852</x:v>
      </x:c>
      <x:c r="U321" s="54" t="n">
        <x:f>INDEX('Locations'!$D$6:$D$453,MATCH(C321,'Locations'!$A$6:$A$453,0))</x:f>
        <x:v>42.7282901812021</x:v>
      </x:c>
      <x:c r="V321" s="69" t="n">
        <x:f>INDEX('Locations'!$E$6:$E$453,MATCH(C321,'Locations'!$A$6:$A$453,0))</x:f>
        <x:v>-73.6761959882221</x:v>
      </x:c>
      <x:c r="W321" s="44"/>
    </x:row>
    <x:row r="322" ht="23" customHeight="1">
      <x:c r="A322" s="21" t="s">
        <x:v>924</x:v>
      </x:c>
      <x:c r="B322" s="45" t="s">
        <x:v>343</x:v>
      </x:c>
      <x:c r="C322" s="45" t="s">
        <x:v>406</x:v>
      </x:c>
      <x:c r="D322" s="45" t="s">
        <x:v>606</x:v>
      </x:c>
      <x:c r="E322" s="63" t="n">
        <x:f>2*6371000*ASIN(SQRT(MIN(1,SIN(RADIANS(U322-S322)/2)^2+COS(RADIANS(S322))*COS(RADIANS(U322))*SIN(RADIANS(V322-T322)/2)^2)))</x:f>
        <x:v>45.802306868534814</x:v>
      </x:c>
      <x:c r="F322" s="48" t="s">
        <x:v>67</x:v>
      </x:c>
      <x:c r="G322" s="48" t="s">
        <x:v>66</x:v>
      </x:c>
      <x:c r="H322" s="48" t="s">
        <x:v>66</x:v>
      </x:c>
      <x:c r="I322" s="48" t="s">
        <x:v>66</x:v>
      </x:c>
      <x:c r="J322" s="48" t="s">
        <x:v>66</x:v>
      </x:c>
      <x:c r="K322" s="64"/>
      <x:c r="L322" s="64"/>
      <x:c r="M322" s="50"/>
      <x:c r="N322" s="49"/>
      <x:c r="O322" s="50"/>
      <x:c r="P322" s="50"/>
      <x:c r="Q322" s="30">
        <x:v>318</x:v>
      </x:c>
      <x:c r="R322" s="65"/>
      <x:c r="S322" s="46" t="n">
        <x:f>INDEX('Locations'!$D$6:$D$453,MATCH(B322,'Locations'!$A$6:$A$453,0))</x:f>
        <x:v>42.7286902117697</x:v>
      </x:c>
      <x:c r="T322" s="46" t="n">
        <x:f>INDEX('Locations'!$E$6:$E$453,MATCH(B322,'Locations'!$A$6:$A$453,0))</x:f>
        <x:v>-73.6760622907363</x:v>
      </x:c>
      <x:c r="U322" s="46" t="n">
        <x:f>INDEX('Locations'!$D$6:$D$453,MATCH(C322,'Locations'!$A$6:$A$453,0))</x:f>
        <x:v>42.7282901812021</x:v>
      </x:c>
      <x:c r="V322" s="66" t="n">
        <x:f>INDEX('Locations'!$E$6:$E$453,MATCH(C322,'Locations'!$A$6:$A$453,0))</x:f>
        <x:v>-73.6761959882221</x:v>
      </x:c>
      <x:c r="W322" s="44"/>
    </x:row>
    <x:row r="323" ht="23" customHeight="1">
      <x:c r="A323" s="24" t="s">
        <x:v>925</x:v>
      </x:c>
      <x:c r="B323" s="53" t="s">
        <x:v>412</x:v>
      </x:c>
      <x:c r="C323" s="53" t="s">
        <x:v>413</x:v>
      </x:c>
      <x:c r="D323" s="53" t="s">
        <x:v>606</x:v>
      </x:c>
      <x:c r="E323" s="67" t="n">
        <x:f>2*6371000*ASIN(SQRT(MIN(1,SIN(RADIANS(U323-S323)/2)^2+COS(RADIANS(S323))*COS(RADIANS(U323))*SIN(RADIANS(V323-T323)/2)^2)))</x:f>
        <x:v>50.71720825036546</x:v>
      </x:c>
      <x:c r="F323" s="48" t="s">
        <x:v>67</x:v>
      </x:c>
      <x:c r="G323" s="48" t="s">
        <x:v>66</x:v>
      </x:c>
      <x:c r="H323" s="48" t="s">
        <x:v>66</x:v>
      </x:c>
      <x:c r="I323" s="48" t="s">
        <x:v>66</x:v>
      </x:c>
      <x:c r="J323" s="48" t="s">
        <x:v>66</x:v>
      </x:c>
      <x:c r="K323" s="64"/>
      <x:c r="L323" s="64"/>
      <x:c r="M323" s="50"/>
      <x:c r="N323" s="49"/>
      <x:c r="O323" s="50"/>
      <x:c r="P323" s="50"/>
      <x:c r="Q323" s="32">
        <x:v>319</x:v>
      </x:c>
      <x:c r="R323" s="68"/>
      <x:c r="S323" s="54" t="n">
        <x:f>INDEX('Locations'!$D$6:$D$453,MATCH(B323,'Locations'!$A$6:$A$453,0))</x:f>
        <x:v>42.7321157608832</x:v>
      </x:c>
      <x:c r="T323" s="54" t="n">
        <x:f>INDEX('Locations'!$E$6:$E$453,MATCH(B323,'Locations'!$A$6:$A$453,0))</x:f>
        <x:v>-73.6818335655384</x:v>
      </x:c>
      <x:c r="U323" s="54" t="n">
        <x:f>INDEX('Locations'!$D$6:$D$453,MATCH(C323,'Locations'!$A$6:$A$453,0))</x:f>
        <x:v>42.7316961885924</x:v>
      </x:c>
      <x:c r="V323" s="69" t="n">
        <x:f>INDEX('Locations'!$E$6:$E$453,MATCH(C323,'Locations'!$A$6:$A$453,0))</x:f>
        <x:v>-73.6815900451179</x:v>
      </x:c>
      <x:c r="W323" s="44"/>
    </x:row>
    <x:row r="324" ht="23" customHeight="1">
      <x:c r="A324" s="21" t="s">
        <x:v>926</x:v>
      </x:c>
      <x:c r="B324" s="45" t="s">
        <x:v>411</x:v>
      </x:c>
      <x:c r="C324" s="45" t="s">
        <x:v>414</x:v>
      </x:c>
      <x:c r="D324" s="45" t="s">
        <x:v>606</x:v>
      </x:c>
      <x:c r="E324" s="63" t="n">
        <x:f>2*6371000*ASIN(SQRT(MIN(1,SIN(RADIANS(U324-S324)/2)^2+COS(RADIANS(S324))*COS(RADIANS(U324))*SIN(RADIANS(V324-T324)/2)^2)))</x:f>
        <x:v>22.566855917394395</x:v>
      </x:c>
      <x:c r="F324" s="48" t="s">
        <x:v>67</x:v>
      </x:c>
      <x:c r="G324" s="48" t="s">
        <x:v>66</x:v>
      </x:c>
      <x:c r="H324" s="48" t="s">
        <x:v>66</x:v>
      </x:c>
      <x:c r="I324" s="48" t="s">
        <x:v>66</x:v>
      </x:c>
      <x:c r="J324" s="48" t="s">
        <x:v>66</x:v>
      </x:c>
      <x:c r="K324" s="64"/>
      <x:c r="L324" s="64"/>
      <x:c r="M324" s="50"/>
      <x:c r="N324" s="49"/>
      <x:c r="O324" s="50"/>
      <x:c r="P324" s="50"/>
      <x:c r="Q324" s="30">
        <x:v>320</x:v>
      </x:c>
      <x:c r="R324" s="65"/>
      <x:c r="S324" s="46" t="n">
        <x:f>INDEX('Locations'!$D$6:$D$453,MATCH(B324,'Locations'!$A$6:$A$453,0))</x:f>
        <x:v>42.7314295015473</x:v>
      </x:c>
      <x:c r="T324" s="46" t="n">
        <x:f>INDEX('Locations'!$E$6:$E$453,MATCH(B324,'Locations'!$A$6:$A$453,0))</x:f>
        <x:v>-73.6812669428606</x:v>
      </x:c>
      <x:c r="U324" s="46" t="n">
        <x:f>INDEX('Locations'!$D$6:$D$453,MATCH(C324,'Locations'!$A$6:$A$453,0))</x:f>
        <x:v>42.731563994583</x:v>
      </x:c>
      <x:c r="V324" s="66" t="n">
        <x:f>INDEX('Locations'!$E$6:$E$453,MATCH(C324,'Locations'!$A$6:$A$453,0))</x:f>
        <x:v>-73.6814738556362</x:v>
      </x:c>
      <x:c r="W324" s="44"/>
    </x:row>
    <x:row r="325" ht="23" customHeight="1">
      <x:c r="A325" s="24" t="s">
        <x:v>927</x:v>
      </x:c>
      <x:c r="B325" s="53" t="s">
        <x:v>413</x:v>
      </x:c>
      <x:c r="C325" s="53" t="s">
        <x:v>414</x:v>
      </x:c>
      <x:c r="D325" s="53" t="s">
        <x:v>606</x:v>
      </x:c>
      <x:c r="E325" s="67" t="n">
        <x:f>2*6371000*ASIN(SQRT(MIN(1,SIN(RADIANS(U325-S325)/2)^2+COS(RADIANS(S325))*COS(RADIANS(U325))*SIN(RADIANS(V325-T325)/2)^2)))</x:f>
        <x:v>17.49657295227339</x:v>
      </x:c>
      <x:c r="F325" s="48" t="s">
        <x:v>67</x:v>
      </x:c>
      <x:c r="G325" s="48" t="s">
        <x:v>66</x:v>
      </x:c>
      <x:c r="H325" s="48" t="s">
        <x:v>66</x:v>
      </x:c>
      <x:c r="I325" s="48" t="s">
        <x:v>66</x:v>
      </x:c>
      <x:c r="J325" s="48" t="s">
        <x:v>66</x:v>
      </x:c>
      <x:c r="K325" s="64"/>
      <x:c r="L325" s="64"/>
      <x:c r="M325" s="50"/>
      <x:c r="N325" s="49"/>
      <x:c r="O325" s="50"/>
      <x:c r="P325" s="50"/>
      <x:c r="Q325" s="32">
        <x:v>321</x:v>
      </x:c>
      <x:c r="R325" s="68"/>
      <x:c r="S325" s="54" t="n">
        <x:f>INDEX('Locations'!$D$6:$D$453,MATCH(B325,'Locations'!$A$6:$A$453,0))</x:f>
        <x:v>42.7316961885924</x:v>
      </x:c>
      <x:c r="T325" s="54" t="n">
        <x:f>INDEX('Locations'!$E$6:$E$453,MATCH(B325,'Locations'!$A$6:$A$453,0))</x:f>
        <x:v>-73.6815900451179</x:v>
      </x:c>
      <x:c r="U325" s="54" t="n">
        <x:f>INDEX('Locations'!$D$6:$D$453,MATCH(C325,'Locations'!$A$6:$A$453,0))</x:f>
        <x:v>42.731563994583</x:v>
      </x:c>
      <x:c r="V325" s="69" t="n">
        <x:f>INDEX('Locations'!$E$6:$E$453,MATCH(C325,'Locations'!$A$6:$A$453,0))</x:f>
        <x:v>-73.6814738556362</x:v>
      </x:c>
      <x:c r="W325" s="44"/>
    </x:row>
    <x:row r="326" ht="23" customHeight="1">
      <x:c r="A326" s="21" t="s">
        <x:v>928</x:v>
      </x:c>
      <x:c r="B326" s="45" t="s">
        <x:v>415</x:v>
      </x:c>
      <x:c r="C326" s="45" t="s">
        <x:v>414</x:v>
      </x:c>
      <x:c r="D326" s="45" t="s">
        <x:v>606</x:v>
      </x:c>
      <x:c r="E326" s="63" t="n">
        <x:f>2*6371000*ASIN(SQRT(MIN(1,SIN(RADIANS(U326-S326)/2)^2+COS(RADIANS(S326))*COS(RADIANS(U326))*SIN(RADIANS(V326-T326)/2)^2)))</x:f>
        <x:v>12.326220815150066</x:v>
      </x:c>
      <x:c r="F326" s="48" t="s">
        <x:v>67</x:v>
      </x:c>
      <x:c r="G326" s="48" t="s">
        <x:v>66</x:v>
      </x:c>
      <x:c r="H326" s="48" t="s">
        <x:v>66</x:v>
      </x:c>
      <x:c r="I326" s="48" t="s">
        <x:v>66</x:v>
      </x:c>
      <x:c r="J326" s="48" t="s">
        <x:v>66</x:v>
      </x:c>
      <x:c r="K326" s="64"/>
      <x:c r="L326" s="64"/>
      <x:c r="M326" s="50"/>
      <x:c r="N326" s="49"/>
      <x:c r="O326" s="50"/>
      <x:c r="P326" s="50"/>
      <x:c r="Q326" s="30">
        <x:v>322</x:v>
      </x:c>
      <x:c r="R326" s="65"/>
      <x:c r="S326" s="46" t="n">
        <x:f>INDEX('Locations'!$D$6:$D$453,MATCH(B326,'Locations'!$A$6:$A$453,0))</x:f>
        <x:v>42.7314961733086</x:v>
      </x:c>
      <x:c r="T326" s="46" t="n">
        <x:f>INDEX('Locations'!$E$6:$E$453,MATCH(B326,'Locations'!$A$6:$A$453,0))</x:f>
        <x:v>-73.6815932283913</x:v>
      </x:c>
      <x:c r="U326" s="46" t="n">
        <x:f>INDEX('Locations'!$D$6:$D$453,MATCH(C326,'Locations'!$A$6:$A$453,0))</x:f>
        <x:v>42.731563994583</x:v>
      </x:c>
      <x:c r="V326" s="66" t="n">
        <x:f>INDEX('Locations'!$E$6:$E$453,MATCH(C326,'Locations'!$A$6:$A$453,0))</x:f>
        <x:v>-73.6814738556362</x:v>
      </x:c>
      <x:c r="W326" s="44"/>
    </x:row>
    <x:row r="327" ht="23" customHeight="1">
      <x:c r="A327" s="24" t="s">
        <x:v>929</x:v>
      </x:c>
      <x:c r="B327" s="53" t="s">
        <x:v>86</x:v>
      </x:c>
      <x:c r="C327" s="53" t="s">
        <x:v>416</x:v>
      </x:c>
      <x:c r="D327" s="53" t="s">
        <x:v>606</x:v>
      </x:c>
      <x:c r="E327" s="67" t="n">
        <x:f>2*6371000*ASIN(SQRT(MIN(1,SIN(RADIANS(U327-S327)/2)^2+COS(RADIANS(S327))*COS(RADIANS(U327))*SIN(RADIANS(V327-T327)/2)^2)))</x:f>
        <x:v>12.254094638016747</x:v>
      </x:c>
      <x:c r="F327" s="48" t="s">
        <x:v>67</x:v>
      </x:c>
      <x:c r="G327" s="48" t="s">
        <x:v>66</x:v>
      </x:c>
      <x:c r="H327" s="48" t="s">
        <x:v>66</x:v>
      </x:c>
      <x:c r="I327" s="48" t="s">
        <x:v>66</x:v>
      </x:c>
      <x:c r="J327" s="48" t="s">
        <x:v>66</x:v>
      </x:c>
      <x:c r="K327" s="64"/>
      <x:c r="L327" s="64"/>
      <x:c r="M327" s="50"/>
      <x:c r="N327" s="49"/>
      <x:c r="O327" s="50"/>
      <x:c r="P327" s="50"/>
      <x:c r="Q327" s="32">
        <x:v>323</x:v>
      </x:c>
      <x:c r="R327" s="68"/>
      <x:c r="S327" s="54" t="n">
        <x:f>INDEX('Locations'!$D$6:$D$453,MATCH(B327,'Locations'!$A$6:$A$453,0))</x:f>
        <x:v>42.7312253105997</x:v>
      </x:c>
      <x:c r="T327" s="54" t="n">
        <x:f>INDEX('Locations'!$E$6:$E$453,MATCH(B327,'Locations'!$A$6:$A$453,0))</x:f>
        <x:v>-73.6817623013928</x:v>
      </x:c>
      <x:c r="U327" s="54" t="n">
        <x:f>INDEX('Locations'!$D$6:$D$453,MATCH(C327,'Locations'!$A$6:$A$453,0))</x:f>
        <x:v>42.7312283367504</x:v>
      </x:c>
      <x:c r="V327" s="69" t="n">
        <x:f>INDEX('Locations'!$E$6:$E$453,MATCH(C327,'Locations'!$A$6:$A$453,0))</x:f>
        <x:v>-73.6816123280322</x:v>
      </x:c>
      <x:c r="W327" s="44"/>
    </x:row>
    <x:row r="328" ht="23" customHeight="1">
      <x:c r="A328" s="21" t="s">
        <x:v>930</x:v>
      </x:c>
      <x:c r="B328" s="45" t="s">
        <x:v>415</x:v>
      </x:c>
      <x:c r="C328" s="45" t="s">
        <x:v>416</x:v>
      </x:c>
      <x:c r="D328" s="45" t="s">
        <x:v>606</x:v>
      </x:c>
      <x:c r="E328" s="63" t="n">
        <x:f>2*6371000*ASIN(SQRT(MIN(1,SIN(RADIANS(U328-S328)/2)^2+COS(RADIANS(S328))*COS(RADIANS(U328))*SIN(RADIANS(V328-T328)/2)^2)))</x:f>
        <x:v>29.82289581476465</x:v>
      </x:c>
      <x:c r="F328" s="48" t="s">
        <x:v>67</x:v>
      </x:c>
      <x:c r="G328" s="48" t="s">
        <x:v>66</x:v>
      </x:c>
      <x:c r="H328" s="48" t="s">
        <x:v>66</x:v>
      </x:c>
      <x:c r="I328" s="48" t="s">
        <x:v>66</x:v>
      </x:c>
      <x:c r="J328" s="48" t="s">
        <x:v>66</x:v>
      </x:c>
      <x:c r="K328" s="64"/>
      <x:c r="L328" s="64"/>
      <x:c r="M328" s="50"/>
      <x:c r="N328" s="49"/>
      <x:c r="O328" s="50"/>
      <x:c r="P328" s="50"/>
      <x:c r="Q328" s="30">
        <x:v>324</x:v>
      </x:c>
      <x:c r="R328" s="65"/>
      <x:c r="S328" s="46" t="n">
        <x:f>INDEX('Locations'!$D$6:$D$453,MATCH(B328,'Locations'!$A$6:$A$453,0))</x:f>
        <x:v>42.7314961733086</x:v>
      </x:c>
      <x:c r="T328" s="46" t="n">
        <x:f>INDEX('Locations'!$E$6:$E$453,MATCH(B328,'Locations'!$A$6:$A$453,0))</x:f>
        <x:v>-73.6815932283913</x:v>
      </x:c>
      <x:c r="U328" s="46" t="n">
        <x:f>INDEX('Locations'!$D$6:$D$453,MATCH(C328,'Locations'!$A$6:$A$453,0))</x:f>
        <x:v>42.7312283367504</x:v>
      </x:c>
      <x:c r="V328" s="66" t="n">
        <x:f>INDEX('Locations'!$E$6:$E$453,MATCH(C328,'Locations'!$A$6:$A$453,0))</x:f>
        <x:v>-73.6816123280322</x:v>
      </x:c>
      <x:c r="W328" s="44"/>
    </x:row>
    <x:row r="329" ht="23" customHeight="1">
      <x:c r="A329" s="24" t="s">
        <x:v>931</x:v>
      </x:c>
      <x:c r="B329" s="53" t="s">
        <x:v>412</x:v>
      </x:c>
      <x:c r="C329" s="53" t="s">
        <x:v>417</x:v>
      </x:c>
      <x:c r="D329" s="53" t="s">
        <x:v>606</x:v>
      </x:c>
      <x:c r="E329" s="67" t="n">
        <x:f>2*6371000*ASIN(SQRT(MIN(1,SIN(RADIANS(U329-S329)/2)^2+COS(RADIANS(S329))*COS(RADIANS(U329))*SIN(RADIANS(V329-T329)/2)^2)))</x:f>
        <x:v>71.24375248655561</x:v>
      </x:c>
      <x:c r="F329" s="48" t="s">
        <x:v>67</x:v>
      </x:c>
      <x:c r="G329" s="48" t="s">
        <x:v>66</x:v>
      </x:c>
      <x:c r="H329" s="48" t="s">
        <x:v>66</x:v>
      </x:c>
      <x:c r="I329" s="48" t="s">
        <x:v>66</x:v>
      </x:c>
      <x:c r="J329" s="48" t="s">
        <x:v>66</x:v>
      </x:c>
      <x:c r="K329" s="64"/>
      <x:c r="L329" s="64"/>
      <x:c r="M329" s="50"/>
      <x:c r="N329" s="49"/>
      <x:c r="O329" s="50"/>
      <x:c r="P329" s="50"/>
      <x:c r="Q329" s="32">
        <x:v>325</x:v>
      </x:c>
      <x:c r="R329" s="68"/>
      <x:c r="S329" s="54" t="n">
        <x:f>INDEX('Locations'!$D$6:$D$453,MATCH(B329,'Locations'!$A$6:$A$453,0))</x:f>
        <x:v>42.7321157608832</x:v>
      </x:c>
      <x:c r="T329" s="54" t="n">
        <x:f>INDEX('Locations'!$E$6:$E$453,MATCH(B329,'Locations'!$A$6:$A$453,0))</x:f>
        <x:v>-73.6818335655384</x:v>
      </x:c>
      <x:c r="U329" s="54" t="n">
        <x:f>INDEX('Locations'!$D$6:$D$453,MATCH(C329,'Locations'!$A$6:$A$453,0))</x:f>
        <x:v>42.7321088638044</x:v>
      </x:c>
      <x:c r="V329" s="69" t="n">
        <x:f>INDEX('Locations'!$E$6:$E$453,MATCH(C329,'Locations'!$A$6:$A$453,0))</x:f>
        <x:v>-73.6827057824693</x:v>
      </x:c>
      <x:c r="W329" s="44"/>
    </x:row>
    <x:row r="330" ht="23" customHeight="1">
      <x:c r="A330" s="21" t="s">
        <x:v>932</x:v>
      </x:c>
      <x:c r="B330" s="45" t="s">
        <x:v>418</x:v>
      </x:c>
      <x:c r="C330" s="45" t="s">
        <x:v>417</x:v>
      </x:c>
      <x:c r="D330" s="45" t="s">
        <x:v>606</x:v>
      </x:c>
      <x:c r="E330" s="63" t="n">
        <x:f>2*6371000*ASIN(SQRT(MIN(1,SIN(RADIANS(U330-S330)/2)^2+COS(RADIANS(S330))*COS(RADIANS(U330))*SIN(RADIANS(V330-T330)/2)^2)))</x:f>
        <x:v>45.90359214331354</x:v>
      </x:c>
      <x:c r="F330" s="48" t="s">
        <x:v>67</x:v>
      </x:c>
      <x:c r="G330" s="48" t="s">
        <x:v>66</x:v>
      </x:c>
      <x:c r="H330" s="48" t="s">
        <x:v>66</x:v>
      </x:c>
      <x:c r="I330" s="48" t="s">
        <x:v>66</x:v>
      </x:c>
      <x:c r="J330" s="48" t="s">
        <x:v>66</x:v>
      </x:c>
      <x:c r="K330" s="64"/>
      <x:c r="L330" s="64"/>
      <x:c r="M330" s="50"/>
      <x:c r="N330" s="49"/>
      <x:c r="O330" s="50"/>
      <x:c r="P330" s="50"/>
      <x:c r="Q330" s="30">
        <x:v>326</x:v>
      </x:c>
      <x:c r="R330" s="65"/>
      <x:c r="S330" s="46" t="n">
        <x:f>INDEX('Locations'!$D$6:$D$453,MATCH(B330,'Locations'!$A$6:$A$453,0))</x:f>
        <x:v>42.7318513728643</x:v>
      </x:c>
      <x:c r="T330" s="46" t="n">
        <x:f>INDEX('Locations'!$E$6:$E$453,MATCH(B330,'Locations'!$A$6:$A$453,0))</x:f>
        <x:v>-73.6831450742082</x:v>
      </x:c>
      <x:c r="U330" s="46" t="n">
        <x:f>INDEX('Locations'!$D$6:$D$453,MATCH(C330,'Locations'!$A$6:$A$453,0))</x:f>
        <x:v>42.7321088638044</x:v>
      </x:c>
      <x:c r="V330" s="66" t="n">
        <x:f>INDEX('Locations'!$E$6:$E$453,MATCH(C330,'Locations'!$A$6:$A$453,0))</x:f>
        <x:v>-73.6827057824693</x:v>
      </x:c>
      <x:c r="W330" s="44"/>
    </x:row>
    <x:row r="331" ht="23" customHeight="1">
      <x:c r="A331" s="24" t="s">
        <x:v>933</x:v>
      </x:c>
      <x:c r="B331" s="53" t="s">
        <x:v>418</x:v>
      </x:c>
      <x:c r="C331" s="53" t="s">
        <x:v>419</x:v>
      </x:c>
      <x:c r="D331" s="53" t="s">
        <x:v>606</x:v>
      </x:c>
      <x:c r="E331" s="67" t="n">
        <x:f>2*6371000*ASIN(SQRT(MIN(1,SIN(RADIANS(U331-S331)/2)^2+COS(RADIANS(S331))*COS(RADIANS(U331))*SIN(RADIANS(V331-T331)/2)^2)))</x:f>
        <x:v>45.49995161411464</x:v>
      </x:c>
      <x:c r="F331" s="48" t="s">
        <x:v>67</x:v>
      </x:c>
      <x:c r="G331" s="48" t="s">
        <x:v>66</x:v>
      </x:c>
      <x:c r="H331" s="48" t="s">
        <x:v>66</x:v>
      </x:c>
      <x:c r="I331" s="48" t="s">
        <x:v>66</x:v>
      </x:c>
      <x:c r="J331" s="48" t="s">
        <x:v>66</x:v>
      </x:c>
      <x:c r="K331" s="64"/>
      <x:c r="L331" s="64"/>
      <x:c r="M331" s="50"/>
      <x:c r="N331" s="49"/>
      <x:c r="O331" s="50"/>
      <x:c r="P331" s="50"/>
      <x:c r="Q331" s="32">
        <x:v>327</x:v>
      </x:c>
      <x:c r="R331" s="68"/>
      <x:c r="S331" s="54" t="n">
        <x:f>INDEX('Locations'!$D$6:$D$453,MATCH(B331,'Locations'!$A$6:$A$453,0))</x:f>
        <x:v>42.7318513728643</x:v>
      </x:c>
      <x:c r="T331" s="54" t="n">
        <x:f>INDEX('Locations'!$E$6:$E$453,MATCH(B331,'Locations'!$A$6:$A$453,0))</x:f>
        <x:v>-73.6831450742082</x:v>
      </x:c>
      <x:c r="U331" s="54" t="n">
        <x:f>INDEX('Locations'!$D$6:$D$453,MATCH(C331,'Locations'!$A$6:$A$453,0))</x:f>
        <x:v>42.7318513728643</x:v>
      </x:c>
      <x:c r="V331" s="69" t="n">
        <x:f>INDEX('Locations'!$E$6:$E$453,MATCH(C331,'Locations'!$A$6:$A$453,0))</x:f>
        <x:v>-73.6825880013509</x:v>
      </x:c>
      <x:c r="W331" s="44"/>
    </x:row>
    <x:row r="332" ht="23" customHeight="1">
      <x:c r="A332" s="21" t="s">
        <x:v>934</x:v>
      </x:c>
      <x:c r="B332" s="45" t="s">
        <x:v>415</x:v>
      </x:c>
      <x:c r="C332" s="45" t="s">
        <x:v>419</x:v>
      </x:c>
      <x:c r="D332" s="45" t="s">
        <x:v>606</x:v>
      </x:c>
      <x:c r="E332" s="63" t="n">
        <x:f>2*6371000*ASIN(SQRT(MIN(1,SIN(RADIANS(U332-S332)/2)^2+COS(RADIANS(S332))*COS(RADIANS(U332))*SIN(RADIANS(V332-T332)/2)^2)))</x:f>
        <x:v>90.34130271251432</x:v>
      </x:c>
      <x:c r="F332" s="48" t="s">
        <x:v>67</x:v>
      </x:c>
      <x:c r="G332" s="48" t="s">
        <x:v>66</x:v>
      </x:c>
      <x:c r="H332" s="48" t="s">
        <x:v>66</x:v>
      </x:c>
      <x:c r="I332" s="48" t="s">
        <x:v>66</x:v>
      </x:c>
      <x:c r="J332" s="48" t="s">
        <x:v>66</x:v>
      </x:c>
      <x:c r="K332" s="64"/>
      <x:c r="L332" s="64"/>
      <x:c r="M332" s="50"/>
      <x:c r="N332" s="49"/>
      <x:c r="O332" s="50"/>
      <x:c r="P332" s="50"/>
      <x:c r="Q332" s="30">
        <x:v>328</x:v>
      </x:c>
      <x:c r="R332" s="65"/>
      <x:c r="S332" s="46" t="n">
        <x:f>INDEX('Locations'!$D$6:$D$453,MATCH(B332,'Locations'!$A$6:$A$453,0))</x:f>
        <x:v>42.7314961733086</x:v>
      </x:c>
      <x:c r="T332" s="46" t="n">
        <x:f>INDEX('Locations'!$E$6:$E$453,MATCH(B332,'Locations'!$A$6:$A$453,0))</x:f>
        <x:v>-73.6815932283913</x:v>
      </x:c>
      <x:c r="U332" s="46" t="n">
        <x:f>INDEX('Locations'!$D$6:$D$453,MATCH(C332,'Locations'!$A$6:$A$453,0))</x:f>
        <x:v>42.7318513728643</x:v>
      </x:c>
      <x:c r="V332" s="66" t="n">
        <x:f>INDEX('Locations'!$E$6:$E$453,MATCH(C332,'Locations'!$A$6:$A$453,0))</x:f>
        <x:v>-73.6825880013509</x:v>
      </x:c>
      <x:c r="W332" s="44"/>
    </x:row>
    <x:row r="333" ht="23" customHeight="1">
      <x:c r="A333" s="24" t="s">
        <x:v>935</x:v>
      </x:c>
      <x:c r="B333" s="53" t="s">
        <x:v>418</x:v>
      </x:c>
      <x:c r="C333" s="53" t="s">
        <x:v>204</x:v>
      </x:c>
      <x:c r="D333" s="53" t="s">
        <x:v>606</x:v>
      </x:c>
      <x:c r="E333" s="67" t="n">
        <x:f>2*6371000*ASIN(SQRT(MIN(1,SIN(RADIANS(U333-S333)/2)^2+COS(RADIANS(S333))*COS(RADIANS(U333))*SIN(RADIANS(V333-T333)/2)^2)))</x:f>
        <x:v>16.536406217242607</x:v>
      </x:c>
      <x:c r="F333" s="48" t="s">
        <x:v>67</x:v>
      </x:c>
      <x:c r="G333" s="48" t="s">
        <x:v>66</x:v>
      </x:c>
      <x:c r="H333" s="48" t="s">
        <x:v>66</x:v>
      </x:c>
      <x:c r="I333" s="48" t="s">
        <x:v>66</x:v>
      </x:c>
      <x:c r="J333" s="48" t="s">
        <x:v>66</x:v>
      </x:c>
      <x:c r="K333" s="64"/>
      <x:c r="L333" s="64"/>
      <x:c r="M333" s="50"/>
      <x:c r="N333" s="49"/>
      <x:c r="O333" s="50"/>
      <x:c r="P333" s="50"/>
      <x:c r="Q333" s="32">
        <x:v>329</x:v>
      </x:c>
      <x:c r="R333" s="68"/>
      <x:c r="S333" s="54" t="n">
        <x:f>INDEX('Locations'!$D$6:$D$453,MATCH(B333,'Locations'!$A$6:$A$453,0))</x:f>
        <x:v>42.7318513728643</x:v>
      </x:c>
      <x:c r="T333" s="54" t="n">
        <x:f>INDEX('Locations'!$E$6:$E$453,MATCH(B333,'Locations'!$A$6:$A$453,0))</x:f>
        <x:v>-73.6831450742082</x:v>
      </x:c>
      <x:c r="U333" s="54" t="n">
        <x:f>INDEX('Locations'!$D$6:$D$453,MATCH(C333,'Locations'!$A$6:$A$453,0))</x:f>
        <x:v>42.7317041350482</x:v>
      </x:c>
      <x:c r="V333" s="69" t="n">
        <x:f>INDEX('Locations'!$E$6:$E$453,MATCH(C333,'Locations'!$A$6:$A$453,0))</x:f>
        <x:v>-73.6831166044322</x:v>
      </x:c>
      <x:c r="W333" s="44"/>
    </x:row>
    <x:row r="334" ht="23" customHeight="1">
      <x:c r="A334" s="21" t="s">
        <x:v>936</x:v>
      </x:c>
      <x:c r="B334" s="45" t="s">
        <x:v>420</x:v>
      </x:c>
      <x:c r="C334" s="45" t="s">
        <x:v>419</x:v>
      </x:c>
      <x:c r="D334" s="45" t="s">
        <x:v>606</x:v>
      </x:c>
      <x:c r="E334" s="63" t="n">
        <x:f>2*6371000*ASIN(SQRT(MIN(1,SIN(RADIANS(U334-S334)/2)^2+COS(RADIANS(S334))*COS(RADIANS(U334))*SIN(RADIANS(V334-T334)/2)^2)))</x:f>
        <x:v>45.18420830716502</x:v>
      </x:c>
      <x:c r="F334" s="48" t="s">
        <x:v>67</x:v>
      </x:c>
      <x:c r="G334" s="48" t="s">
        <x:v>66</x:v>
      </x:c>
      <x:c r="H334" s="48" t="s">
        <x:v>66</x:v>
      </x:c>
      <x:c r="I334" s="48" t="s">
        <x:v>66</x:v>
      </x:c>
      <x:c r="J334" s="48" t="s">
        <x:v>66</x:v>
      </x:c>
      <x:c r="K334" s="64"/>
      <x:c r="L334" s="64"/>
      <x:c r="M334" s="50"/>
      <x:c r="N334" s="49"/>
      <x:c r="O334" s="50"/>
      <x:c r="P334" s="50"/>
      <x:c r="Q334" s="30">
        <x:v>330</x:v>
      </x:c>
      <x:c r="R334" s="65"/>
      <x:c r="S334" s="46" t="n">
        <x:f>INDEX('Locations'!$D$6:$D$453,MATCH(B334,'Locations'!$A$6:$A$453,0))</x:f>
        <x:v>42.7314651364542</x:v>
      </x:c>
      <x:c r="T334" s="46" t="n">
        <x:f>INDEX('Locations'!$E$6:$E$453,MATCH(B334,'Locations'!$A$6:$A$453,0))</x:f>
        <x:v>-73.6827598981183</x:v>
      </x:c>
      <x:c r="U334" s="46" t="n">
        <x:f>INDEX('Locations'!$D$6:$D$453,MATCH(C334,'Locations'!$A$6:$A$453,0))</x:f>
        <x:v>42.7318513728643</x:v>
      </x:c>
      <x:c r="V334" s="66" t="n">
        <x:f>INDEX('Locations'!$E$6:$E$453,MATCH(C334,'Locations'!$A$6:$A$453,0))</x:f>
        <x:v>-73.6825880013509</x:v>
      </x:c>
      <x:c r="W334" s="44"/>
    </x:row>
    <x:row r="335" ht="23" customHeight="1">
      <x:c r="A335" s="24" t="s">
        <x:v>937</x:v>
      </x:c>
      <x:c r="B335" s="53" t="s">
        <x:v>415</x:v>
      </x:c>
      <x:c r="C335" s="53" t="s">
        <x:v>420</x:v>
      </x:c>
      <x:c r="D335" s="53" t="s">
        <x:v>606</x:v>
      </x:c>
      <x:c r="E335" s="67" t="n">
        <x:f>2*6371000*ASIN(SQRT(MIN(1,SIN(RADIANS(U335-S335)/2)^2+COS(RADIANS(S335))*COS(RADIANS(U335))*SIN(RADIANS(V335-T335)/2)^2)))</x:f>
        <x:v>95.35294285290418</x:v>
      </x:c>
      <x:c r="F335" s="48" t="s">
        <x:v>67</x:v>
      </x:c>
      <x:c r="G335" s="48" t="s">
        <x:v>66</x:v>
      </x:c>
      <x:c r="H335" s="48" t="s">
        <x:v>66</x:v>
      </x:c>
      <x:c r="I335" s="48" t="s">
        <x:v>66</x:v>
      </x:c>
      <x:c r="J335" s="48" t="s">
        <x:v>66</x:v>
      </x:c>
      <x:c r="K335" s="64"/>
      <x:c r="L335" s="64"/>
      <x:c r="M335" s="50"/>
      <x:c r="N335" s="49"/>
      <x:c r="O335" s="50"/>
      <x:c r="P335" s="50"/>
      <x:c r="Q335" s="32">
        <x:v>331</x:v>
      </x:c>
      <x:c r="R335" s="68"/>
      <x:c r="S335" s="54" t="n">
        <x:f>INDEX('Locations'!$D$6:$D$453,MATCH(B335,'Locations'!$A$6:$A$453,0))</x:f>
        <x:v>42.7314961733086</x:v>
      </x:c>
      <x:c r="T335" s="54" t="n">
        <x:f>INDEX('Locations'!$E$6:$E$453,MATCH(B335,'Locations'!$A$6:$A$453,0))</x:f>
        <x:v>-73.6815932283913</x:v>
      </x:c>
      <x:c r="U335" s="54" t="n">
        <x:f>INDEX('Locations'!$D$6:$D$453,MATCH(C335,'Locations'!$A$6:$A$453,0))</x:f>
        <x:v>42.7314651364542</x:v>
      </x:c>
      <x:c r="V335" s="69" t="n">
        <x:f>INDEX('Locations'!$E$6:$E$453,MATCH(C335,'Locations'!$A$6:$A$453,0))</x:f>
        <x:v>-73.6827598981183</x:v>
      </x:c>
      <x:c r="W335" s="44"/>
    </x:row>
    <x:row r="336" ht="23" customHeight="1">
      <x:c r="A336" s="21" t="s">
        <x:v>938</x:v>
      </x:c>
      <x:c r="B336" s="45" t="s">
        <x:v>424</x:v>
      </x:c>
      <x:c r="C336" s="45" t="s">
        <x:v>367</x:v>
      </x:c>
      <x:c r="D336" s="45" t="s">
        <x:v>606</x:v>
      </x:c>
      <x:c r="E336" s="63" t="n">
        <x:f>2*6371000*ASIN(SQRT(MIN(1,SIN(RADIANS(U336-S336)/2)^2+COS(RADIANS(S336))*COS(RADIANS(U336))*SIN(RADIANS(V336-T336)/2)^2)))</x:f>
        <x:v>18.366343587843843</x:v>
      </x:c>
      <x:c r="F336" s="48" t="s">
        <x:v>67</x:v>
      </x:c>
      <x:c r="G336" s="48" t="s">
        <x:v>66</x:v>
      </x:c>
      <x:c r="H336" s="48" t="s">
        <x:v>66</x:v>
      </x:c>
      <x:c r="I336" s="48" t="s">
        <x:v>66</x:v>
      </x:c>
      <x:c r="J336" s="48" t="s">
        <x:v>66</x:v>
      </x:c>
      <x:c r="K336" s="64"/>
      <x:c r="L336" s="64"/>
      <x:c r="M336" s="50"/>
      <x:c r="N336" s="49"/>
      <x:c r="O336" s="50"/>
      <x:c r="P336" s="50"/>
      <x:c r="Q336" s="30">
        <x:v>332</x:v>
      </x:c>
      <x:c r="R336" s="65"/>
      <x:c r="S336" s="46" t="n">
        <x:f>INDEX('Locations'!$D$6:$D$453,MATCH(B336,'Locations'!$A$6:$A$453,0))</x:f>
        <x:v>42.7309616497053</x:v>
      </x:c>
      <x:c r="T336" s="46" t="n">
        <x:f>INDEX('Locations'!$E$6:$E$453,MATCH(B336,'Locations'!$A$6:$A$453,0))</x:f>
        <x:v>-73.6833583535307</x:v>
      </x:c>
      <x:c r="U336" s="46" t="n">
        <x:f>INDEX('Locations'!$D$6:$D$453,MATCH(C336,'Locations'!$A$6:$A$453,0))</x:f>
        <x:v>42.7308076149466</x:v>
      </x:c>
      <x:c r="V336" s="66" t="n">
        <x:f>INDEX('Locations'!$E$6:$E$453,MATCH(C336,'Locations'!$A$6:$A$453,0))</x:f>
        <x:v>-73.6834395270043</x:v>
      </x:c>
      <x:c r="W336" s="44"/>
    </x:row>
    <x:row r="337" ht="23" customHeight="1">
      <x:c r="A337" s="24" t="s">
        <x:v>939</x:v>
      </x:c>
      <x:c r="B337" s="53" t="s">
        <x:v>160</x:v>
      </x:c>
      <x:c r="C337" s="53" t="s">
        <x:v>424</x:v>
      </x:c>
      <x:c r="D337" s="53" t="s">
        <x:v>606</x:v>
      </x:c>
      <x:c r="E337" s="67" t="n">
        <x:f>2*6371000*ASIN(SQRT(MIN(1,SIN(RADIANS(U337-S337)/2)^2+COS(RADIANS(S337))*COS(RADIANS(U337))*SIN(RADIANS(V337-T337)/2)^2)))</x:f>
        <x:v>23.45970153059515</x:v>
      </x:c>
      <x:c r="F337" s="48" t="s">
        <x:v>67</x:v>
      </x:c>
      <x:c r="G337" s="48" t="s">
        <x:v>66</x:v>
      </x:c>
      <x:c r="H337" s="48" t="s">
        <x:v>66</x:v>
      </x:c>
      <x:c r="I337" s="48" t="s">
        <x:v>66</x:v>
      </x:c>
      <x:c r="J337" s="48" t="s">
        <x:v>66</x:v>
      </x:c>
      <x:c r="K337" s="64"/>
      <x:c r="L337" s="64"/>
      <x:c r="M337" s="50"/>
      <x:c r="N337" s="49"/>
      <x:c r="O337" s="50"/>
      <x:c r="P337" s="50"/>
      <x:c r="Q337" s="32">
        <x:v>333</x:v>
      </x:c>
      <x:c r="R337" s="68"/>
      <x:c r="S337" s="54" t="n">
        <x:f>INDEX('Locations'!$D$6:$D$453,MATCH(B337,'Locations'!$A$6:$A$453,0))</x:f>
        <x:v>42.7311695906155</x:v>
      </x:c>
      <x:c r="T337" s="54" t="n">
        <x:f>INDEX('Locations'!$E$6:$E$453,MATCH(B337,'Locations'!$A$6:$A$453,0))</x:f>
        <x:v>-73.6833097926915</x:v>
      </x:c>
      <x:c r="U337" s="54" t="n">
        <x:f>INDEX('Locations'!$D$6:$D$453,MATCH(C337,'Locations'!$A$6:$A$453,0))</x:f>
        <x:v>42.7309616497053</x:v>
      </x:c>
      <x:c r="V337" s="69" t="n">
        <x:f>INDEX('Locations'!$E$6:$E$453,MATCH(C337,'Locations'!$A$6:$A$453,0))</x:f>
        <x:v>-73.6833583535307</x:v>
      </x:c>
      <x:c r="W337" s="44"/>
    </x:row>
    <x:row r="338" ht="23" customHeight="1">
      <x:c r="A338" s="21" t="s">
        <x:v>940</x:v>
      </x:c>
      <x:c r="B338" s="45" t="s">
        <x:v>423</x:v>
      </x:c>
      <x:c r="C338" s="45" t="s">
        <x:v>424</x:v>
      </x:c>
      <x:c r="D338" s="45" t="s">
        <x:v>606</x:v>
      </x:c>
      <x:c r="E338" s="63" t="n">
        <x:f>2*6371000*ASIN(SQRT(MIN(1,SIN(RADIANS(U338-S338)/2)^2+COS(RADIANS(S338))*COS(RADIANS(U338))*SIN(RADIANS(V338-T338)/2)^2)))</x:f>
        <x:v>21.064086608265423</x:v>
      </x:c>
      <x:c r="F338" s="48" t="s">
        <x:v>67</x:v>
      </x:c>
      <x:c r="G338" s="48" t="s">
        <x:v>66</x:v>
      </x:c>
      <x:c r="H338" s="48" t="s">
        <x:v>66</x:v>
      </x:c>
      <x:c r="I338" s="48" t="s">
        <x:v>66</x:v>
      </x:c>
      <x:c r="J338" s="48" t="s">
        <x:v>66</x:v>
      </x:c>
      <x:c r="K338" s="64"/>
      <x:c r="L338" s="64"/>
      <x:c r="M338" s="50"/>
      <x:c r="N338" s="49"/>
      <x:c r="O338" s="50"/>
      <x:c r="P338" s="50"/>
      <x:c r="Q338" s="30">
        <x:v>334</x:v>
      </x:c>
      <x:c r="R338" s="65"/>
      <x:c r="S338" s="46" t="n">
        <x:f>INDEX('Locations'!$D$6:$D$453,MATCH(B338,'Locations'!$A$6:$A$453,0))</x:f>
        <x:v>42.7309915370466</x:v>
      </x:c>
      <x:c r="T338" s="46" t="n">
        <x:f>INDEX('Locations'!$E$6:$E$453,MATCH(B338,'Locations'!$A$6:$A$453,0))</x:f>
        <x:v>-73.6831036916531</x:v>
      </x:c>
      <x:c r="U338" s="46" t="n">
        <x:f>INDEX('Locations'!$D$6:$D$453,MATCH(C338,'Locations'!$A$6:$A$453,0))</x:f>
        <x:v>42.7309616497053</x:v>
      </x:c>
      <x:c r="V338" s="66" t="n">
        <x:f>INDEX('Locations'!$E$6:$E$453,MATCH(C338,'Locations'!$A$6:$A$453,0))</x:f>
        <x:v>-73.6833583535307</x:v>
      </x:c>
      <x:c r="W338" s="44"/>
    </x:row>
    <x:row r="339" ht="23" customHeight="1">
      <x:c r="A339" s="24" t="s">
        <x:v>941</x:v>
      </x:c>
      <x:c r="B339" s="53" t="s">
        <x:v>422</x:v>
      </x:c>
      <x:c r="C339" s="53" t="s">
        <x:v>423</x:v>
      </x:c>
      <x:c r="D339" s="53" t="s">
        <x:v>606</x:v>
      </x:c>
      <x:c r="E339" s="67" t="n">
        <x:f>2*6371000*ASIN(SQRT(MIN(1,SIN(RADIANS(U339-S339)/2)^2+COS(RADIANS(S339))*COS(RADIANS(U339))*SIN(RADIANS(V339-T339)/2)^2)))</x:f>
        <x:v>24.85411442009198</x:v>
      </x:c>
      <x:c r="F339" s="48" t="s">
        <x:v>67</x:v>
      </x:c>
      <x:c r="G339" s="48" t="s">
        <x:v>66</x:v>
      </x:c>
      <x:c r="H339" s="48" t="s">
        <x:v>66</x:v>
      </x:c>
      <x:c r="I339" s="48" t="s">
        <x:v>66</x:v>
      </x:c>
      <x:c r="J339" s="48" t="s">
        <x:v>66</x:v>
      </x:c>
      <x:c r="K339" s="64"/>
      <x:c r="L339" s="64"/>
      <x:c r="M339" s="50"/>
      <x:c r="N339" s="49"/>
      <x:c r="O339" s="50"/>
      <x:c r="P339" s="50"/>
      <x:c r="Q339" s="32">
        <x:v>335</x:v>
      </x:c>
      <x:c r="R339" s="68"/>
      <x:c r="S339" s="54" t="n">
        <x:f>INDEX('Locations'!$D$6:$D$453,MATCH(B339,'Locations'!$A$6:$A$453,0))</x:f>
        <x:v>42.7311616649891</x:v>
      </x:c>
      <x:c r="T339" s="54" t="n">
        <x:f>INDEX('Locations'!$E$6:$E$453,MATCH(B339,'Locations'!$A$6:$A$453,0))</x:f>
        <x:v>-73.6829063286979</x:v>
      </x:c>
      <x:c r="U339" s="54" t="n">
        <x:f>INDEX('Locations'!$D$6:$D$453,MATCH(C339,'Locations'!$A$6:$A$453,0))</x:f>
        <x:v>42.7309915370466</x:v>
      </x:c>
      <x:c r="V339" s="69" t="n">
        <x:f>INDEX('Locations'!$E$6:$E$453,MATCH(C339,'Locations'!$A$6:$A$453,0))</x:f>
        <x:v>-73.6831036916531</x:v>
      </x:c>
      <x:c r="W339" s="44"/>
    </x:row>
    <x:row r="340" ht="23" customHeight="1">
      <x:c r="A340" s="21" t="s">
        <x:v>942</x:v>
      </x:c>
      <x:c r="B340" s="45" t="s">
        <x:v>420</x:v>
      </x:c>
      <x:c r="C340" s="45" t="s">
        <x:v>422</x:v>
      </x:c>
      <x:c r="D340" s="45" t="s">
        <x:v>606</x:v>
      </x:c>
      <x:c r="E340" s="63" t="n">
        <x:f>2*6371000*ASIN(SQRT(MIN(1,SIN(RADIANS(U340-S340)/2)^2+COS(RADIANS(S340))*COS(RADIANS(U340))*SIN(RADIANS(V340-T340)/2)^2)))</x:f>
        <x:v>35.80131562227976</x:v>
      </x:c>
      <x:c r="F340" s="48" t="s">
        <x:v>67</x:v>
      </x:c>
      <x:c r="G340" s="48" t="s">
        <x:v>66</x:v>
      </x:c>
      <x:c r="H340" s="48" t="s">
        <x:v>66</x:v>
      </x:c>
      <x:c r="I340" s="48" t="s">
        <x:v>66</x:v>
      </x:c>
      <x:c r="J340" s="48" t="s">
        <x:v>66</x:v>
      </x:c>
      <x:c r="K340" s="64"/>
      <x:c r="L340" s="64"/>
      <x:c r="M340" s="50"/>
      <x:c r="N340" s="49"/>
      <x:c r="O340" s="50"/>
      <x:c r="P340" s="50"/>
      <x:c r="Q340" s="30">
        <x:v>336</x:v>
      </x:c>
      <x:c r="R340" s="65"/>
      <x:c r="S340" s="46" t="n">
        <x:f>INDEX('Locations'!$D$6:$D$453,MATCH(B340,'Locations'!$A$6:$A$453,0))</x:f>
        <x:v>42.7314651364542</x:v>
      </x:c>
      <x:c r="T340" s="46" t="n">
        <x:f>INDEX('Locations'!$E$6:$E$453,MATCH(B340,'Locations'!$A$6:$A$453,0))</x:f>
        <x:v>-73.6827598981183</x:v>
      </x:c>
      <x:c r="U340" s="46" t="n">
        <x:f>INDEX('Locations'!$D$6:$D$453,MATCH(C340,'Locations'!$A$6:$A$453,0))</x:f>
        <x:v>42.7311616649891</x:v>
      </x:c>
      <x:c r="V340" s="66" t="n">
        <x:f>INDEX('Locations'!$E$6:$E$453,MATCH(C340,'Locations'!$A$6:$A$453,0))</x:f>
        <x:v>-73.6829063286979</x:v>
      </x:c>
      <x:c r="W340" s="44"/>
    </x:row>
    <x:row r="341" ht="23" customHeight="1">
      <x:c r="A341" s="24" t="s">
        <x:v>943</x:v>
      </x:c>
      <x:c r="B341" s="53" t="s">
        <x:v>421</x:v>
      </x:c>
      <x:c r="C341" s="53" t="s">
        <x:v>420</x:v>
      </x:c>
      <x:c r="D341" s="53" t="s">
        <x:v>606</x:v>
      </x:c>
      <x:c r="E341" s="67" t="n">
        <x:f>2*6371000*ASIN(SQRT(MIN(1,SIN(RADIANS(U341-S341)/2)^2+COS(RADIANS(S341))*COS(RADIANS(U341))*SIN(RADIANS(V341-T341)/2)^2)))</x:f>
        <x:v>56.888043839037465</x:v>
      </x:c>
      <x:c r="F341" s="48" t="s">
        <x:v>67</x:v>
      </x:c>
      <x:c r="G341" s="48" t="s">
        <x:v>66</x:v>
      </x:c>
      <x:c r="H341" s="48" t="s">
        <x:v>66</x:v>
      </x:c>
      <x:c r="I341" s="48" t="s">
        <x:v>66</x:v>
      </x:c>
      <x:c r="J341" s="48" t="s">
        <x:v>66</x:v>
      </x:c>
      <x:c r="K341" s="64"/>
      <x:c r="L341" s="64"/>
      <x:c r="M341" s="50"/>
      <x:c r="N341" s="49"/>
      <x:c r="O341" s="50"/>
      <x:c r="P341" s="50"/>
      <x:c r="Q341" s="32">
        <x:v>337</x:v>
      </x:c>
      <x:c r="R341" s="68"/>
      <x:c r="S341" s="54" t="n">
        <x:f>INDEX('Locations'!$D$6:$D$453,MATCH(B341,'Locations'!$A$6:$A$453,0))</x:f>
        <x:v>42.7310306204929</x:v>
      </x:c>
      <x:c r="T341" s="54" t="n">
        <x:f>INDEX('Locations'!$E$6:$E$453,MATCH(B341,'Locations'!$A$6:$A$453,0))</x:f>
        <x:v>-73.6823922300324</x:v>
      </x:c>
      <x:c r="U341" s="54" t="n">
        <x:f>INDEX('Locations'!$D$6:$D$453,MATCH(C341,'Locations'!$A$6:$A$453,0))</x:f>
        <x:v>42.7314651364542</x:v>
      </x:c>
      <x:c r="V341" s="69" t="n">
        <x:f>INDEX('Locations'!$E$6:$E$453,MATCH(C341,'Locations'!$A$6:$A$453,0))</x:f>
        <x:v>-73.6827598981183</x:v>
      </x:c>
      <x:c r="W341" s="44"/>
    </x:row>
    <x:row r="342" ht="23" customHeight="1">
      <x:c r="A342" s="21" t="s">
        <x:v>944</x:v>
      </x:c>
      <x:c r="B342" s="45" t="s">
        <x:v>421</x:v>
      </x:c>
      <x:c r="C342" s="45" t="s">
        <x:v>425</x:v>
      </x:c>
      <x:c r="D342" s="45" t="s">
        <x:v>661</x:v>
      </x:c>
      <x:c r="E342" s="63" t="n">
        <x:f>2*6371000*ASIN(SQRT(MIN(1,SIN(RADIANS(U342-S342)/2)^2+COS(RADIANS(S342))*COS(RADIANS(U342))*SIN(RADIANS(V342-T342)/2)^2)))</x:f>
        <x:v>14.40669324258705</x:v>
      </x:c>
      <x:c r="F342" s="48" t="s">
        <x:v>67</x:v>
      </x:c>
      <x:c r="G342" s="48" t="s">
        <x:v>66</x:v>
      </x:c>
      <x:c r="H342" s="48" t="s">
        <x:v>66</x:v>
      </x:c>
      <x:c r="I342" s="48" t="s">
        <x:v>66</x:v>
      </x:c>
      <x:c r="J342" s="48" t="s">
        <x:v>66</x:v>
      </x:c>
      <x:c r="K342" s="64"/>
      <x:c r="L342" s="64"/>
      <x:c r="M342" s="50"/>
      <x:c r="N342" s="49"/>
      <x:c r="O342" s="50"/>
      <x:c r="P342" s="50"/>
      <x:c r="Q342" s="30">
        <x:v>338</x:v>
      </x:c>
      <x:c r="R342" s="65"/>
      <x:c r="S342" s="46" t="n">
        <x:f>INDEX('Locations'!$D$6:$D$453,MATCH(B342,'Locations'!$A$6:$A$453,0))</x:f>
        <x:v>42.7310306204929</x:v>
      </x:c>
      <x:c r="T342" s="46" t="n">
        <x:f>INDEX('Locations'!$E$6:$E$453,MATCH(B342,'Locations'!$A$6:$A$453,0))</x:f>
        <x:v>-73.6823922300324</x:v>
      </x:c>
      <x:c r="U342" s="46" t="n">
        <x:f>INDEX('Locations'!$D$6:$D$453,MATCH(C342,'Locations'!$A$6:$A$453,0))</x:f>
        <x:v>42.730912220641</x:v>
      </x:c>
      <x:c r="V342" s="66" t="n">
        <x:f>INDEX('Locations'!$E$6:$E$453,MATCH(C342,'Locations'!$A$6:$A$453,0))</x:f>
        <x:v>-73.6823206063794</x:v>
      </x:c>
      <x:c r="W342" s="44"/>
    </x:row>
    <x:row r="343" ht="23" customHeight="1">
      <x:c r="A343" s="24" t="s">
        <x:v>945</x:v>
      </x:c>
      <x:c r="B343" s="53" t="s">
        <x:v>351</x:v>
      </x:c>
      <x:c r="C343" s="53" t="s">
        <x:v>425</x:v>
      </x:c>
      <x:c r="D343" s="53" t="s">
        <x:v>606</x:v>
      </x:c>
      <x:c r="E343" s="67" t="n">
        <x:f>2*6371000*ASIN(SQRT(MIN(1,SIN(RADIANS(U343-S343)/2)^2+COS(RADIANS(S343))*COS(RADIANS(U343))*SIN(RADIANS(V343-T343)/2)^2)))</x:f>
        <x:v>27.522323749267844</x:v>
      </x:c>
      <x:c r="F343" s="48" t="s">
        <x:v>67</x:v>
      </x:c>
      <x:c r="G343" s="48" t="s">
        <x:v>66</x:v>
      </x:c>
      <x:c r="H343" s="48" t="s">
        <x:v>66</x:v>
      </x:c>
      <x:c r="I343" s="48" t="s">
        <x:v>66</x:v>
      </x:c>
      <x:c r="J343" s="48" t="s">
        <x:v>66</x:v>
      </x:c>
      <x:c r="K343" s="64"/>
      <x:c r="L343" s="64"/>
      <x:c r="M343" s="50"/>
      <x:c r="N343" s="49"/>
      <x:c r="O343" s="50"/>
      <x:c r="P343" s="50"/>
      <x:c r="Q343" s="32">
        <x:v>339</x:v>
      </x:c>
      <x:c r="R343" s="68"/>
      <x:c r="S343" s="54" t="n">
        <x:f>INDEX('Locations'!$D$6:$D$453,MATCH(B343,'Locations'!$A$6:$A$453,0))</x:f>
        <x:v>42.7306673743453</x:v>
      </x:c>
      <x:c r="T343" s="54" t="n">
        <x:f>INDEX('Locations'!$E$6:$E$453,MATCH(B343,'Locations'!$A$6:$A$453,0))</x:f>
        <x:v>-73.6823699471182</x:v>
      </x:c>
      <x:c r="U343" s="54" t="n">
        <x:f>INDEX('Locations'!$D$6:$D$453,MATCH(C343,'Locations'!$A$6:$A$453,0))</x:f>
        <x:v>42.730912220641</x:v>
      </x:c>
      <x:c r="V343" s="69" t="n">
        <x:f>INDEX('Locations'!$E$6:$E$453,MATCH(C343,'Locations'!$A$6:$A$453,0))</x:f>
        <x:v>-73.6823206063794</x:v>
      </x:c>
      <x:c r="W343" s="44"/>
    </x:row>
    <x:row r="344" ht="23" customHeight="1">
      <x:c r="A344" s="21" t="s">
        <x:v>946</x:v>
      </x:c>
      <x:c r="B344" s="45" t="s">
        <x:v>184</x:v>
      </x:c>
      <x:c r="C344" s="45" t="s">
        <x:v>427</x:v>
      </x:c>
      <x:c r="D344" s="45" t="s">
        <x:v>606</x:v>
      </x:c>
      <x:c r="E344" s="63" t="n">
        <x:f>2*6371000*ASIN(SQRT(MIN(1,SIN(RADIANS(U344-S344)/2)^2+COS(RADIANS(S344))*COS(RADIANS(U344))*SIN(RADIANS(V344-T344)/2)^2)))</x:f>
        <x:v>34.17895067564</x:v>
      </x:c>
      <x:c r="F344" s="48" t="s">
        <x:v>67</x:v>
      </x:c>
      <x:c r="G344" s="48" t="s">
        <x:v>66</x:v>
      </x:c>
      <x:c r="H344" s="48" t="s">
        <x:v>66</x:v>
      </x:c>
      <x:c r="I344" s="48" t="s">
        <x:v>66</x:v>
      </x:c>
      <x:c r="J344" s="48" t="s">
        <x:v>66</x:v>
      </x:c>
      <x:c r="K344" s="64"/>
      <x:c r="L344" s="64"/>
      <x:c r="M344" s="50"/>
      <x:c r="N344" s="49"/>
      <x:c r="O344" s="50"/>
      <x:c r="P344" s="50"/>
      <x:c r="Q344" s="30">
        <x:v>340</x:v>
      </x:c>
      <x:c r="R344" s="65"/>
      <x:c r="S344" s="46" t="n">
        <x:f>INDEX('Locations'!$D$6:$D$453,MATCH(B344,'Locations'!$A$6:$A$453,0))</x:f>
        <x:v>42.7308640200207</x:v>
      </x:c>
      <x:c r="T344" s="46" t="n">
        <x:f>INDEX('Locations'!$E$6:$E$453,MATCH(B344,'Locations'!$A$6:$A$453,0))</x:f>
        <x:v>-73.6816022813999</x:v>
      </x:c>
      <x:c r="U344" s="46" t="n">
        <x:f>INDEX('Locations'!$D$6:$D$453,MATCH(C344,'Locations'!$A$6:$A$453,0))</x:f>
        <x:v>42.7311214320298</x:v>
      </x:c>
      <x:c r="V344" s="66" t="n">
        <x:f>INDEX('Locations'!$E$6:$E$453,MATCH(C344,'Locations'!$A$6:$A$453,0))</x:f>
        <x:v>-73.6813735825219</x:v>
      </x:c>
      <x:c r="W344" s="44"/>
    </x:row>
    <x:row r="345" ht="23" customHeight="1">
      <x:c r="A345" s="24" t="s">
        <x:v>947</x:v>
      </x:c>
      <x:c r="B345" s="53" t="s">
        <x:v>426</x:v>
      </x:c>
      <x:c r="C345" s="53" t="s">
        <x:v>427</x:v>
      </x:c>
      <x:c r="D345" s="53" t="s">
        <x:v>606</x:v>
      </x:c>
      <x:c r="E345" s="67" t="n">
        <x:f>2*6371000*ASIN(SQRT(MIN(1,SIN(RADIANS(U345-S345)/2)^2+COS(RADIANS(S345))*COS(RADIANS(U345))*SIN(RADIANS(V345-T345)/2)^2)))</x:f>
        <x:v>30.86993245874046</x:v>
      </x:c>
      <x:c r="F345" s="48" t="s">
        <x:v>67</x:v>
      </x:c>
      <x:c r="G345" s="48" t="s">
        <x:v>66</x:v>
      </x:c>
      <x:c r="H345" s="48" t="s">
        <x:v>66</x:v>
      </x:c>
      <x:c r="I345" s="48" t="s">
        <x:v>66</x:v>
      </x:c>
      <x:c r="J345" s="48" t="s">
        <x:v>66</x:v>
      </x:c>
      <x:c r="K345" s="64"/>
      <x:c r="L345" s="64"/>
      <x:c r="M345" s="50"/>
      <x:c r="N345" s="49"/>
      <x:c r="O345" s="50"/>
      <x:c r="P345" s="50"/>
      <x:c r="Q345" s="32">
        <x:v>341</x:v>
      </x:c>
      <x:c r="R345" s="68"/>
      <x:c r="S345" s="54" t="n">
        <x:f>INDEX('Locations'!$D$6:$D$453,MATCH(B345,'Locations'!$A$6:$A$453,0))</x:f>
        <x:v>42.7311041893329</x:v>
      </x:c>
      <x:c r="T345" s="54" t="n">
        <x:f>INDEX('Locations'!$E$6:$E$453,MATCH(B345,'Locations'!$A$6:$A$453,0))</x:f>
        <x:v>-73.6809963646156</x:v>
      </x:c>
      <x:c r="U345" s="54" t="n">
        <x:f>INDEX('Locations'!$D$6:$D$453,MATCH(C345,'Locations'!$A$6:$A$453,0))</x:f>
        <x:v>42.7311214320298</x:v>
      </x:c>
      <x:c r="V345" s="69" t="n">
        <x:f>INDEX('Locations'!$E$6:$E$453,MATCH(C345,'Locations'!$A$6:$A$453,0))</x:f>
        <x:v>-73.6813735825219</x:v>
      </x:c>
      <x:c r="W345" s="44"/>
    </x:row>
    <x:row r="346" ht="23" customHeight="1">
      <x:c r="A346" s="21" t="s">
        <x:v>948</x:v>
      </x:c>
      <x:c r="B346" s="45" t="s">
        <x:v>280</x:v>
      </x:c>
      <x:c r="C346" s="45" t="s">
        <x:v>426</x:v>
      </x:c>
      <x:c r="D346" s="45" t="s">
        <x:v>606</x:v>
      </x:c>
      <x:c r="E346" s="63" t="n">
        <x:f>2*6371000*ASIN(SQRT(MIN(1,SIN(RADIANS(U346-S346)/2)^2+COS(RADIANS(S346))*COS(RADIANS(U346))*SIN(RADIANS(V346-T346)/2)^2)))</x:f>
        <x:v>32.60940953758721</x:v>
      </x:c>
      <x:c r="F346" s="48" t="s">
        <x:v>67</x:v>
      </x:c>
      <x:c r="G346" s="48" t="s">
        <x:v>66</x:v>
      </x:c>
      <x:c r="H346" s="48" t="s">
        <x:v>66</x:v>
      </x:c>
      <x:c r="I346" s="48" t="s">
        <x:v>66</x:v>
      </x:c>
      <x:c r="J346" s="48" t="s">
        <x:v>66</x:v>
      </x:c>
      <x:c r="K346" s="64"/>
      <x:c r="L346" s="64"/>
      <x:c r="M346" s="50"/>
      <x:c r="N346" s="49"/>
      <x:c r="O346" s="50"/>
      <x:c r="P346" s="50"/>
      <x:c r="Q346" s="30">
        <x:v>342</x:v>
      </x:c>
      <x:c r="R346" s="65"/>
      <x:c r="S346" s="46" t="n">
        <x:f>INDEX('Locations'!$D$6:$D$453,MATCH(B346,'Locations'!$A$6:$A$453,0))</x:f>
        <x:v>42.7308168110516</x:v>
      </x:c>
      <x:c r="T346" s="46" t="n">
        <x:f>INDEX('Locations'!$E$6:$E$453,MATCH(B346,'Locations'!$A$6:$A$453,0))</x:f>
        <x:v>-73.6809167827789</x:v>
      </x:c>
      <x:c r="U346" s="46" t="n">
        <x:f>INDEX('Locations'!$D$6:$D$453,MATCH(C346,'Locations'!$A$6:$A$453,0))</x:f>
        <x:v>42.7311041893329</x:v>
      </x:c>
      <x:c r="V346" s="66" t="n">
        <x:f>INDEX('Locations'!$E$6:$E$453,MATCH(C346,'Locations'!$A$6:$A$453,0))</x:f>
        <x:v>-73.6809963646156</x:v>
      </x:c>
      <x:c r="W346" s="44"/>
    </x:row>
    <x:row r="347" ht="23" customHeight="1">
      <x:c r="A347" s="24" t="s">
        <x:v>949</x:v>
      </x:c>
      <x:c r="B347" s="53" t="s">
        <x:v>196</x:v>
      </x:c>
      <x:c r="C347" s="53" t="s">
        <x:v>428</x:v>
      </x:c>
      <x:c r="D347" s="53" t="s">
        <x:v>606</x:v>
      </x:c>
      <x:c r="E347" s="67" t="n">
        <x:f>2*6371000*ASIN(SQRT(MIN(1,SIN(RADIANS(U347-S347)/2)^2+COS(RADIANS(S347))*COS(RADIANS(U347))*SIN(RADIANS(V347-T347)/2)^2)))</x:f>
        <x:v>32.869411366485984</x:v>
      </x:c>
      <x:c r="F347" s="48" t="s">
        <x:v>67</x:v>
      </x:c>
      <x:c r="G347" s="48" t="s">
        <x:v>66</x:v>
      </x:c>
      <x:c r="H347" s="48" t="s">
        <x:v>66</x:v>
      </x:c>
      <x:c r="I347" s="48" t="s">
        <x:v>66</x:v>
      </x:c>
      <x:c r="J347" s="48" t="s">
        <x:v>66</x:v>
      </x:c>
      <x:c r="K347" s="64"/>
      <x:c r="L347" s="64"/>
      <x:c r="M347" s="50"/>
      <x:c r="N347" s="49"/>
      <x:c r="O347" s="50"/>
      <x:c r="P347" s="50"/>
      <x:c r="Q347" s="32">
        <x:v>343</x:v>
      </x:c>
      <x:c r="R347" s="68"/>
      <x:c r="S347" s="54" t="n">
        <x:f>INDEX('Locations'!$D$6:$D$453,MATCH(B347,'Locations'!$A$6:$A$453,0))</x:f>
        <x:v>42.7310834884144</x:v>
      </x:c>
      <x:c r="T347" s="54" t="n">
        <x:f>INDEX('Locations'!$E$6:$E$453,MATCH(B347,'Locations'!$A$6:$A$453,0))</x:f>
        <x:v>-73.6805230007287</x:v>
      </x:c>
      <x:c r="U347" s="54" t="n">
        <x:f>INDEX('Locations'!$D$6:$D$453,MATCH(C347,'Locations'!$A$6:$A$453,0))</x:f>
        <x:v>42.730793820789</x:v>
      </x:c>
      <x:c r="V347" s="69" t="n">
        <x:f>INDEX('Locations'!$E$6:$E$453,MATCH(C347,'Locations'!$A$6:$A$453,0))</x:f>
        <x:v>-73.680603230342</x:v>
      </x:c>
      <x:c r="W347" s="44"/>
    </x:row>
    <x:row r="348" ht="23" customHeight="1">
      <x:c r="A348" s="21" t="s">
        <x:v>950</x:v>
      </x:c>
      <x:c r="B348" s="45" t="s">
        <x:v>280</x:v>
      </x:c>
      <x:c r="C348" s="45" t="s">
        <x:v>428</x:v>
      </x:c>
      <x:c r="D348" s="45" t="s">
        <x:v>606</x:v>
      </x:c>
      <x:c r="E348" s="63" t="n">
        <x:f>2*6371000*ASIN(SQRT(MIN(1,SIN(RADIANS(U348-S348)/2)^2+COS(RADIANS(S348))*COS(RADIANS(U348))*SIN(RADIANS(V348-T348)/2)^2)))</x:f>
        <x:v>25.73767691496592</x:v>
      </x:c>
      <x:c r="F348" s="48" t="s">
        <x:v>67</x:v>
      </x:c>
      <x:c r="G348" s="48" t="s">
        <x:v>66</x:v>
      </x:c>
      <x:c r="H348" s="48" t="s">
        <x:v>66</x:v>
      </x:c>
      <x:c r="I348" s="48" t="s">
        <x:v>66</x:v>
      </x:c>
      <x:c r="J348" s="48" t="s">
        <x:v>66</x:v>
      </x:c>
      <x:c r="K348" s="64"/>
      <x:c r="L348" s="64"/>
      <x:c r="M348" s="50"/>
      <x:c r="N348" s="49"/>
      <x:c r="O348" s="50"/>
      <x:c r="P348" s="50"/>
      <x:c r="Q348" s="30">
        <x:v>344</x:v>
      </x:c>
      <x:c r="R348" s="65"/>
      <x:c r="S348" s="46" t="n">
        <x:f>INDEX('Locations'!$D$6:$D$453,MATCH(B348,'Locations'!$A$6:$A$453,0))</x:f>
        <x:v>42.7308168110516</x:v>
      </x:c>
      <x:c r="T348" s="46" t="n">
        <x:f>INDEX('Locations'!$E$6:$E$453,MATCH(B348,'Locations'!$A$6:$A$453,0))</x:f>
        <x:v>-73.6809167827789</x:v>
      </x:c>
      <x:c r="U348" s="46" t="n">
        <x:f>INDEX('Locations'!$D$6:$D$453,MATCH(C348,'Locations'!$A$6:$A$453,0))</x:f>
        <x:v>42.730793820789</x:v>
      </x:c>
      <x:c r="V348" s="66" t="n">
        <x:f>INDEX('Locations'!$E$6:$E$453,MATCH(C348,'Locations'!$A$6:$A$453,0))</x:f>
        <x:v>-73.680603230342</x:v>
      </x:c>
      <x:c r="W348" s="44"/>
    </x:row>
    <x:row r="349" ht="23" customHeight="1">
      <x:c r="A349" s="24" t="s">
        <x:v>951</x:v>
      </x:c>
      <x:c r="B349" s="53" t="s">
        <x:v>279</x:v>
      </x:c>
      <x:c r="C349" s="53" t="s">
        <x:v>428</x:v>
      </x:c>
      <x:c r="D349" s="53" t="s">
        <x:v>606</x:v>
      </x:c>
      <x:c r="E349" s="67" t="n">
        <x:f>2*6371000*ASIN(SQRT(MIN(1,SIN(RADIANS(U349-S349)/2)^2+COS(RADIANS(S349))*COS(RADIANS(U349))*SIN(RADIANS(V349-T349)/2)^2)))</x:f>
        <x:v>22.956275968477776</x:v>
      </x:c>
      <x:c r="F349" s="48" t="s">
        <x:v>67</x:v>
      </x:c>
      <x:c r="G349" s="48" t="s">
        <x:v>66</x:v>
      </x:c>
      <x:c r="H349" s="48" t="s">
        <x:v>66</x:v>
      </x:c>
      <x:c r="I349" s="48" t="s">
        <x:v>66</x:v>
      </x:c>
      <x:c r="J349" s="48" t="s">
        <x:v>66</x:v>
      </x:c>
      <x:c r="K349" s="64"/>
      <x:c r="L349" s="64"/>
      <x:c r="M349" s="50"/>
      <x:c r="N349" s="49"/>
      <x:c r="O349" s="50"/>
      <x:c r="P349" s="50"/>
      <x:c r="Q349" s="32">
        <x:v>345</x:v>
      </x:c>
      <x:c r="R349" s="68"/>
      <x:c r="S349" s="54" t="n">
        <x:f>INDEX('Locations'!$D$6:$D$453,MATCH(B349,'Locations'!$A$6:$A$453,0))</x:f>
        <x:v>42.7307524383165</x:v>
      </x:c>
      <x:c r="T349" s="54" t="n">
        <x:f>INDEX('Locations'!$E$6:$E$453,MATCH(B349,'Locations'!$A$6:$A$453,0))</x:f>
        <x:v>-73.6803278771868</x:v>
      </x:c>
      <x:c r="U349" s="54" t="n">
        <x:f>INDEX('Locations'!$D$6:$D$453,MATCH(C349,'Locations'!$A$6:$A$453,0))</x:f>
        <x:v>42.730793820789</x:v>
      </x:c>
      <x:c r="V349" s="69" t="n">
        <x:f>INDEX('Locations'!$E$6:$E$453,MATCH(C349,'Locations'!$A$6:$A$453,0))</x:f>
        <x:v>-73.680603230342</x:v>
      </x:c>
      <x:c r="W349" s="44"/>
    </x:row>
    <x:row r="350" ht="23" customHeight="1">
      <x:c r="A350" s="21" t="s">
        <x:v>952</x:v>
      </x:c>
      <x:c r="B350" s="45" t="s">
        <x:v>411</x:v>
      </x:c>
      <x:c r="C350" s="45" t="s">
        <x:v>429</x:v>
      </x:c>
      <x:c r="D350" s="45" t="s">
        <x:v>606</x:v>
      </x:c>
      <x:c r="E350" s="63" t="n">
        <x:f>2*6371000*ASIN(SQRT(MIN(1,SIN(RADIANS(U350-S350)/2)^2+COS(RADIANS(S350))*COS(RADIANS(U350))*SIN(RADIANS(V350-T350)/2)^2)))</x:f>
        <x:v>76.32667647810504</x:v>
      </x:c>
      <x:c r="F350" s="48" t="s">
        <x:v>67</x:v>
      </x:c>
      <x:c r="G350" s="48" t="s">
        <x:v>66</x:v>
      </x:c>
      <x:c r="H350" s="48" t="s">
        <x:v>66</x:v>
      </x:c>
      <x:c r="I350" s="48" t="s">
        <x:v>66</x:v>
      </x:c>
      <x:c r="J350" s="48" t="s">
        <x:v>66</x:v>
      </x:c>
      <x:c r="K350" s="64"/>
      <x:c r="L350" s="64"/>
      <x:c r="M350" s="50"/>
      <x:c r="N350" s="49"/>
      <x:c r="O350" s="50"/>
      <x:c r="P350" s="50"/>
      <x:c r="Q350" s="30">
        <x:v>346</x:v>
      </x:c>
      <x:c r="R350" s="65"/>
      <x:c r="S350" s="46" t="n">
        <x:f>INDEX('Locations'!$D$6:$D$453,MATCH(B350,'Locations'!$A$6:$A$453,0))</x:f>
        <x:v>42.7314295015473</x:v>
      </x:c>
      <x:c r="T350" s="46" t="n">
        <x:f>INDEX('Locations'!$E$6:$E$453,MATCH(B350,'Locations'!$A$6:$A$453,0))</x:f>
        <x:v>-73.6812669428606</x:v>
      </x:c>
      <x:c r="U350" s="46" t="n">
        <x:f>INDEX('Locations'!$D$6:$D$453,MATCH(C350,'Locations'!$A$6:$A$453,0))</x:f>
        <x:v>42.7312513270129</x:v>
      </x:c>
      <x:c r="V350" s="66" t="n">
        <x:f>INDEX('Locations'!$E$6:$E$453,MATCH(C350,'Locations'!$A$6:$A$453,0))</x:f>
        <x:v>-73.6803644848317</x:v>
      </x:c>
      <x:c r="W350" s="44"/>
    </x:row>
    <x:row r="351" ht="23" customHeight="1">
      <x:c r="A351" s="24" t="s">
        <x:v>953</x:v>
      </x:c>
      <x:c r="B351" s="53" t="s">
        <x:v>333</x:v>
      </x:c>
      <x:c r="C351" s="53" t="s">
        <x:v>429</x:v>
      </x:c>
      <x:c r="D351" s="53" t="s">
        <x:v>606</x:v>
      </x:c>
      <x:c r="E351" s="67" t="n">
        <x:f>2*6371000*ASIN(SQRT(MIN(1,SIN(RADIANS(U351-S351)/2)^2+COS(RADIANS(S351))*COS(RADIANS(U351))*SIN(RADIANS(V351-T351)/2)^2)))</x:f>
        <x:v>42.57484451133715</x:v>
      </x:c>
      <x:c r="F351" s="48" t="s">
        <x:v>67</x:v>
      </x:c>
      <x:c r="G351" s="48" t="s">
        <x:v>66</x:v>
      </x:c>
      <x:c r="H351" s="48" t="s">
        <x:v>66</x:v>
      </x:c>
      <x:c r="I351" s="48" t="s">
        <x:v>66</x:v>
      </x:c>
      <x:c r="J351" s="48" t="s">
        <x:v>66</x:v>
      </x:c>
      <x:c r="K351" s="64"/>
      <x:c r="L351" s="64"/>
      <x:c r="M351" s="50"/>
      <x:c r="N351" s="49"/>
      <x:c r="O351" s="50"/>
      <x:c r="P351" s="50"/>
      <x:c r="Q351" s="32">
        <x:v>347</x:v>
      </x:c>
      <x:c r="R351" s="68"/>
      <x:c r="S351" s="54" t="n">
        <x:f>INDEX('Locations'!$D$6:$D$453,MATCH(B351,'Locations'!$A$6:$A$453,0))</x:f>
        <x:v>42.7311386747266</x:v>
      </x:c>
      <x:c r="T351" s="54" t="n">
        <x:f>INDEX('Locations'!$E$6:$E$453,MATCH(B351,'Locations'!$A$6:$A$453,0))</x:f>
        <x:v>-73.6798663025336</x:v>
      </x:c>
      <x:c r="U351" s="54" t="n">
        <x:f>INDEX('Locations'!$D$6:$D$453,MATCH(C351,'Locations'!$A$6:$A$453,0))</x:f>
        <x:v>42.7312513270129</x:v>
      </x:c>
      <x:c r="V351" s="69" t="n">
        <x:f>INDEX('Locations'!$E$6:$E$453,MATCH(C351,'Locations'!$A$6:$A$453,0))</x:f>
        <x:v>-73.6803644848317</x:v>
      </x:c>
      <x:c r="W351" s="44"/>
    </x:row>
    <x:row r="352" ht="23" customHeight="1">
      <x:c r="A352" s="21" t="s">
        <x:v>954</x:v>
      </x:c>
      <x:c r="B352" s="45" t="s">
        <x:v>431</x:v>
      </x:c>
      <x:c r="C352" s="45" t="s">
        <x:v>430</x:v>
      </x:c>
      <x:c r="D352" s="45" t="s">
        <x:v>606</x:v>
      </x:c>
      <x:c r="E352" s="63" t="n">
        <x:f>2*6371000*ASIN(SQRT(MIN(1,SIN(RADIANS(U352-S352)/2)^2+COS(RADIANS(S352))*COS(RADIANS(U352))*SIN(RADIANS(V352-T352)/2)^2)))</x:f>
        <x:v>41.83331574791484</x:v>
      </x:c>
      <x:c r="F352" s="48" t="s">
        <x:v>67</x:v>
      </x:c>
      <x:c r="G352" s="48" t="s">
        <x:v>66</x:v>
      </x:c>
      <x:c r="H352" s="48" t="s">
        <x:v>66</x:v>
      </x:c>
      <x:c r="I352" s="48" t="s">
        <x:v>66</x:v>
      </x:c>
      <x:c r="J352" s="48" t="s">
        <x:v>66</x:v>
      </x:c>
      <x:c r="K352" s="64"/>
      <x:c r="L352" s="64"/>
      <x:c r="M352" s="50"/>
      <x:c r="N352" s="49"/>
      <x:c r="O352" s="50"/>
      <x:c r="P352" s="50"/>
      <x:c r="Q352" s="30">
        <x:v>348</x:v>
      </x:c>
      <x:c r="R352" s="65"/>
      <x:c r="S352" s="46" t="n">
        <x:f>INDEX('Locations'!$D$6:$D$453,MATCH(B352,'Locations'!$A$6:$A$453,0))</x:f>
        <x:v>42.7315869848455</x:v>
      </x:c>
      <x:c r="T352" s="46" t="n">
        <x:f>INDEX('Locations'!$E$6:$E$453,MATCH(B352,'Locations'!$A$6:$A$453,0))</x:f>
        <x:v>-73.6808340176686</x:v>
      </x:c>
      <x:c r="U352" s="46" t="n">
        <x:f>INDEX('Locations'!$D$6:$D$453,MATCH(C352,'Locations'!$A$6:$A$453,0))</x:f>
        <x:v>42.7314191559292</x:v>
      </x:c>
      <x:c r="V352" s="66" t="n">
        <x:f>INDEX('Locations'!$E$6:$E$453,MATCH(C352,'Locations'!$A$6:$A$453,0))</x:f>
        <x:v>-73.6803756262889</x:v>
      </x:c>
      <x:c r="W352" s="44"/>
    </x:row>
    <x:row r="353" ht="23" customHeight="1">
      <x:c r="A353" s="24" t="s">
        <x:v>955</x:v>
      </x:c>
      <x:c r="B353" s="53" t="s">
        <x:v>429</x:v>
      </x:c>
      <x:c r="C353" s="53" t="s">
        <x:v>430</x:v>
      </x:c>
      <x:c r="D353" s="53" t="s">
        <x:v>606</x:v>
      </x:c>
      <x:c r="E353" s="67" t="n">
        <x:f>2*6371000*ASIN(SQRT(MIN(1,SIN(RADIANS(U353-S353)/2)^2+COS(RADIANS(S353))*COS(RADIANS(U353))*SIN(RADIANS(V353-T353)/2)^2)))</x:f>
        <x:v>18.683898310378943</x:v>
      </x:c>
      <x:c r="F353" s="48" t="s">
        <x:v>67</x:v>
      </x:c>
      <x:c r="G353" s="48" t="s">
        <x:v>66</x:v>
      </x:c>
      <x:c r="H353" s="48" t="s">
        <x:v>66</x:v>
      </x:c>
      <x:c r="I353" s="48" t="s">
        <x:v>66</x:v>
      </x:c>
      <x:c r="J353" s="48" t="s">
        <x:v>66</x:v>
      </x:c>
      <x:c r="K353" s="64"/>
      <x:c r="L353" s="64"/>
      <x:c r="M353" s="50"/>
      <x:c r="N353" s="49"/>
      <x:c r="O353" s="50"/>
      <x:c r="P353" s="50"/>
      <x:c r="Q353" s="32">
        <x:v>349</x:v>
      </x:c>
      <x:c r="R353" s="68"/>
      <x:c r="S353" s="54" t="n">
        <x:f>INDEX('Locations'!$D$6:$D$453,MATCH(B353,'Locations'!$A$6:$A$453,0))</x:f>
        <x:v>42.7312513270129</x:v>
      </x:c>
      <x:c r="T353" s="54" t="n">
        <x:f>INDEX('Locations'!$E$6:$E$453,MATCH(B353,'Locations'!$A$6:$A$453,0))</x:f>
        <x:v>-73.6803644848317</x:v>
      </x:c>
      <x:c r="U353" s="54" t="n">
        <x:f>INDEX('Locations'!$D$6:$D$453,MATCH(C353,'Locations'!$A$6:$A$453,0))</x:f>
        <x:v>42.7314191559292</x:v>
      </x:c>
      <x:c r="V353" s="69" t="n">
        <x:f>INDEX('Locations'!$E$6:$E$453,MATCH(C353,'Locations'!$A$6:$A$453,0))</x:f>
        <x:v>-73.6803756262889</x:v>
      </x:c>
      <x:c r="W353" s="44"/>
    </x:row>
    <x:row r="354" ht="23" customHeight="1">
      <x:c r="A354" s="21" t="s">
        <x:v>956</x:v>
      </x:c>
      <x:c r="B354" s="45" t="s">
        <x:v>431</x:v>
      </x:c>
      <x:c r="C354" s="45" t="s">
        <x:v>432</x:v>
      </x:c>
      <x:c r="D354" s="45" t="s">
        <x:v>606</x:v>
      </x:c>
      <x:c r="E354" s="63" t="n">
        <x:f>2*6371000*ASIN(SQRT(MIN(1,SIN(RADIANS(U354-S354)/2)^2+COS(RADIANS(S354))*COS(RADIANS(U354))*SIN(RADIANS(V354-T354)/2)^2)))</x:f>
        <x:v>49.328114391610825</x:v>
      </x:c>
      <x:c r="F354" s="48" t="s">
        <x:v>67</x:v>
      </x:c>
      <x:c r="G354" s="48" t="s">
        <x:v>66</x:v>
      </x:c>
      <x:c r="H354" s="48" t="s">
        <x:v>66</x:v>
      </x:c>
      <x:c r="I354" s="48" t="s">
        <x:v>66</x:v>
      </x:c>
      <x:c r="J354" s="48" t="s">
        <x:v>66</x:v>
      </x:c>
      <x:c r="K354" s="64"/>
      <x:c r="L354" s="64"/>
      <x:c r="M354" s="50"/>
      <x:c r="N354" s="49"/>
      <x:c r="O354" s="50"/>
      <x:c r="P354" s="50"/>
      <x:c r="Q354" s="30">
        <x:v>350</x:v>
      </x:c>
      <x:c r="R354" s="65"/>
      <x:c r="S354" s="46" t="n">
        <x:f>INDEX('Locations'!$D$6:$D$453,MATCH(B354,'Locations'!$A$6:$A$453,0))</x:f>
        <x:v>42.7315869848455</x:v>
      </x:c>
      <x:c r="T354" s="46" t="n">
        <x:f>INDEX('Locations'!$E$6:$E$453,MATCH(B354,'Locations'!$A$6:$A$453,0))</x:f>
        <x:v>-73.6808340176686</x:v>
      </x:c>
      <x:c r="U354" s="46" t="n">
        <x:f>INDEX('Locations'!$D$6:$D$453,MATCH(C354,'Locations'!$A$6:$A$453,0))</x:f>
        <x:v>42.7319433339144</x:v>
      </x:c>
      <x:c r="V354" s="66" t="n">
        <x:f>INDEX('Locations'!$E$6:$E$453,MATCH(C354,'Locations'!$A$6:$A$453,0))</x:f>
        <x:v>-73.6811937275708</x:v>
      </x:c>
      <x:c r="W354" s="44"/>
    </x:row>
    <x:row r="355" ht="23" customHeight="1">
      <x:c r="A355" s="24" t="s">
        <x:v>957</x:v>
      </x:c>
      <x:c r="B355" s="53" t="s">
        <x:v>82</x:v>
      </x:c>
      <x:c r="C355" s="53" t="s">
        <x:v>433</x:v>
      </x:c>
      <x:c r="D355" s="53" t="s">
        <x:v>606</x:v>
      </x:c>
      <x:c r="E355" s="67" t="n">
        <x:f>2*6371000*ASIN(SQRT(MIN(1,SIN(RADIANS(U355-S355)/2)^2+COS(RADIANS(S355))*COS(RADIANS(U355))*SIN(RADIANS(V355-T355)/2)^2)))</x:f>
        <x:v>23.188485272499374</x:v>
      </x:c>
      <x:c r="F355" s="48" t="s">
        <x:v>67</x:v>
      </x:c>
      <x:c r="G355" s="48" t="s">
        <x:v>66</x:v>
      </x:c>
      <x:c r="H355" s="48" t="s">
        <x:v>66</x:v>
      </x:c>
      <x:c r="I355" s="48" t="s">
        <x:v>66</x:v>
      </x:c>
      <x:c r="J355" s="48" t="s">
        <x:v>66</x:v>
      </x:c>
      <x:c r="K355" s="64"/>
      <x:c r="L355" s="64"/>
      <x:c r="M355" s="50"/>
      <x:c r="N355" s="49"/>
      <x:c r="O355" s="50"/>
      <x:c r="P355" s="50"/>
      <x:c r="Q355" s="32">
        <x:v>351</x:v>
      </x:c>
      <x:c r="R355" s="68"/>
      <x:c r="S355" s="54" t="n">
        <x:f>INDEX('Locations'!$D$6:$D$453,MATCH(B355,'Locations'!$A$6:$A$453,0))</x:f>
        <x:v>42.7321517031695</x:v>
      </x:c>
      <x:c r="T355" s="54" t="n">
        <x:f>INDEX('Locations'!$E$6:$E$453,MATCH(B355,'Locations'!$A$6:$A$453,0))</x:f>
        <x:v>-73.6808557374853</x:v>
      </x:c>
      <x:c r="U355" s="54" t="n">
        <x:f>INDEX('Locations'!$D$6:$D$453,MATCH(C355,'Locations'!$A$6:$A$453,0))</x:f>
        <x:v>42.7321548443294</x:v>
      </x:c>
      <x:c r="V355" s="69" t="n">
        <x:f>INDEX('Locations'!$E$6:$E$453,MATCH(C355,'Locations'!$A$6:$A$453,0))</x:f>
        <x:v>-73.6811396119218</x:v>
      </x:c>
      <x:c r="W355" s="44"/>
    </x:row>
    <x:row r="356" ht="23" customHeight="1">
      <x:c r="A356" s="21" t="s">
        <x:v>958</x:v>
      </x:c>
      <x:c r="B356" s="45" t="s">
        <x:v>432</x:v>
      </x:c>
      <x:c r="C356" s="45" t="s">
        <x:v>433</x:v>
      </x:c>
      <x:c r="D356" s="45" t="s">
        <x:v>606</x:v>
      </x:c>
      <x:c r="E356" s="63" t="n">
        <x:f>2*6371000*ASIN(SQRT(MIN(1,SIN(RADIANS(U356-S356)/2)^2+COS(RADIANS(S356))*COS(RADIANS(U356))*SIN(RADIANS(V356-T356)/2)^2)))</x:f>
        <x:v>23.930611971381428</x:v>
      </x:c>
      <x:c r="F356" s="48" t="s">
        <x:v>67</x:v>
      </x:c>
      <x:c r="G356" s="48" t="s">
        <x:v>66</x:v>
      </x:c>
      <x:c r="H356" s="48" t="s">
        <x:v>66</x:v>
      </x:c>
      <x:c r="I356" s="48" t="s">
        <x:v>66</x:v>
      </x:c>
      <x:c r="J356" s="48" t="s">
        <x:v>66</x:v>
      </x:c>
      <x:c r="K356" s="64"/>
      <x:c r="L356" s="64"/>
      <x:c r="M356" s="50"/>
      <x:c r="N356" s="49"/>
      <x:c r="O356" s="50"/>
      <x:c r="P356" s="50"/>
      <x:c r="Q356" s="30">
        <x:v>352</x:v>
      </x:c>
      <x:c r="R356" s="65"/>
      <x:c r="S356" s="46" t="n">
        <x:f>INDEX('Locations'!$D$6:$D$453,MATCH(B356,'Locations'!$A$6:$A$453,0))</x:f>
        <x:v>42.7319433339144</x:v>
      </x:c>
      <x:c r="T356" s="46" t="n">
        <x:f>INDEX('Locations'!$E$6:$E$453,MATCH(B356,'Locations'!$A$6:$A$453,0))</x:f>
        <x:v>-73.6811937275708</x:v>
      </x:c>
      <x:c r="U356" s="46" t="n">
        <x:f>INDEX('Locations'!$D$6:$D$453,MATCH(C356,'Locations'!$A$6:$A$453,0))</x:f>
        <x:v>42.7321548443294</x:v>
      </x:c>
      <x:c r="V356" s="66" t="n">
        <x:f>INDEX('Locations'!$E$6:$E$453,MATCH(C356,'Locations'!$A$6:$A$453,0))</x:f>
        <x:v>-73.6811396119218</x:v>
      </x:c>
      <x:c r="W356" s="44"/>
    </x:row>
    <x:row r="357" ht="23" customHeight="1">
      <x:c r="A357" s="24" t="s">
        <x:v>959</x:v>
      </x:c>
      <x:c r="B357" s="53" t="s">
        <x:v>434</x:v>
      </x:c>
      <x:c r="C357" s="53" t="s">
        <x:v>432</x:v>
      </x:c>
      <x:c r="D357" s="53" t="s">
        <x:v>606</x:v>
      </x:c>
      <x:c r="E357" s="67" t="n">
        <x:f>2*6371000*ASIN(SQRT(MIN(1,SIN(RADIANS(U357-S357)/2)^2+COS(RADIANS(S357))*COS(RADIANS(U357))*SIN(RADIANS(V357-T357)/2)^2)))</x:f>
        <x:v>44.75920809041463</x:v>
      </x:c>
      <x:c r="F357" s="48" t="s">
        <x:v>67</x:v>
      </x:c>
      <x:c r="G357" s="48" t="s">
        <x:v>66</x:v>
      </x:c>
      <x:c r="H357" s="48" t="s">
        <x:v>66</x:v>
      </x:c>
      <x:c r="I357" s="48" t="s">
        <x:v>66</x:v>
      </x:c>
      <x:c r="J357" s="48" t="s">
        <x:v>66</x:v>
      </x:c>
      <x:c r="K357" s="64"/>
      <x:c r="L357" s="64"/>
      <x:c r="M357" s="50"/>
      <x:c r="N357" s="49"/>
      <x:c r="O357" s="50"/>
      <x:c r="P357" s="50"/>
      <x:c r="Q357" s="32">
        <x:v>353</x:v>
      </x:c>
      <x:c r="R357" s="68"/>
      <x:c r="S357" s="54" t="n">
        <x:f>INDEX('Locations'!$D$6:$D$453,MATCH(B357,'Locations'!$A$6:$A$453,0))</x:f>
        <x:v>42.7323410654557</x:v>
      </x:c>
      <x:c r="T357" s="54" t="n">
        <x:f>INDEX('Locations'!$E$6:$E$453,MATCH(B357,'Locations'!$A$6:$A$453,0))</x:f>
        <x:v>-73.6812780843178</x:v>
      </x:c>
      <x:c r="U357" s="54" t="n">
        <x:f>INDEX('Locations'!$D$6:$D$453,MATCH(C357,'Locations'!$A$6:$A$453,0))</x:f>
        <x:v>42.7319433339144</x:v>
      </x:c>
      <x:c r="V357" s="69" t="n">
        <x:f>INDEX('Locations'!$E$6:$E$453,MATCH(C357,'Locations'!$A$6:$A$453,0))</x:f>
        <x:v>-73.6811937275708</x:v>
      </x:c>
      <x:c r="W357" s="44"/>
    </x:row>
    <x:row r="358" ht="23" customHeight="1">
      <x:c r="A358" s="21" t="s">
        <x:v>960</x:v>
      </x:c>
      <x:c r="B358" s="45" t="s">
        <x:v>435</x:v>
      </x:c>
      <x:c r="C358" s="45" t="s">
        <x:v>434</x:v>
      </x:c>
      <x:c r="D358" s="45" t="s">
        <x:v>606</x:v>
      </x:c>
      <x:c r="E358" s="63" t="n">
        <x:f>2*6371000*ASIN(SQRT(MIN(1,SIN(RADIANS(U358-S358)/2)^2+COS(RADIANS(S358))*COS(RADIANS(U358))*SIN(RADIANS(V358-T358)/2)^2)))</x:f>
        <x:v>32.93374845727275</x:v>
      </x:c>
      <x:c r="F358" s="48" t="s">
        <x:v>67</x:v>
      </x:c>
      <x:c r="G358" s="48" t="s">
        <x:v>66</x:v>
      </x:c>
      <x:c r="H358" s="48" t="s">
        <x:v>66</x:v>
      </x:c>
      <x:c r="I358" s="48" t="s">
        <x:v>66</x:v>
      </x:c>
      <x:c r="J358" s="48" t="s">
        <x:v>66</x:v>
      </x:c>
      <x:c r="K358" s="64"/>
      <x:c r="L358" s="64"/>
      <x:c r="M358" s="50"/>
      <x:c r="N358" s="49"/>
      <x:c r="O358" s="50"/>
      <x:c r="P358" s="50"/>
      <x:c r="Q358" s="30">
        <x:v>354</x:v>
      </x:c>
      <x:c r="R358" s="65"/>
      <x:c r="S358" s="46" t="n">
        <x:f>INDEX('Locations'!$D$6:$D$453,MATCH(B358,'Locations'!$A$6:$A$453,0))</x:f>
        <x:v>42.732527286582</x:v>
      </x:c>
      <x:c r="T358" s="46" t="n">
        <x:f>INDEX('Locations'!$E$6:$E$453,MATCH(B358,'Locations'!$A$6:$A$453,0))</x:f>
        <x:v>-73.6809645318809</x:v>
      </x:c>
      <x:c r="U358" s="46" t="n">
        <x:f>INDEX('Locations'!$D$6:$D$453,MATCH(C358,'Locations'!$A$6:$A$453,0))</x:f>
        <x:v>42.7323410654557</x:v>
      </x:c>
      <x:c r="V358" s="66" t="n">
        <x:f>INDEX('Locations'!$E$6:$E$453,MATCH(C358,'Locations'!$A$6:$A$453,0))</x:f>
        <x:v>-73.6812780843178</x:v>
      </x:c>
      <x:c r="W358" s="44"/>
    </x:row>
    <x:row r="359" ht="23" customHeight="1">
      <x:c r="A359" s="24" t="s">
        <x:v>961</x:v>
      </x:c>
      <x:c r="B359" s="53" t="s">
        <x:v>412</x:v>
      </x:c>
      <x:c r="C359" s="53" t="s">
        <x:v>436</x:v>
      </x:c>
      <x:c r="D359" s="53" t="s">
        <x:v>606</x:v>
      </x:c>
      <x:c r="E359" s="67" t="n">
        <x:f>2*6371000*ASIN(SQRT(MIN(1,SIN(RADIANS(U359-S359)/2)^2+COS(RADIANS(S359))*COS(RADIANS(U359))*SIN(RADIANS(V359-T359)/2)^2)))</x:f>
        <x:v>109.25381213981925</x:v>
      </x:c>
      <x:c r="F359" s="48" t="s">
        <x:v>67</x:v>
      </x:c>
      <x:c r="G359" s="48" t="s">
        <x:v>66</x:v>
      </x:c>
      <x:c r="H359" s="48" t="s">
        <x:v>66</x:v>
      </x:c>
      <x:c r="I359" s="48" t="s">
        <x:v>66</x:v>
      </x:c>
      <x:c r="J359" s="48" t="s">
        <x:v>66</x:v>
      </x:c>
      <x:c r="K359" s="64"/>
      <x:c r="L359" s="64"/>
      <x:c r="M359" s="50"/>
      <x:c r="N359" s="49"/>
      <x:c r="O359" s="50"/>
      <x:c r="P359" s="50"/>
      <x:c r="Q359" s="32">
        <x:v>355</x:v>
      </x:c>
      <x:c r="R359" s="68"/>
      <x:c r="S359" s="54" t="n">
        <x:f>INDEX('Locations'!$D$6:$D$453,MATCH(B359,'Locations'!$A$6:$A$453,0))</x:f>
        <x:v>42.7321157608832</x:v>
      </x:c>
      <x:c r="T359" s="54" t="n">
        <x:f>INDEX('Locations'!$E$6:$E$453,MATCH(B359,'Locations'!$A$6:$A$453,0))</x:f>
        <x:v>-73.6818335655384</x:v>
      </x:c>
      <x:c r="U359" s="54" t="n">
        <x:f>INDEX('Locations'!$D$6:$D$453,MATCH(C359,'Locations'!$A$6:$A$453,0))</x:f>
        <x:v>42.7328801871115</x:v>
      </x:c>
      <x:c r="V359" s="69" t="n">
        <x:f>INDEX('Locations'!$E$6:$E$453,MATCH(C359,'Locations'!$A$6:$A$453,0))</x:f>
        <x:v>-73.6826739497346</x:v>
      </x:c>
      <x:c r="W359" s="44"/>
    </x:row>
    <x:row r="360" ht="23" customHeight="1">
      <x:c r="A360" s="21" t="s">
        <x:v>962</x:v>
      </x:c>
      <x:c r="B360" s="45" t="s">
        <x:v>80</x:v>
      </x:c>
      <x:c r="C360" s="45" t="s">
        <x:v>436</x:v>
      </x:c>
      <x:c r="D360" s="45" t="s">
        <x:v>606</x:v>
      </x:c>
      <x:c r="E360" s="63" t="n">
        <x:f>2*6371000*ASIN(SQRT(MIN(1,SIN(RADIANS(U360-S360)/2)^2+COS(RADIANS(S360))*COS(RADIANS(U360))*SIN(RADIANS(V360-T360)/2)^2)))</x:f>
        <x:v>47.02560883291863</x:v>
      </x:c>
      <x:c r="F360" s="48" t="s">
        <x:v>67</x:v>
      </x:c>
      <x:c r="G360" s="48" t="s">
        <x:v>66</x:v>
      </x:c>
      <x:c r="H360" s="48" t="s">
        <x:v>66</x:v>
      </x:c>
      <x:c r="I360" s="48" t="s">
        <x:v>66</x:v>
      </x:c>
      <x:c r="J360" s="48" t="s">
        <x:v>66</x:v>
      </x:c>
      <x:c r="K360" s="64"/>
      <x:c r="L360" s="64"/>
      <x:c r="M360" s="50"/>
      <x:c r="N360" s="49"/>
      <x:c r="O360" s="50"/>
      <x:c r="P360" s="50"/>
      <x:c r="Q360" s="30">
        <x:v>356</x:v>
      </x:c>
      <x:c r="R360" s="65"/>
      <x:c r="S360" s="46" t="n">
        <x:f>INDEX('Locations'!$D$6:$D$453,MATCH(B360,'Locations'!$A$6:$A$453,0))</x:f>
        <x:v>42.7324848429346</x:v>
      </x:c>
      <x:c r="T360" s="46" t="n">
        <x:f>INDEX('Locations'!$E$6:$E$453,MATCH(B360,'Locations'!$A$6:$A$453,0))</x:f>
        <x:v>-73.6828784215001</x:v>
      </x:c>
      <x:c r="U360" s="46" t="n">
        <x:f>INDEX('Locations'!$D$6:$D$453,MATCH(C360,'Locations'!$A$6:$A$453,0))</x:f>
        <x:v>42.7328801871115</x:v>
      </x:c>
      <x:c r="V360" s="66" t="n">
        <x:f>INDEX('Locations'!$E$6:$E$453,MATCH(C360,'Locations'!$A$6:$A$453,0))</x:f>
        <x:v>-73.6826739497346</x:v>
      </x:c>
      <x:c r="W360" s="44"/>
    </x:row>
    <x:row r="361" ht="23" customHeight="1">
      <x:c r="A361" s="24" t="s">
        <x:v>963</x:v>
      </x:c>
      <x:c r="B361" s="53" t="s">
        <x:v>375</x:v>
      </x:c>
      <x:c r="C361" s="53" t="s">
        <x:v>437</x:v>
      </x:c>
      <x:c r="D361" s="53" t="s">
        <x:v>606</x:v>
      </x:c>
      <x:c r="E361" s="67" t="n">
        <x:f>2*6371000*ASIN(SQRT(MIN(1,SIN(RADIANS(U361-S361)/2)^2+COS(RADIANS(S361))*COS(RADIANS(U361))*SIN(RADIANS(V361-T361)/2)^2)))</x:f>
        <x:v>46.71689046482539</x:v>
      </x:c>
      <x:c r="F361" s="48" t="s">
        <x:v>67</x:v>
      </x:c>
      <x:c r="G361" s="48" t="s">
        <x:v>66</x:v>
      </x:c>
      <x:c r="H361" s="48" t="s">
        <x:v>66</x:v>
      </x:c>
      <x:c r="I361" s="48" t="s">
        <x:v>66</x:v>
      </x:c>
      <x:c r="J361" s="48" t="s">
        <x:v>66</x:v>
      </x:c>
      <x:c r="K361" s="64"/>
      <x:c r="L361" s="64"/>
      <x:c r="M361" s="50"/>
      <x:c r="N361" s="49"/>
      <x:c r="O361" s="50"/>
      <x:c r="P361" s="50"/>
      <x:c r="Q361" s="32">
        <x:v>357</x:v>
      </x:c>
      <x:c r="R361" s="68"/>
      <x:c r="S361" s="54" t="n">
        <x:f>INDEX('Locations'!$D$6:$D$453,MATCH(B361,'Locations'!$A$6:$A$453,0))</x:f>
        <x:v>42.7285373265241</x:v>
      </x:c>
      <x:c r="T361" s="54" t="n">
        <x:f>INDEX('Locations'!$E$6:$E$453,MATCH(B361,'Locations'!$A$6:$A$453,0))</x:f>
        <x:v>-73.6848529004252</x:v>
      </x:c>
      <x:c r="U361" s="54" t="n">
        <x:f>INDEX('Locations'!$D$6:$D$453,MATCH(C361,'Locations'!$A$6:$A$453,0))</x:f>
        <x:v>42.7281269503383</x:v>
      </x:c>
      <x:c r="V361" s="69" t="n">
        <x:f>INDEX('Locations'!$E$6:$E$453,MATCH(C361,'Locations'!$A$6:$A$453,0))</x:f>
        <x:v>-73.6849754564538</x:v>
      </x:c>
      <x:c r="W361" s="44"/>
    </x:row>
    <x:row r="362" ht="23" customHeight="1">
      <x:c r="A362" s="21" t="s">
        <x:v>964</x:v>
      </x:c>
      <x:c r="B362" s="45" t="s">
        <x:v>388</x:v>
      </x:c>
      <x:c r="C362" s="45" t="s">
        <x:v>437</x:v>
      </x:c>
      <x:c r="D362" s="45" t="s">
        <x:v>606</x:v>
      </x:c>
      <x:c r="E362" s="63" t="n">
        <x:f>2*6371000*ASIN(SQRT(MIN(1,SIN(RADIANS(U362-S362)/2)^2+COS(RADIANS(S362))*COS(RADIANS(U362))*SIN(RADIANS(V362-T362)/2)^2)))</x:f>
        <x:v>210.93116402464364</x:v>
      </x:c>
      <x:c r="F362" s="48" t="s">
        <x:v>67</x:v>
      </x:c>
      <x:c r="G362" s="48" t="s">
        <x:v>66</x:v>
      </x:c>
      <x:c r="H362" s="48" t="s">
        <x:v>66</x:v>
      </x:c>
      <x:c r="I362" s="48" t="s">
        <x:v>66</x:v>
      </x:c>
      <x:c r="J362" s="48" t="s">
        <x:v>66</x:v>
      </x:c>
      <x:c r="K362" s="64"/>
      <x:c r="L362" s="64"/>
      <x:c r="M362" s="50"/>
      <x:c r="N362" s="49"/>
      <x:c r="O362" s="50"/>
      <x:c r="P362" s="50"/>
      <x:c r="Q362" s="30">
        <x:v>358</x:v>
      </x:c>
      <x:c r="R362" s="65"/>
      <x:c r="S362" s="46" t="n">
        <x:f>INDEX('Locations'!$D$6:$D$453,MATCH(B362,'Locations'!$A$6:$A$453,0))</x:f>
        <x:v>42.7276958829164</x:v>
      </x:c>
      <x:c r="T362" s="46" t="n">
        <x:f>INDEX('Locations'!$E$6:$E$453,MATCH(B362,'Locations'!$A$6:$A$453,0))</x:f>
        <x:v>-73.6824606704121</x:v>
      </x:c>
      <x:c r="U362" s="46" t="n">
        <x:f>INDEX('Locations'!$D$6:$D$453,MATCH(C362,'Locations'!$A$6:$A$453,0))</x:f>
        <x:v>42.7281269503383</x:v>
      </x:c>
      <x:c r="V362" s="66" t="n">
        <x:f>INDEX('Locations'!$E$6:$E$453,MATCH(C362,'Locations'!$A$6:$A$453,0))</x:f>
        <x:v>-73.6849754564538</x:v>
      </x:c>
      <x:c r="W362" s="44"/>
    </x:row>
    <x:row r="363" ht="23" customHeight="1">
      <x:c r="A363" s="24" t="s">
        <x:v>965</x:v>
      </x:c>
      <x:c r="B363" s="53" t="s">
        <x:v>346</x:v>
      </x:c>
      <x:c r="C363" s="53" t="s">
        <x:v>438</x:v>
      </x:c>
      <x:c r="D363" s="53" t="s">
        <x:v>606</x:v>
      </x:c>
      <x:c r="E363" s="67" t="n">
        <x:f>2*6371000*ASIN(SQRT(MIN(1,SIN(RADIANS(U363-S363)/2)^2+COS(RADIANS(S363))*COS(RADIANS(U363))*SIN(RADIANS(V363-T363)/2)^2)))</x:f>
        <x:v>44.223274065440684</x:v>
      </x:c>
      <x:c r="F363" s="48" t="s">
        <x:v>67</x:v>
      </x:c>
      <x:c r="G363" s="48" t="s">
        <x:v>66</x:v>
      </x:c>
      <x:c r="H363" s="48" t="s">
        <x:v>66</x:v>
      </x:c>
      <x:c r="I363" s="48" t="s">
        <x:v>66</x:v>
      </x:c>
      <x:c r="J363" s="48" t="s">
        <x:v>66</x:v>
      </x:c>
      <x:c r="K363" s="64"/>
      <x:c r="L363" s="64"/>
      <x:c r="M363" s="50"/>
      <x:c r="N363" s="49"/>
      <x:c r="O363" s="50"/>
      <x:c r="P363" s="50"/>
      <x:c r="Q363" s="32">
        <x:v>359</x:v>
      </x:c>
      <x:c r="R363" s="68"/>
      <x:c r="S363" s="54" t="n">
        <x:f>INDEX('Locations'!$D$6:$D$453,MATCH(B363,'Locations'!$A$6:$A$453,0))</x:f>
        <x:v>42.7282189113884</x:v>
      </x:c>
      <x:c r="T363" s="54" t="n">
        <x:f>INDEX('Locations'!$E$6:$E$453,MATCH(B363,'Locations'!$A$6:$A$453,0))</x:f>
        <x:v>-73.6779245057166</x:v>
      </x:c>
      <x:c r="U363" s="54" t="n">
        <x:f>INDEX('Locations'!$D$6:$D$453,MATCH(C363,'Locations'!$A$6:$A$453,0))</x:f>
        <x:v>42.7278315254651</x:v>
      </x:c>
      <x:c r="V363" s="69" t="n">
        <x:f>INDEX('Locations'!$E$6:$E$453,MATCH(C363,'Locations'!$A$6:$A$453,0))</x:f>
        <x:v>-73.6780470617452</x:v>
      </x:c>
      <x:c r="W363" s="44"/>
    </x:row>
    <x:row r="364" ht="23" customHeight="1">
      <x:c r="A364" s="21" t="s">
        <x:v>966</x:v>
      </x:c>
      <x:c r="B364" s="45" t="s">
        <x:v>392</x:v>
      </x:c>
      <x:c r="C364" s="45" t="s">
        <x:v>438</x:v>
      </x:c>
      <x:c r="D364" s="45" t="s">
        <x:v>606</x:v>
      </x:c>
      <x:c r="E364" s="63" t="n">
        <x:f>2*6371000*ASIN(SQRT(MIN(1,SIN(RADIANS(U364-S364)/2)^2+COS(RADIANS(S364))*COS(RADIANS(U364))*SIN(RADIANS(V364-T364)/2)^2)))</x:f>
        <x:v>52.84601018424379</x:v>
      </x:c>
      <x:c r="F364" s="48" t="s">
        <x:v>67</x:v>
      </x:c>
      <x:c r="G364" s="48" t="s">
        <x:v>66</x:v>
      </x:c>
      <x:c r="H364" s="48" t="s">
        <x:v>66</x:v>
      </x:c>
      <x:c r="I364" s="48" t="s">
        <x:v>66</x:v>
      </x:c>
      <x:c r="J364" s="48" t="s">
        <x:v>66</x:v>
      </x:c>
      <x:c r="K364" s="64"/>
      <x:c r="L364" s="64"/>
      <x:c r="M364" s="50"/>
      <x:c r="N364" s="49"/>
      <x:c r="O364" s="50"/>
      <x:c r="P364" s="50"/>
      <x:c r="Q364" s="30">
        <x:v>360</x:v>
      </x:c>
      <x:c r="R364" s="65"/>
      <x:c r="S364" s="46" t="n">
        <x:f>INDEX('Locations'!$D$6:$D$453,MATCH(B364,'Locations'!$A$6:$A$453,0))</x:f>
        <x:v>42.7278935991739</x:v>
      </x:c>
      <x:c r="T364" s="46" t="n">
        <x:f>INDEX('Locations'!$E$6:$E$453,MATCH(B364,'Locations'!$A$6:$A$453,0))</x:f>
        <x:v>-73.6786884913495</x:v>
      </x:c>
      <x:c r="U364" s="46" t="n">
        <x:f>INDEX('Locations'!$D$6:$D$453,MATCH(C364,'Locations'!$A$6:$A$453,0))</x:f>
        <x:v>42.7278315254651</x:v>
      </x:c>
      <x:c r="V364" s="66" t="n">
        <x:f>INDEX('Locations'!$E$6:$E$453,MATCH(C364,'Locations'!$A$6:$A$453,0))</x:f>
        <x:v>-73.6780470617452</x:v>
      </x:c>
      <x:c r="W364" s="44"/>
    </x:row>
    <x:row r="365" ht="23" customHeight="1">
      <x:c r="A365" s="24" t="s">
        <x:v>967</x:v>
      </x:c>
      <x:c r="B365" s="53" t="s">
        <x:v>348</x:v>
      </x:c>
      <x:c r="C365" s="53" t="s">
        <x:v>438</x:v>
      </x:c>
      <x:c r="D365" s="53" t="s">
        <x:v>606</x:v>
      </x:c>
      <x:c r="E365" s="67" t="n">
        <x:f>2*6371000*ASIN(SQRT(MIN(1,SIN(RADIANS(U365-S365)/2)^2+COS(RADIANS(S365))*COS(RADIANS(U365))*SIN(RADIANS(V365-T365)/2)^2)))</x:f>
        <x:v>47.323600181097966</x:v>
      </x:c>
      <x:c r="F365" s="48" t="s">
        <x:v>67</x:v>
      </x:c>
      <x:c r="G365" s="48" t="s">
        <x:v>66</x:v>
      </x:c>
      <x:c r="H365" s="48" t="s">
        <x:v>66</x:v>
      </x:c>
      <x:c r="I365" s="48" t="s">
        <x:v>66</x:v>
      </x:c>
      <x:c r="J365" s="48" t="s">
        <x:v>66</x:v>
      </x:c>
      <x:c r="K365" s="64"/>
      <x:c r="L365" s="64"/>
      <x:c r="M365" s="50"/>
      <x:c r="N365" s="49"/>
      <x:c r="O365" s="50"/>
      <x:c r="P365" s="50"/>
      <x:c r="Q365" s="32">
        <x:v>361</x:v>
      </x:c>
      <x:c r="R365" s="68"/>
      <x:c r="S365" s="54" t="n">
        <x:f>INDEX('Locations'!$D$6:$D$453,MATCH(B365,'Locations'!$A$6:$A$453,0))</x:f>
        <x:v>42.7274062056088</x:v>
      </x:c>
      <x:c r="T365" s="54" t="n">
        <x:f>INDEX('Locations'!$E$6:$E$453,MATCH(B365,'Locations'!$A$6:$A$453,0))</x:f>
        <x:v>-73.6780677530227</x:v>
      </x:c>
      <x:c r="U365" s="54" t="n">
        <x:f>INDEX('Locations'!$D$6:$D$453,MATCH(C365,'Locations'!$A$6:$A$453,0))</x:f>
        <x:v>42.7278315254651</x:v>
      </x:c>
      <x:c r="V365" s="69" t="n">
        <x:f>INDEX('Locations'!$E$6:$E$453,MATCH(C365,'Locations'!$A$6:$A$453,0))</x:f>
        <x:v>-73.6780470617452</x:v>
      </x:c>
      <x:c r="W365" s="44"/>
    </x:row>
    <x:row r="366" ht="23" customHeight="1">
      <x:c r="A366" s="21" t="s">
        <x:v>968</x:v>
      </x:c>
      <x:c r="B366" s="45" t="s">
        <x:v>435</x:v>
      </x:c>
      <x:c r="C366" s="45" t="s">
        <x:v>439</x:v>
      </x:c>
      <x:c r="D366" s="45" t="s">
        <x:v>606</x:v>
      </x:c>
      <x:c r="E366" s="63" t="n">
        <x:f>2*6371000*ASIN(SQRT(MIN(1,SIN(RADIANS(U366-S366)/2)^2+COS(RADIANS(S366))*COS(RADIANS(U366))*SIN(RADIANS(V366-T366)/2)^2)))</x:f>
        <x:v>67.68512988431056</x:v>
      </x:c>
      <x:c r="F366" s="48" t="s">
        <x:v>67</x:v>
      </x:c>
      <x:c r="G366" s="48" t="s">
        <x:v>66</x:v>
      </x:c>
      <x:c r="H366" s="48" t="s">
        <x:v>66</x:v>
      </x:c>
      <x:c r="I366" s="48" t="s">
        <x:v>66</x:v>
      </x:c>
      <x:c r="J366" s="48" t="s">
        <x:v>66</x:v>
      </x:c>
      <x:c r="K366" s="64"/>
      <x:c r="L366" s="64"/>
      <x:c r="M366" s="50"/>
      <x:c r="N366" s="49"/>
      <x:c r="O366" s="50"/>
      <x:c r="P366" s="50"/>
      <x:c r="Q366" s="30">
        <x:v>362</x:v>
      </x:c>
      <x:c r="R366" s="65"/>
      <x:c r="S366" s="46" t="n">
        <x:f>INDEX('Locations'!$D$6:$D$453,MATCH(B366,'Locations'!$A$6:$A$453,0))</x:f>
        <x:v>42.732527286582</x:v>
      </x:c>
      <x:c r="T366" s="46" t="n">
        <x:f>INDEX('Locations'!$E$6:$E$453,MATCH(B366,'Locations'!$A$6:$A$453,0))</x:f>
        <x:v>-73.6809645318809</x:v>
      </x:c>
      <x:c r="U366" s="46" t="n">
        <x:f>INDEX('Locations'!$D$6:$D$453,MATCH(C366,'Locations'!$A$6:$A$453,0))</x:f>
        <x:v>42.7329434103334</x:v>
      </x:c>
      <x:c r="V366" s="66" t="n">
        <x:f>INDEX('Locations'!$E$6:$E$453,MATCH(C366,'Locations'!$A$6:$A$453,0))</x:f>
        <x:v>-73.6803597099215</x:v>
      </x:c>
      <x:c r="W366" s="44"/>
    </x:row>
    <x:row r="367" ht="23" customHeight="1">
      <x:c r="A367" s="24" t="s">
        <x:v>969</x:v>
      </x:c>
      <x:c r="B367" s="53" t="s">
        <x:v>138</x:v>
      </x:c>
      <x:c r="C367" s="53" t="s">
        <x:v>439</x:v>
      </x:c>
      <x:c r="D367" s="53" t="s">
        <x:v>606</x:v>
      </x:c>
      <x:c r="E367" s="67" t="n">
        <x:f>2*6371000*ASIN(SQRT(MIN(1,SIN(RADIANS(U367-S367)/2)^2+COS(RADIANS(S367))*COS(RADIANS(U367))*SIN(RADIANS(V367-T367)/2)^2)))</x:f>
        <x:v>45.27926099451902</x:v>
      </x:c>
      <x:c r="F367" s="48" t="s">
        <x:v>67</x:v>
      </x:c>
      <x:c r="G367" s="48" t="s">
        <x:v>66</x:v>
      </x:c>
      <x:c r="H367" s="48" t="s">
        <x:v>66</x:v>
      </x:c>
      <x:c r="I367" s="48" t="s">
        <x:v>66</x:v>
      </x:c>
      <x:c r="J367" s="48" t="s">
        <x:v>66</x:v>
      </x:c>
      <x:c r="K367" s="64"/>
      <x:c r="L367" s="64"/>
      <x:c r="M367" s="50"/>
      <x:c r="N367" s="49"/>
      <x:c r="O367" s="50"/>
      <x:c r="P367" s="50"/>
      <x:c r="Q367" s="32">
        <x:v>363</x:v>
      </x:c>
      <x:c r="R367" s="68"/>
      <x:c r="S367" s="54" t="n">
        <x:f>INDEX('Locations'!$D$6:$D$453,MATCH(B367,'Locations'!$A$6:$A$453,0))</x:f>
        <x:v>42.7331692394064</x:v>
      </x:c>
      <x:c r="T367" s="54" t="n">
        <x:f>INDEX('Locations'!$E$6:$E$453,MATCH(B367,'Locations'!$A$6:$A$453,0))</x:f>
        <x:v>-73.6798983927157</x:v>
      </x:c>
      <x:c r="U367" s="54" t="n">
        <x:f>INDEX('Locations'!$D$6:$D$453,MATCH(C367,'Locations'!$A$6:$A$453,0))</x:f>
        <x:v>42.7329434103334</x:v>
      </x:c>
      <x:c r="V367" s="69" t="n">
        <x:f>INDEX('Locations'!$E$6:$E$453,MATCH(C367,'Locations'!$A$6:$A$453,0))</x:f>
        <x:v>-73.6803597099215</x:v>
      </x:c>
      <x:c r="W367" s="44"/>
    </x:row>
    <x:row r="368" ht="23" customHeight="1">
      <x:c r="A368" s="21" t="s">
        <x:v>970</x:v>
      </x:c>
      <x:c r="B368" s="45" t="s">
        <x:v>188</x:v>
      </x:c>
      <x:c r="C368" s="45" t="s">
        <x:v>439</x:v>
      </x:c>
      <x:c r="D368" s="45" t="s">
        <x:v>606</x:v>
      </x:c>
      <x:c r="E368" s="63" t="n">
        <x:f>2*6371000*ASIN(SQRT(MIN(1,SIN(RADIANS(U368-S368)/2)^2+COS(RADIANS(S368))*COS(RADIANS(U368))*SIN(RADIANS(V368-T368)/2)^2)))</x:f>
        <x:v>39.56479787376113</x:v>
      </x:c>
      <x:c r="F368" s="48" t="s">
        <x:v>67</x:v>
      </x:c>
      <x:c r="G368" s="48" t="s">
        <x:v>66</x:v>
      </x:c>
      <x:c r="H368" s="48" t="s">
        <x:v>66</x:v>
      </x:c>
      <x:c r="I368" s="48" t="s">
        <x:v>66</x:v>
      </x:c>
      <x:c r="J368" s="48" t="s">
        <x:v>66</x:v>
      </x:c>
      <x:c r="K368" s="64"/>
      <x:c r="L368" s="64"/>
      <x:c r="M368" s="50"/>
      <x:c r="N368" s="49"/>
      <x:c r="O368" s="50"/>
      <x:c r="P368" s="50"/>
      <x:c r="Q368" s="30">
        <x:v>364</x:v>
      </x:c>
      <x:c r="R368" s="65"/>
      <x:c r="S368" s="46" t="n">
        <x:f>INDEX('Locations'!$D$6:$D$453,MATCH(B368,'Locations'!$A$6:$A$453,0))</x:f>
        <x:v>42.7328887776181</x:v>
      </x:c>
      <x:c r="T368" s="46" t="n">
        <x:f>INDEX('Locations'!$E$6:$E$453,MATCH(B368,'Locations'!$A$6:$A$453,0))</x:f>
        <x:v>-73.6808383806214</x:v>
      </x:c>
      <x:c r="U368" s="46" t="n">
        <x:f>INDEX('Locations'!$D$6:$D$453,MATCH(C368,'Locations'!$A$6:$A$453,0))</x:f>
        <x:v>42.7329434103334</x:v>
      </x:c>
      <x:c r="V368" s="66" t="n">
        <x:f>INDEX('Locations'!$E$6:$E$453,MATCH(C368,'Locations'!$A$6:$A$453,0))</x:f>
        <x:v>-73.6803597099215</x:v>
      </x:c>
      <x:c r="W368" s="44"/>
    </x:row>
    <x:row r="369" ht="23" customHeight="1">
      <x:c r="A369" s="24" t="s">
        <x:v>971</x:v>
      </x:c>
      <x:c r="B369" s="53" t="s">
        <x:v>88</x:v>
      </x:c>
      <x:c r="C369" s="53" t="s">
        <x:v>439</x:v>
      </x:c>
      <x:c r="D369" s="53" t="s">
        <x:v>606</x:v>
      </x:c>
      <x:c r="E369" s="67" t="n">
        <x:f>2*6371000*ASIN(SQRT(MIN(1,SIN(RADIANS(U369-S369)/2)^2+COS(RADIANS(S369))*COS(RADIANS(U369))*SIN(RADIANS(V369-T369)/2)^2)))</x:f>
        <x:v>33.323166816637745</x:v>
      </x:c>
      <x:c r="F369" s="48" t="s">
        <x:v>67</x:v>
      </x:c>
      <x:c r="G369" s="48" t="s">
        <x:v>66</x:v>
      </x:c>
      <x:c r="H369" s="48" t="s">
        <x:v>66</x:v>
      </x:c>
      <x:c r="I369" s="48" t="s">
        <x:v>66</x:v>
      </x:c>
      <x:c r="J369" s="48" t="s">
        <x:v>66</x:v>
      </x:c>
      <x:c r="K369" s="64"/>
      <x:c r="L369" s="64"/>
      <x:c r="M369" s="50"/>
      <x:c r="N369" s="49"/>
      <x:c r="O369" s="50"/>
      <x:c r="P369" s="50"/>
      <x:c r="Q369" s="32">
        <x:v>365</x:v>
      </x:c>
      <x:c r="R369" s="68"/>
      <x:c r="S369" s="54" t="n">
        <x:f>INDEX('Locations'!$D$6:$D$453,MATCH(B369,'Locations'!$A$6:$A$453,0))</x:f>
        <x:v>42.7326612612087</x:v>
      </x:c>
      <x:c r="T369" s="54" t="n">
        <x:f>INDEX('Locations'!$E$6:$E$453,MATCH(B369,'Locations'!$A$6:$A$453,0))</x:f>
        <x:v>-73.6802222033852</x:v>
      </x:c>
      <x:c r="U369" s="54" t="n">
        <x:f>INDEX('Locations'!$D$6:$D$453,MATCH(C369,'Locations'!$A$6:$A$453,0))</x:f>
        <x:v>42.7329434103334</x:v>
      </x:c>
      <x:c r="V369" s="69" t="n">
        <x:f>INDEX('Locations'!$E$6:$E$453,MATCH(C369,'Locations'!$A$6:$A$453,0))</x:f>
        <x:v>-73.6803597099215</x:v>
      </x:c>
      <x:c r="W369" s="44"/>
    </x:row>
    <x:row r="370" ht="23" customHeight="1">
      <x:c r="A370" s="21" t="s">
        <x:v>972</x:v>
      </x:c>
      <x:c r="B370" s="45" t="s">
        <x:v>440</x:v>
      </x:c>
      <x:c r="C370" s="45" t="s">
        <x:v>439</x:v>
      </x:c>
      <x:c r="D370" s="45" t="s">
        <x:v>606</x:v>
      </x:c>
      <x:c r="E370" s="63" t="n">
        <x:f>2*6371000*ASIN(SQRT(MIN(1,SIN(RADIANS(U370-S370)/2)^2+COS(RADIANS(S370))*COS(RADIANS(U370))*SIN(RADIANS(V370-T370)/2)^2)))</x:f>
        <x:v>41.040536275026064</x:v>
      </x:c>
      <x:c r="F370" s="48" t="s">
        <x:v>67</x:v>
      </x:c>
      <x:c r="G370" s="48" t="s">
        <x:v>66</x:v>
      </x:c>
      <x:c r="H370" s="48" t="s">
        <x:v>66</x:v>
      </x:c>
      <x:c r="I370" s="48" t="s">
        <x:v>66</x:v>
      </x:c>
      <x:c r="J370" s="48" t="s">
        <x:v>66</x:v>
      </x:c>
      <x:c r="K370" s="64"/>
      <x:c r="L370" s="64"/>
      <x:c r="M370" s="50"/>
      <x:c r="N370" s="49"/>
      <x:c r="O370" s="50"/>
      <x:c r="P370" s="50"/>
      <x:c r="Q370" s="30">
        <x:v>366</x:v>
      </x:c>
      <x:c r="R370" s="65"/>
      <x:c r="S370" s="46" t="n">
        <x:f>INDEX('Locations'!$D$6:$D$453,MATCH(B370,'Locations'!$A$6:$A$453,0))</x:f>
        <x:v>42.7328284590208</x:v>
      </x:c>
      <x:c r="T370" s="46" t="n">
        <x:f>INDEX('Locations'!$E$6:$E$453,MATCH(B370,'Locations'!$A$6:$A$453,0))</x:f>
        <x:v>-73.6798822189009</x:v>
      </x:c>
      <x:c r="U370" s="46" t="n">
        <x:f>INDEX('Locations'!$D$6:$D$453,MATCH(C370,'Locations'!$A$6:$A$453,0))</x:f>
        <x:v>42.7329434103334</x:v>
      </x:c>
      <x:c r="V370" s="66" t="n">
        <x:f>INDEX('Locations'!$E$6:$E$453,MATCH(C370,'Locations'!$A$6:$A$453,0))</x:f>
        <x:v>-73.6803597099215</x:v>
      </x:c>
      <x:c r="W370" s="44"/>
    </x:row>
    <x:row r="371" ht="23" customHeight="1">
      <x:c r="A371" s="24" t="s">
        <x:v>973</x:v>
      </x:c>
      <x:c r="B371" s="53" t="s">
        <x:v>88</x:v>
      </x:c>
      <x:c r="C371" s="53" t="s">
        <x:v>440</x:v>
      </x:c>
      <x:c r="D371" s="53" t="s">
        <x:v>606</x:v>
      </x:c>
      <x:c r="E371" s="67" t="n">
        <x:f>2*6371000*ASIN(SQRT(MIN(1,SIN(RADIANS(U371-S371)/2)^2+COS(RADIANS(S371))*COS(RADIANS(U371))*SIN(RADIANS(V371-T371)/2)^2)))</x:f>
        <x:v>33.41755500456724</x:v>
      </x:c>
      <x:c r="F371" s="48" t="s">
        <x:v>67</x:v>
      </x:c>
      <x:c r="G371" s="48" t="s">
        <x:v>66</x:v>
      </x:c>
      <x:c r="H371" s="48" t="s">
        <x:v>66</x:v>
      </x:c>
      <x:c r="I371" s="48" t="s">
        <x:v>66</x:v>
      </x:c>
      <x:c r="J371" s="48" t="s">
        <x:v>66</x:v>
      </x:c>
      <x:c r="K371" s="64"/>
      <x:c r="L371" s="64"/>
      <x:c r="M371" s="50"/>
      <x:c r="N371" s="49"/>
      <x:c r="O371" s="50"/>
      <x:c r="P371" s="50"/>
      <x:c r="Q371" s="32">
        <x:v>367</x:v>
      </x:c>
      <x:c r="R371" s="68"/>
      <x:c r="S371" s="54" t="n">
        <x:f>INDEX('Locations'!$D$6:$D$453,MATCH(B371,'Locations'!$A$6:$A$453,0))</x:f>
        <x:v>42.7326612612087</x:v>
      </x:c>
      <x:c r="T371" s="54" t="n">
        <x:f>INDEX('Locations'!$E$6:$E$453,MATCH(B371,'Locations'!$A$6:$A$453,0))</x:f>
        <x:v>-73.6802222033852</x:v>
      </x:c>
      <x:c r="U371" s="54" t="n">
        <x:f>INDEX('Locations'!$D$6:$D$453,MATCH(C371,'Locations'!$A$6:$A$453,0))</x:f>
        <x:v>42.7328284590208</x:v>
      </x:c>
      <x:c r="V371" s="69" t="n">
        <x:f>INDEX('Locations'!$E$6:$E$453,MATCH(C371,'Locations'!$A$6:$A$453,0))</x:f>
        <x:v>-73.6798822189009</x:v>
      </x:c>
      <x:c r="W371" s="44"/>
    </x:row>
    <x:row r="372" ht="23" customHeight="1">
      <x:c r="A372" s="21" t="s">
        <x:v>974</x:v>
      </x:c>
      <x:c r="B372" s="45" t="s">
        <x:v>439</x:v>
      </x:c>
      <x:c r="C372" s="45" t="s">
        <x:v>442</x:v>
      </x:c>
      <x:c r="D372" s="45" t="s">
        <x:v>606</x:v>
      </x:c>
      <x:c r="E372" s="63" t="n">
        <x:f>2*6371000*ASIN(SQRT(MIN(1,SIN(RADIANS(U372-S372)/2)^2+COS(RADIANS(S372))*COS(RADIANS(U372))*SIN(RADIANS(V372-T372)/2)^2)))</x:f>
        <x:v>26.900879019520453</x:v>
      </x:c>
      <x:c r="F372" s="48" t="s">
        <x:v>67</x:v>
      </x:c>
      <x:c r="G372" s="48" t="s">
        <x:v>66</x:v>
      </x:c>
      <x:c r="H372" s="48" t="s">
        <x:v>66</x:v>
      </x:c>
      <x:c r="I372" s="48" t="s">
        <x:v>66</x:v>
      </x:c>
      <x:c r="J372" s="48" t="s">
        <x:v>66</x:v>
      </x:c>
      <x:c r="K372" s="64"/>
      <x:c r="L372" s="64"/>
      <x:c r="M372" s="50"/>
      <x:c r="N372" s="49"/>
      <x:c r="O372" s="50"/>
      <x:c r="P372" s="50"/>
      <x:c r="Q372" s="30">
        <x:v>368</x:v>
      </x:c>
      <x:c r="R372" s="65"/>
      <x:c r="S372" s="46" t="n">
        <x:f>INDEX('Locations'!$D$6:$D$453,MATCH(B372,'Locations'!$A$6:$A$453,0))</x:f>
        <x:v>42.7329434103334</x:v>
      </x:c>
      <x:c r="T372" s="46" t="n">
        <x:f>INDEX('Locations'!$E$6:$E$453,MATCH(B372,'Locations'!$A$6:$A$453,0))</x:f>
        <x:v>-73.6803597099215</x:v>
      </x:c>
      <x:c r="U372" s="46" t="n">
        <x:f>INDEX('Locations'!$D$6:$D$453,MATCH(C372,'Locations'!$A$6:$A$453,0))</x:f>
        <x:v>42.7330813519084</x:v>
      </x:c>
      <x:c r="V372" s="66" t="n">
        <x:f>INDEX('Locations'!$E$6:$E$453,MATCH(C372,'Locations'!$A$6:$A$453,0))</x:f>
        <x:v>-73.6806302881665</x:v>
      </x:c>
      <x:c r="W372" s="44"/>
    </x:row>
    <x:row r="373" ht="23" customHeight="1">
      <x:c r="A373" s="24" t="s">
        <x:v>975</x:v>
      </x:c>
      <x:c r="B373" s="53" t="s">
        <x:v>441</x:v>
      </x:c>
      <x:c r="C373" s="53" t="s">
        <x:v>443</x:v>
      </x:c>
      <x:c r="D373" s="53" t="s">
        <x:v>606</x:v>
      </x:c>
      <x:c r="E373" s="67" t="n">
        <x:f>2*6371000*ASIN(SQRT(MIN(1,SIN(RADIANS(U373-S373)/2)^2+COS(RADIANS(S373))*COS(RADIANS(U373))*SIN(RADIANS(V373-T373)/2)^2)))</x:f>
        <x:v>69.51990594919117</x:v>
      </x:c>
      <x:c r="F373" s="48" t="s">
        <x:v>67</x:v>
      </x:c>
      <x:c r="G373" s="48" t="s">
        <x:v>66</x:v>
      </x:c>
      <x:c r="H373" s="48" t="s">
        <x:v>66</x:v>
      </x:c>
      <x:c r="I373" s="48" t="s">
        <x:v>66</x:v>
      </x:c>
      <x:c r="J373" s="48" t="s">
        <x:v>66</x:v>
      </x:c>
      <x:c r="K373" s="64"/>
      <x:c r="L373" s="64"/>
      <x:c r="M373" s="50"/>
      <x:c r="N373" s="49"/>
      <x:c r="O373" s="50"/>
      <x:c r="P373" s="50"/>
      <x:c r="Q373" s="32">
        <x:v>369</x:v>
      </x:c>
      <x:c r="R373" s="68"/>
      <x:c r="S373" s="54" t="n">
        <x:f>INDEX('Locations'!$D$6:$D$453,MATCH(B373,'Locations'!$A$6:$A$453,0))</x:f>
        <x:v>42.7334606912398</x:v>
      </x:c>
      <x:c r="T373" s="54" t="n">
        <x:f>INDEX('Locations'!$E$6:$E$453,MATCH(B373,'Locations'!$A$6:$A$453,0))</x:f>
        <x:v>-73.6795957242886</x:v>
      </x:c>
      <x:c r="U373" s="54" t="n">
        <x:f>INDEX('Locations'!$D$6:$D$453,MATCH(C373,'Locations'!$A$6:$A$453,0))</x:f>
        <x:v>42.7336066794067</x:v>
      </x:c>
      <x:c r="V373" s="69" t="n">
        <x:f>INDEX('Locations'!$E$6:$E$453,MATCH(C373,'Locations'!$A$6:$A$453,0))</x:f>
        <x:v>-73.6804233753909</x:v>
      </x:c>
      <x:c r="W373" s="44"/>
    </x:row>
    <x:row r="374" ht="23" customHeight="1">
      <x:c r="A374" s="21" t="s">
        <x:v>976</x:v>
      </x:c>
      <x:c r="B374" s="45" t="s">
        <x:v>442</x:v>
      </x:c>
      <x:c r="C374" s="45" t="s">
        <x:v>443</x:v>
      </x:c>
      <x:c r="D374" s="45" t="s">
        <x:v>606</x:v>
      </x:c>
      <x:c r="E374" s="63" t="n">
        <x:f>2*6371000*ASIN(SQRT(MIN(1,SIN(RADIANS(U374-S374)/2)^2+COS(RADIANS(S374))*COS(RADIANS(U374))*SIN(RADIANS(V374-T374)/2)^2)))</x:f>
        <x:v>60.80922744553277</x:v>
      </x:c>
      <x:c r="F374" s="48" t="s">
        <x:v>67</x:v>
      </x:c>
      <x:c r="G374" s="48" t="s">
        <x:v>66</x:v>
      </x:c>
      <x:c r="H374" s="48" t="s">
        <x:v>66</x:v>
      </x:c>
      <x:c r="I374" s="48" t="s">
        <x:v>66</x:v>
      </x:c>
      <x:c r="J374" s="48" t="s">
        <x:v>66</x:v>
      </x:c>
      <x:c r="K374" s="64"/>
      <x:c r="L374" s="64"/>
      <x:c r="M374" s="50"/>
      <x:c r="N374" s="49"/>
      <x:c r="O374" s="50"/>
      <x:c r="P374" s="50"/>
      <x:c r="Q374" s="30">
        <x:v>370</x:v>
      </x:c>
      <x:c r="R374" s="65"/>
      <x:c r="S374" s="46" t="n">
        <x:f>INDEX('Locations'!$D$6:$D$453,MATCH(B374,'Locations'!$A$6:$A$453,0))</x:f>
        <x:v>42.7330813519084</x:v>
      </x:c>
      <x:c r="T374" s="46" t="n">
        <x:f>INDEX('Locations'!$E$6:$E$453,MATCH(B374,'Locations'!$A$6:$A$453,0))</x:f>
        <x:v>-73.6806302881665</x:v>
      </x:c>
      <x:c r="U374" s="46" t="n">
        <x:f>INDEX('Locations'!$D$6:$D$453,MATCH(C374,'Locations'!$A$6:$A$453,0))</x:f>
        <x:v>42.7336066794067</x:v>
      </x:c>
      <x:c r="V374" s="66" t="n">
        <x:f>INDEX('Locations'!$E$6:$E$453,MATCH(C374,'Locations'!$A$6:$A$453,0))</x:f>
        <x:v>-73.6804233753909</x:v>
      </x:c>
      <x:c r="W374" s="44"/>
    </x:row>
    <x:row r="375" ht="23" customHeight="1">
      <x:c r="A375" s="24" t="s">
        <x:v>977</x:v>
      </x:c>
      <x:c r="B375" s="53" t="s">
        <x:v>445</x:v>
      </x:c>
      <x:c r="C375" s="53" t="s">
        <x:v>444</x:v>
      </x:c>
      <x:c r="D375" s="53" t="s">
        <x:v>606</x:v>
      </x:c>
      <x:c r="E375" s="67" t="n">
        <x:f>2*6371000*ASIN(SQRT(MIN(1,SIN(RADIANS(U375-S375)/2)^2+COS(RADIANS(S375))*COS(RADIANS(U375))*SIN(RADIANS(V375-T375)/2)^2)))</x:f>
        <x:v>62.798746949956794</x:v>
      </x:c>
      <x:c r="F375" s="48" t="s">
        <x:v>67</x:v>
      </x:c>
      <x:c r="G375" s="48" t="s">
        <x:v>66</x:v>
      </x:c>
      <x:c r="H375" s="48" t="s">
        <x:v>66</x:v>
      </x:c>
      <x:c r="I375" s="48" t="s">
        <x:v>66</x:v>
      </x:c>
      <x:c r="J375" s="48" t="s">
        <x:v>66</x:v>
      </x:c>
      <x:c r="K375" s="64"/>
      <x:c r="L375" s="64"/>
      <x:c r="M375" s="50"/>
      <x:c r="N375" s="49"/>
      <x:c r="O375" s="50"/>
      <x:c r="P375" s="50"/>
      <x:c r="Q375" s="32">
        <x:v>371</x:v>
      </x:c>
      <x:c r="R375" s="68"/>
      <x:c r="S375" s="54" t="n">
        <x:f>INDEX('Locations'!$D$6:$D$453,MATCH(B375,'Locations'!$A$6:$A$453,0))</x:f>
        <x:v>42.733242283746</x:v>
      </x:c>
      <x:c r="T375" s="54" t="n">
        <x:f>INDEX('Locations'!$E$6:$E$453,MATCH(B375,'Locations'!$A$6:$A$453,0))</x:f>
        <x:v>-73.6815582123832</x:v>
      </x:c>
      <x:c r="U375" s="54" t="n">
        <x:f>INDEX('Locations'!$D$6:$D$453,MATCH(C375,'Locations'!$A$6:$A$453,0))</x:f>
        <x:v>42.7337986480986</x:v>
      </x:c>
      <x:c r="V375" s="69" t="n">
        <x:f>INDEX('Locations'!$E$6:$E$453,MATCH(C375,'Locations'!$A$6:$A$453,0))</x:f>
        <x:v>-73.6814261065341</x:v>
      </x:c>
      <x:c r="W375" s="44"/>
    </x:row>
    <x:row r="376" ht="23" customHeight="1">
      <x:c r="A376" s="21" t="s">
        <x:v>978</x:v>
      </x:c>
      <x:c r="B376" s="45" t="s">
        <x:v>443</x:v>
      </x:c>
      <x:c r="C376" s="45" t="s">
        <x:v>444</x:v>
      </x:c>
      <x:c r="D376" s="45" t="s">
        <x:v>606</x:v>
      </x:c>
      <x:c r="E376" s="63" t="n">
        <x:f>2*6371000*ASIN(SQRT(MIN(1,SIN(RADIANS(U376-S376)/2)^2+COS(RADIANS(S376))*COS(RADIANS(U376))*SIN(RADIANS(V376-T376)/2)^2)))</x:f>
        <x:v>84.6335905734328</x:v>
      </x:c>
      <x:c r="F376" s="48" t="s">
        <x:v>67</x:v>
      </x:c>
      <x:c r="G376" s="48" t="s">
        <x:v>66</x:v>
      </x:c>
      <x:c r="H376" s="48" t="s">
        <x:v>66</x:v>
      </x:c>
      <x:c r="I376" s="48" t="s">
        <x:v>66</x:v>
      </x:c>
      <x:c r="J376" s="48" t="s">
        <x:v>66</x:v>
      </x:c>
      <x:c r="K376" s="64"/>
      <x:c r="L376" s="64"/>
      <x:c r="M376" s="50"/>
      <x:c r="N376" s="49"/>
      <x:c r="O376" s="50"/>
      <x:c r="P376" s="50"/>
      <x:c r="Q376" s="30">
        <x:v>372</x:v>
      </x:c>
      <x:c r="R376" s="65"/>
      <x:c r="S376" s="46" t="n">
        <x:f>INDEX('Locations'!$D$6:$D$453,MATCH(B376,'Locations'!$A$6:$A$453,0))</x:f>
        <x:v>42.7336066794067</x:v>
      </x:c>
      <x:c r="T376" s="46" t="n">
        <x:f>INDEX('Locations'!$E$6:$E$453,MATCH(B376,'Locations'!$A$6:$A$453,0))</x:f>
        <x:v>-73.6804233753909</x:v>
      </x:c>
      <x:c r="U376" s="46" t="n">
        <x:f>INDEX('Locations'!$D$6:$D$453,MATCH(C376,'Locations'!$A$6:$A$453,0))</x:f>
        <x:v>42.7337986480986</x:v>
      </x:c>
      <x:c r="V376" s="66" t="n">
        <x:f>INDEX('Locations'!$E$6:$E$453,MATCH(C376,'Locations'!$A$6:$A$453,0))</x:f>
        <x:v>-73.6814261065341</x:v>
      </x:c>
      <x:c r="W376" s="44"/>
    </x:row>
    <x:row r="377" ht="23" customHeight="1">
      <x:c r="A377" s="24" t="s">
        <x:v>979</x:v>
      </x:c>
      <x:c r="B377" s="53" t="s">
        <x:v>446</x:v>
      </x:c>
      <x:c r="C377" s="53" t="s">
        <x:v>444</x:v>
      </x:c>
      <x:c r="D377" s="53" t="s">
        <x:v>606</x:v>
      </x:c>
      <x:c r="E377" s="67" t="n">
        <x:f>2*6371000*ASIN(SQRT(MIN(1,SIN(RADIANS(U377-S377)/2)^2+COS(RADIANS(S377))*COS(RADIANS(U377))*SIN(RADIANS(V377-T377)/2)^2)))</x:f>
        <x:v>76.9418279663507</x:v>
      </x:c>
      <x:c r="F377" s="48" t="s">
        <x:v>67</x:v>
      </x:c>
      <x:c r="G377" s="48" t="s">
        <x:v>66</x:v>
      </x:c>
      <x:c r="H377" s="48" t="s">
        <x:v>66</x:v>
      </x:c>
      <x:c r="I377" s="48" t="s">
        <x:v>66</x:v>
      </x:c>
      <x:c r="J377" s="48" t="s">
        <x:v>66</x:v>
      </x:c>
      <x:c r="K377" s="64"/>
      <x:c r="L377" s="64"/>
      <x:c r="M377" s="50"/>
      <x:c r="N377" s="49"/>
      <x:c r="O377" s="50"/>
      <x:c r="P377" s="50"/>
      <x:c r="Q377" s="32">
        <x:v>373</x:v>
      </x:c>
      <x:c r="R377" s="68"/>
      <x:c r="S377" s="54" t="n">
        <x:f>INDEX('Locations'!$D$6:$D$453,MATCH(B377,'Locations'!$A$6:$A$453,0))</x:f>
        <x:v>42.7339365896736</x:v>
      </x:c>
      <x:c r="T377" s="54" t="n">
        <x:f>INDEX('Locations'!$E$6:$E$453,MATCH(B377,'Locations'!$A$6:$A$453,0))</x:f>
        <x:v>-73.6823492558406</x:v>
      </x:c>
      <x:c r="U377" s="54" t="n">
        <x:f>INDEX('Locations'!$D$6:$D$453,MATCH(C377,'Locations'!$A$6:$A$453,0))</x:f>
        <x:v>42.7337986480986</x:v>
      </x:c>
      <x:c r="V377" s="69" t="n">
        <x:f>INDEX('Locations'!$E$6:$E$453,MATCH(C377,'Locations'!$A$6:$A$453,0))</x:f>
        <x:v>-73.6814261065341</x:v>
      </x:c>
      <x:c r="W377" s="44"/>
    </x:row>
    <x:row r="378" ht="23" customHeight="1">
      <x:c r="A378" s="21" t="s">
        <x:v>980</x:v>
      </x:c>
      <x:c r="B378" s="45" t="s">
        <x:v>442</x:v>
      </x:c>
      <x:c r="C378" s="45" t="s">
        <x:v>445</x:v>
      </x:c>
      <x:c r="D378" s="45" t="s">
        <x:v>606</x:v>
      </x:c>
      <x:c r="E378" s="63" t="n">
        <x:f>2*6371000*ASIN(SQRT(MIN(1,SIN(RADIANS(U378-S378)/2)^2+COS(RADIANS(S378))*COS(RADIANS(U378))*SIN(RADIANS(V378-T378)/2)^2)))</x:f>
        <x:v>77.87228747639284</x:v>
      </x:c>
      <x:c r="F378" s="48" t="s">
        <x:v>67</x:v>
      </x:c>
      <x:c r="G378" s="48" t="s">
        <x:v>66</x:v>
      </x:c>
      <x:c r="H378" s="48" t="s">
        <x:v>66</x:v>
      </x:c>
      <x:c r="I378" s="48" t="s">
        <x:v>66</x:v>
      </x:c>
      <x:c r="J378" s="48" t="s">
        <x:v>66</x:v>
      </x:c>
      <x:c r="K378" s="64"/>
      <x:c r="L378" s="64"/>
      <x:c r="M378" s="50"/>
      <x:c r="N378" s="49"/>
      <x:c r="O378" s="50"/>
      <x:c r="P378" s="50"/>
      <x:c r="Q378" s="30">
        <x:v>374</x:v>
      </x:c>
      <x:c r="R378" s="65"/>
      <x:c r="S378" s="46" t="n">
        <x:f>INDEX('Locations'!$D$6:$D$453,MATCH(B378,'Locations'!$A$6:$A$453,0))</x:f>
        <x:v>42.7330813519084</x:v>
      </x:c>
      <x:c r="T378" s="46" t="n">
        <x:f>INDEX('Locations'!$E$6:$E$453,MATCH(B378,'Locations'!$A$6:$A$453,0))</x:f>
        <x:v>-73.6806302881665</x:v>
      </x:c>
      <x:c r="U378" s="46" t="n">
        <x:f>INDEX('Locations'!$D$6:$D$453,MATCH(C378,'Locations'!$A$6:$A$453,0))</x:f>
        <x:v>42.733242283746</x:v>
      </x:c>
      <x:c r="V378" s="66" t="n">
        <x:f>INDEX('Locations'!$E$6:$E$453,MATCH(C378,'Locations'!$A$6:$A$453,0))</x:f>
        <x:v>-73.6815582123832</x:v>
      </x:c>
      <x:c r="W378" s="44"/>
    </x:row>
    <x:row r="379" ht="23" customHeight="1">
      <x:c r="A379" s="24" t="s">
        <x:v>981</x:v>
      </x:c>
      <x:c r="B379" s="53" t="s">
        <x:v>446</x:v>
      </x:c>
      <x:c r="C379" s="53" t="s">
        <x:v>436</x:v>
      </x:c>
      <x:c r="D379" s="53" t="s">
        <x:v>606</x:v>
      </x:c>
      <x:c r="E379" s="67" t="n">
        <x:f>2*6371000*ASIN(SQRT(MIN(1,SIN(RADIANS(U379-S379)/2)^2+COS(RADIANS(S379))*COS(RADIANS(U379))*SIN(RADIANS(V379-T379)/2)^2)))</x:f>
        <x:v>120.42290885041682</x:v>
      </x:c>
      <x:c r="F379" s="48" t="s">
        <x:v>67</x:v>
      </x:c>
      <x:c r="G379" s="48" t="s">
        <x:v>66</x:v>
      </x:c>
      <x:c r="H379" s="48" t="s">
        <x:v>66</x:v>
      </x:c>
      <x:c r="I379" s="48" t="s">
        <x:v>66</x:v>
      </x:c>
      <x:c r="J379" s="48" t="s">
        <x:v>66</x:v>
      </x:c>
      <x:c r="K379" s="64"/>
      <x:c r="L379" s="64"/>
      <x:c r="M379" s="50"/>
      <x:c r="N379" s="49"/>
      <x:c r="O379" s="50"/>
      <x:c r="P379" s="50"/>
      <x:c r="Q379" s="32">
        <x:v>375</x:v>
      </x:c>
      <x:c r="R379" s="68"/>
      <x:c r="S379" s="54" t="n">
        <x:f>INDEX('Locations'!$D$6:$D$453,MATCH(B379,'Locations'!$A$6:$A$453,0))</x:f>
        <x:v>42.7339365896736</x:v>
      </x:c>
      <x:c r="T379" s="54" t="n">
        <x:f>INDEX('Locations'!$E$6:$E$453,MATCH(B379,'Locations'!$A$6:$A$453,0))</x:f>
        <x:v>-73.6823492558406</x:v>
      </x:c>
      <x:c r="U379" s="54" t="n">
        <x:f>INDEX('Locations'!$D$6:$D$453,MATCH(C379,'Locations'!$A$6:$A$453,0))</x:f>
        <x:v>42.7328801871115</x:v>
      </x:c>
      <x:c r="V379" s="69" t="n">
        <x:f>INDEX('Locations'!$E$6:$E$453,MATCH(C379,'Locations'!$A$6:$A$453,0))</x:f>
        <x:v>-73.6826739497346</x:v>
      </x:c>
      <x:c r="W379" s="44"/>
    </x:row>
    <x:row r="380" ht="23" customHeight="1">
      <x:c r="A380" s="21" t="s">
        <x:v>982</x:v>
      </x:c>
      <x:c r="B380" s="45" t="str">
        <x:v>N71</x:v>
      </x:c>
      <x:c r="C380" s="45" t="s">
        <x:v>449</x:v>
      </x:c>
      <x:c r="D380" s="45" t="s">
        <x:v>606</x:v>
      </x:c>
      <x:c r="E380" s="63" t="n">
        <x:f>2*6371000*ASIN(SQRT(MIN(1,SIN(RADIANS(U380-S380)/2)^2+COS(RADIANS(S380))*COS(RADIANS(U380))*SIN(RADIANS(V380-T380)/2)^2)))</x:f>
        <x:v>8.917988693294657</x:v>
      </x:c>
      <x:c r="F380" s="48" t="s">
        <x:v>67</x:v>
      </x:c>
      <x:c r="G380" s="48" t="s">
        <x:v>66</x:v>
      </x:c>
      <x:c r="H380" s="48" t="s">
        <x:v>66</x:v>
      </x:c>
      <x:c r="I380" s="48" t="s">
        <x:v>66</x:v>
      </x:c>
      <x:c r="J380" s="48" t="s">
        <x:v>66</x:v>
      </x:c>
      <x:c r="K380" s="64"/>
      <x:c r="L380" s="64"/>
      <x:c r="M380" s="50"/>
      <x:c r="N380" s="49"/>
      <x:c r="O380" s="50"/>
      <x:c r="P380" s="50"/>
      <x:c r="Q380" s="30">
        <x:v>376</x:v>
      </x:c>
      <x:c r="R380" s="65"/>
      <x:c r="S380" s="46" t="n">
        <x:f>INDEX('Locations'!$D$6:$D$453,MATCH(B380,'Locations'!$A$6:$A$453,0))</x:f>
        <x:v>42.73092087</x:v>
      </x:c>
      <x:c r="T380" s="46" t="n">
        <x:f>INDEX('Locations'!$E$6:$E$453,MATCH(B380,'Locations'!$A$6:$A$453,0))</x:f>
        <x:v>-73.6843118</x:v>
      </x:c>
      <x:c r="U380" s="46" t="n">
        <x:f>INDEX('Locations'!$D$6:$D$453,MATCH(C380,'Locations'!$A$6:$A$453,0))</x:f>
        <x:v>42.7308892303785</x:v>
      </x:c>
      <x:c r="V380" s="66" t="n">
        <x:f>INDEX('Locations'!$E$6:$E$453,MATCH(C380,'Locations'!$A$6:$A$453,0))</x:f>
        <x:v>-73.6842114708209</x:v>
      </x:c>
      <x:c r="W380" s="44"/>
    </x:row>
    <x:row r="381" ht="23" customHeight="1">
      <x:c r="A381" s="24" t="s">
        <x:v>983</x:v>
      </x:c>
      <x:c r="B381" s="53" t="s">
        <x:v>448</x:v>
      </x:c>
      <x:c r="C381" s="53" t="s">
        <x:v>449</x:v>
      </x:c>
      <x:c r="D381" s="53" t="s">
        <x:v>606</x:v>
      </x:c>
      <x:c r="E381" s="67" t="n">
        <x:f>2*6371000*ASIN(SQRT(MIN(1,SIN(RADIANS(U381-S381)/2)^2+COS(RADIANS(S381))*COS(RADIANS(U381))*SIN(RADIANS(V381-T381)/2)^2)))</x:f>
        <x:v>250.33488459889276</x:v>
      </x:c>
      <x:c r="F381" s="48" t="s">
        <x:v>67</x:v>
      </x:c>
      <x:c r="G381" s="48" t="s">
        <x:v>66</x:v>
      </x:c>
      <x:c r="H381" s="48" t="s">
        <x:v>66</x:v>
      </x:c>
      <x:c r="I381" s="48" t="s">
        <x:v>66</x:v>
      </x:c>
      <x:c r="J381" s="48" t="s">
        <x:v>66</x:v>
      </x:c>
      <x:c r="K381" s="64"/>
      <x:c r="L381" s="64"/>
      <x:c r="M381" s="50"/>
      <x:c r="N381" s="49"/>
      <x:c r="O381" s="50"/>
      <x:c r="P381" s="50"/>
      <x:c r="Q381" s="32">
        <x:v>377</x:v>
      </x:c>
      <x:c r="R381" s="68"/>
      <x:c r="S381" s="54" t="n">
        <x:f>INDEX('Locations'!$D$6:$D$453,MATCH(B381,'Locations'!$A$6:$A$453,0))</x:f>
        <x:v>42.7330974450922</x:v>
      </x:c>
      <x:c r="T381" s="54" t="n">
        <x:f>INDEX('Locations'!$E$6:$E$453,MATCH(B381,'Locations'!$A$6:$A$453,0))</x:f>
        <x:v>-73.6836146070451</x:v>
      </x:c>
      <x:c r="U381" s="54" t="n">
        <x:f>INDEX('Locations'!$D$6:$D$453,MATCH(C381,'Locations'!$A$6:$A$453,0))</x:f>
        <x:v>42.7308892303785</x:v>
      </x:c>
      <x:c r="V381" s="69" t="n">
        <x:f>INDEX('Locations'!$E$6:$E$453,MATCH(C381,'Locations'!$A$6:$A$453,0))</x:f>
        <x:v>-73.6842114708209</x:v>
      </x:c>
      <x:c r="W381" s="44"/>
    </x:row>
    <x:row r="382" ht="23" customHeight="1">
      <x:c r="A382" s="21" t="s">
        <x:v>984</x:v>
      </x:c>
      <x:c r="B382" s="45" t="s">
        <x:v>446</x:v>
      </x:c>
      <x:c r="C382" s="45" t="s">
        <x:v>447</x:v>
      </x:c>
      <x:c r="D382" s="45" t="s">
        <x:v>606</x:v>
      </x:c>
      <x:c r="E382" s="63" t="n">
        <x:f>2*6371000*ASIN(SQRT(MIN(1,SIN(RADIANS(U382-S382)/2)^2+COS(RADIANS(S382))*COS(RADIANS(U382))*SIN(RADIANS(V382-T382)/2)^2)))</x:f>
        <x:v>93.06157224263644</x:v>
      </x:c>
      <x:c r="F382" s="48" t="s">
        <x:v>67</x:v>
      </x:c>
      <x:c r="G382" s="48" t="s">
        <x:v>66</x:v>
      </x:c>
      <x:c r="H382" s="48" t="s">
        <x:v>66</x:v>
      </x:c>
      <x:c r="I382" s="48" t="s">
        <x:v>66</x:v>
      </x:c>
      <x:c r="J382" s="48" t="s">
        <x:v>66</x:v>
      </x:c>
      <x:c r="K382" s="64"/>
      <x:c r="L382" s="64"/>
      <x:c r="M382" s="50"/>
      <x:c r="N382" s="49"/>
      <x:c r="O382" s="50"/>
      <x:c r="P382" s="50"/>
      <x:c r="Q382" s="30">
        <x:v>378</x:v>
      </x:c>
      <x:c r="R382" s="65"/>
      <x:c r="S382" s="46" t="n">
        <x:f>INDEX('Locations'!$D$6:$D$453,MATCH(B382,'Locations'!$A$6:$A$453,0))</x:f>
        <x:v>42.7339365896736</x:v>
      </x:c>
      <x:c r="T382" s="46" t="n">
        <x:f>INDEX('Locations'!$E$6:$E$453,MATCH(B382,'Locations'!$A$6:$A$453,0))</x:f>
        <x:v>-73.6823492558406</x:v>
      </x:c>
      <x:c r="U382" s="46" t="n">
        <x:f>INDEX('Locations'!$D$6:$D$453,MATCH(C382,'Locations'!$A$6:$A$453,0))</x:f>
        <x:v>42.7337135841273</x:v>
      </x:c>
      <x:c r="V382" s="66" t="n">
        <x:f>INDEX('Locations'!$E$6:$E$453,MATCH(C382,'Locations'!$A$6:$A$453,0))</x:f>
        <x:v>-73.6834474851879</x:v>
      </x:c>
      <x:c r="W382" s="44"/>
    </x:row>
    <x:row r="383" ht="23" customHeight="1">
      <x:c r="A383" s="24" t="s">
        <x:v>985</x:v>
      </x:c>
      <x:c r="B383" s="53" t="s">
        <x:v>436</x:v>
      </x:c>
      <x:c r="C383" s="53" t="s">
        <x:v>448</x:v>
      </x:c>
      <x:c r="D383" s="53" t="s">
        <x:v>606</x:v>
      </x:c>
      <x:c r="E383" s="67" t="n">
        <x:f>2*6371000*ASIN(SQRT(MIN(1,SIN(RADIANS(U383-S383)/2)^2+COS(RADIANS(S383))*COS(RADIANS(U383))*SIN(RADIANS(V383-T383)/2)^2)))</x:f>
        <x:v>80.53712240865214</x:v>
      </x:c>
      <x:c r="F383" s="48" t="s">
        <x:v>67</x:v>
      </x:c>
      <x:c r="G383" s="48" t="s">
        <x:v>66</x:v>
      </x:c>
      <x:c r="H383" s="48" t="s">
        <x:v>66</x:v>
      </x:c>
      <x:c r="I383" s="48" t="s">
        <x:v>66</x:v>
      </x:c>
      <x:c r="J383" s="48" t="s">
        <x:v>66</x:v>
      </x:c>
      <x:c r="K383" s="64"/>
      <x:c r="L383" s="64"/>
      <x:c r="M383" s="50"/>
      <x:c r="N383" s="49"/>
      <x:c r="O383" s="50"/>
      <x:c r="P383" s="50"/>
      <x:c r="Q383" s="32">
        <x:v>379</x:v>
      </x:c>
      <x:c r="R383" s="68"/>
      <x:c r="S383" s="54" t="n">
        <x:f>INDEX('Locations'!$D$6:$D$453,MATCH(B383,'Locations'!$A$6:$A$453,0))</x:f>
        <x:v>42.7328801871115</x:v>
      </x:c>
      <x:c r="T383" s="54" t="n">
        <x:f>INDEX('Locations'!$E$6:$E$453,MATCH(B383,'Locations'!$A$6:$A$453,0))</x:f>
        <x:v>-73.6826739497346</x:v>
      </x:c>
      <x:c r="U383" s="54" t="n">
        <x:f>INDEX('Locations'!$D$6:$D$453,MATCH(C383,'Locations'!$A$6:$A$453,0))</x:f>
        <x:v>42.7330974450922</x:v>
      </x:c>
      <x:c r="V383" s="69" t="n">
        <x:f>INDEX('Locations'!$E$6:$E$453,MATCH(C383,'Locations'!$A$6:$A$453,0))</x:f>
        <x:v>-73.6836146070451</x:v>
      </x:c>
      <x:c r="W383" s="44"/>
    </x:row>
    <x:row r="384" ht="23" customHeight="1">
      <x:c r="A384" s="21" t="s">
        <x:v>986</x:v>
      </x:c>
      <x:c r="B384" s="45" t="s">
        <x:v>447</x:v>
      </x:c>
      <x:c r="C384" s="45" t="s">
        <x:v>448</x:v>
      </x:c>
      <x:c r="D384" s="45" t="s">
        <x:v>606</x:v>
      </x:c>
      <x:c r="E384" s="63" t="n">
        <x:f>2*6371000*ASIN(SQRT(MIN(1,SIN(RADIANS(U384-S384)/2)^2+COS(RADIANS(S384))*COS(RADIANS(U384))*SIN(RADIANS(V384-T384)/2)^2)))</x:f>
        <x:v>69.85802150180213</x:v>
      </x:c>
      <x:c r="F384" s="48" t="s">
        <x:v>67</x:v>
      </x:c>
      <x:c r="G384" s="48" t="s">
        <x:v>66</x:v>
      </x:c>
      <x:c r="H384" s="48" t="s">
        <x:v>66</x:v>
      </x:c>
      <x:c r="I384" s="48" t="s">
        <x:v>66</x:v>
      </x:c>
      <x:c r="J384" s="48" t="s">
        <x:v>66</x:v>
      </x:c>
      <x:c r="K384" s="64"/>
      <x:c r="L384" s="64"/>
      <x:c r="M384" s="50"/>
      <x:c r="N384" s="49"/>
      <x:c r="O384" s="50"/>
      <x:c r="P384" s="50"/>
      <x:c r="Q384" s="30">
        <x:v>380</x:v>
      </x:c>
      <x:c r="R384" s="65"/>
      <x:c r="S384" s="46" t="n">
        <x:f>INDEX('Locations'!$D$6:$D$453,MATCH(B384,'Locations'!$A$6:$A$453,0))</x:f>
        <x:v>42.7337135841273</x:v>
      </x:c>
      <x:c r="T384" s="46" t="n">
        <x:f>INDEX('Locations'!$E$6:$E$453,MATCH(B384,'Locations'!$A$6:$A$453,0))</x:f>
        <x:v>-73.6834474851879</x:v>
      </x:c>
      <x:c r="U384" s="46" t="n">
        <x:f>INDEX('Locations'!$D$6:$D$453,MATCH(C384,'Locations'!$A$6:$A$453,0))</x:f>
        <x:v>42.7330974450922</x:v>
      </x:c>
      <x:c r="V384" s="66" t="n">
        <x:f>INDEX('Locations'!$E$6:$E$453,MATCH(C384,'Locations'!$A$6:$A$453,0))</x:f>
        <x:v>-73.6836146070451</x:v>
      </x:c>
      <x:c r="W384" s="44"/>
    </x:row>
    <x:row r="385" ht="23" customHeight="1">
      <x:c r="A385" s="24" t="s">
        <x:v>987</x:v>
      </x:c>
      <x:c r="B385" s="53" t="s">
        <x:v>449</x:v>
      </x:c>
      <x:c r="C385" s="53" t="s">
        <x:v>451</x:v>
      </x:c>
      <x:c r="D385" s="53" t="s">
        <x:v>606</x:v>
      </x:c>
      <x:c r="E385" s="67" t="n">
        <x:f>2*6371000*ASIN(SQRT(MIN(1,SIN(RADIANS(U385-S385)/2)^2+COS(RADIANS(S385))*COS(RADIANS(U385))*SIN(RADIANS(V385-T385)/2)^2)))</x:f>
        <x:v>41.337359675428246</x:v>
      </x:c>
      <x:c r="F385" s="48" t="s">
        <x:v>67</x:v>
      </x:c>
      <x:c r="G385" s="48" t="s">
        <x:v>66</x:v>
      </x:c>
      <x:c r="H385" s="48" t="s">
        <x:v>66</x:v>
      </x:c>
      <x:c r="I385" s="48" t="s">
        <x:v>66</x:v>
      </x:c>
      <x:c r="J385" s="48" t="s">
        <x:v>66</x:v>
      </x:c>
      <x:c r="K385" s="64"/>
      <x:c r="L385" s="64"/>
      <x:c r="M385" s="50"/>
      <x:c r="N385" s="49"/>
      <x:c r="O385" s="50"/>
      <x:c r="P385" s="50"/>
      <x:c r="Q385" s="32">
        <x:v>381</x:v>
      </x:c>
      <x:c r="R385" s="68"/>
      <x:c r="S385" s="54" t="n">
        <x:f>INDEX('Locations'!$D$6:$D$453,MATCH(B385,'Locations'!$A$6:$A$453,0))</x:f>
        <x:v>42.7308892303785</x:v>
      </x:c>
      <x:c r="T385" s="54" t="n">
        <x:f>INDEX('Locations'!$E$6:$E$453,MATCH(B385,'Locations'!$A$6:$A$453,0))</x:f>
        <x:v>-73.6842114708209</x:v>
      </x:c>
      <x:c r="U385" s="54" t="n">
        <x:f>INDEX('Locations'!$D$6:$D$453,MATCH(C385,'Locations'!$A$6:$A$453,0))</x:f>
        <x:v>42.7305294327702</x:v>
      </x:c>
      <x:c r="V385" s="69" t="n">
        <x:f>INDEX('Locations'!$E$6:$E$453,MATCH(C385,'Locations'!$A$6:$A$453,0))</x:f>
        <x:v>-73.6843388017597</x:v>
      </x:c>
      <x:c r="W385" s="44"/>
    </x:row>
    <x:row r="386" ht="23" customHeight="1">
      <x:c r="A386" s="21" t="s">
        <x:v>988</x:v>
      </x:c>
      <x:c r="B386" s="45" t="s">
        <x:v>369</x:v>
      </x:c>
      <x:c r="C386" s="45" t="s">
        <x:v>451</x:v>
      </x:c>
      <x:c r="D386" s="45" t="s">
        <x:v>606</x:v>
      </x:c>
      <x:c r="E386" s="63" t="n">
        <x:f>2*6371000*ASIN(SQRT(MIN(1,SIN(RADIANS(U386-S386)/2)^2+COS(RADIANS(S386))*COS(RADIANS(U386))*SIN(RADIANS(V386-T386)/2)^2)))</x:f>
        <x:v>31.210937770995784</x:v>
      </x:c>
      <x:c r="F386" s="48" t="s">
        <x:v>67</x:v>
      </x:c>
      <x:c r="G386" s="48" t="s">
        <x:v>66</x:v>
      </x:c>
      <x:c r="H386" s="48" t="s">
        <x:v>66</x:v>
      </x:c>
      <x:c r="I386" s="48" t="s">
        <x:v>66</x:v>
      </x:c>
      <x:c r="J386" s="48" t="s">
        <x:v>66</x:v>
      </x:c>
      <x:c r="K386" s="64"/>
      <x:c r="L386" s="64"/>
      <x:c r="M386" s="50"/>
      <x:c r="N386" s="49"/>
      <x:c r="O386" s="50"/>
      <x:c r="P386" s="50"/>
      <x:c r="Q386" s="30">
        <x:v>382</x:v>
      </x:c>
      <x:c r="R386" s="65"/>
      <x:c r="S386" s="46" t="n">
        <x:f>INDEX('Locations'!$D$6:$D$453,MATCH(B386,'Locations'!$A$6:$A$453,0))</x:f>
        <x:v>42.7302512505939</x:v>
      </x:c>
      <x:c r="T386" s="46" t="n">
        <x:f>INDEX('Locations'!$E$6:$E$453,MATCH(B386,'Locations'!$A$6:$A$453,0))</x:f>
        <x:v>-73.6843897341352</x:v>
      </x:c>
      <x:c r="U386" s="46" t="n">
        <x:f>INDEX('Locations'!$D$6:$D$453,MATCH(C386,'Locations'!$A$6:$A$453,0))</x:f>
        <x:v>42.7305294327702</x:v>
      </x:c>
      <x:c r="V386" s="66" t="n">
        <x:f>INDEX('Locations'!$E$6:$E$453,MATCH(C386,'Locations'!$A$6:$A$453,0))</x:f>
        <x:v>-73.6843388017597</x:v>
      </x:c>
      <x:c r="W386" s="44"/>
    </x:row>
    <x:row r="387" ht="23" customHeight="1">
      <x:c r="A387" s="24" t="s">
        <x:v>989</x:v>
      </x:c>
      <x:c r="B387" s="53" t="s">
        <x:v>450</x:v>
      </x:c>
      <x:c r="C387" s="53" t="s">
        <x:v>451</x:v>
      </x:c>
      <x:c r="D387" s="53" t="s">
        <x:v>606</x:v>
      </x:c>
      <x:c r="E387" s="67" t="n">
        <x:f>2*6371000*ASIN(SQRT(MIN(1,SIN(RADIANS(U387-S387)/2)^2+COS(RADIANS(S387))*COS(RADIANS(U387))*SIN(RADIANS(V387-T387)/2)^2)))</x:f>
        <x:v>109.6563079429229</x:v>
      </x:c>
      <x:c r="F387" s="48" t="s">
        <x:v>67</x:v>
      </x:c>
      <x:c r="G387" s="48" t="s">
        <x:v>66</x:v>
      </x:c>
      <x:c r="H387" s="48" t="s">
        <x:v>66</x:v>
      </x:c>
      <x:c r="I387" s="48" t="s">
        <x:v>66</x:v>
      </x:c>
      <x:c r="J387" s="48" t="s">
        <x:v>66</x:v>
      </x:c>
      <x:c r="K387" s="64"/>
      <x:c r="L387" s="64"/>
      <x:c r="M387" s="50"/>
      <x:c r="N387" s="49"/>
      <x:c r="O387" s="50"/>
      <x:c r="P387" s="50"/>
      <x:c r="Q387" s="32">
        <x:v>383</x:v>
      </x:c>
      <x:c r="R387" s="68"/>
      <x:c r="S387" s="54" t="n">
        <x:f>INDEX('Locations'!$D$6:$D$453,MATCH(B387,'Locations'!$A$6:$A$453,0))</x:f>
        <x:v>42.730619094794</x:v>
      </x:c>
      <x:c r="T387" s="54" t="n">
        <x:f>INDEX('Locations'!$E$6:$E$453,MATCH(B387,'Locations'!$A$6:$A$453,0))</x:f>
        <x:v>-73.6856757766173</x:v>
      </x:c>
      <x:c r="U387" s="54" t="n">
        <x:f>INDEX('Locations'!$D$6:$D$453,MATCH(C387,'Locations'!$A$6:$A$453,0))</x:f>
        <x:v>42.7305294327702</x:v>
      </x:c>
      <x:c r="V387" s="69" t="n">
        <x:f>INDEX('Locations'!$E$6:$E$453,MATCH(C387,'Locations'!$A$6:$A$453,0))</x:f>
        <x:v>-73.6843388017597</x:v>
      </x:c>
      <x:c r="W387" s="44"/>
    </x:row>
    <x:row r="388" ht="23" customHeight="1">
      <x:c r="A388" s="21" t="s">
        <x:v>990</x:v>
      </x:c>
      <x:c r="B388" s="45" t="s">
        <x:v>452</x:v>
      </x:c>
      <x:c r="C388" s="45" t="s">
        <x:v>84</x:v>
      </x:c>
      <x:c r="D388" s="45" t="s">
        <x:v>606</x:v>
      </x:c>
      <x:c r="E388" s="63" t="n">
        <x:f>2*6371000*ASIN(SQRT(MIN(1,SIN(RADIANS(U388-S388)/2)^2+COS(RADIANS(S388))*COS(RADIANS(U388))*SIN(RADIANS(V388-T388)/2)^2)))</x:f>
        <x:v>28.92674223792084</x:v>
      </x:c>
      <x:c r="F388" s="48" t="s">
        <x:v>67</x:v>
      </x:c>
      <x:c r="G388" s="48" t="s">
        <x:v>66</x:v>
      </x:c>
      <x:c r="H388" s="48" t="s">
        <x:v>66</x:v>
      </x:c>
      <x:c r="I388" s="48" t="s">
        <x:v>66</x:v>
      </x:c>
      <x:c r="J388" s="48" t="s">
        <x:v>66</x:v>
      </x:c>
      <x:c r="K388" s="64"/>
      <x:c r="L388" s="64"/>
      <x:c r="M388" s="50"/>
      <x:c r="N388" s="49"/>
      <x:c r="O388" s="50"/>
      <x:c r="P388" s="50"/>
      <x:c r="Q388" s="30">
        <x:v>384</x:v>
      </x:c>
      <x:c r="R388" s="65"/>
      <x:c r="S388" s="46" t="n">
        <x:f>INDEX('Locations'!$D$6:$D$453,MATCH(B388,'Locations'!$A$6:$A$453,0))</x:f>
        <x:v>42.7313340919579</x:v>
      </x:c>
      <x:c r="T388" s="46" t="n">
        <x:f>INDEX('Locations'!$E$6:$E$453,MATCH(B388,'Locations'!$A$6:$A$453,0))</x:f>
        <x:v>-73.6855166129438</x:v>
      </x:c>
      <x:c r="U388" s="46" t="n">
        <x:f>INDEX('Locations'!$D$6:$D$453,MATCH(C388,'Locations'!$A$6:$A$453,0))</x:f>
        <x:v>42.731351135494</x:v>
      </x:c>
      <x:c r="V388" s="66" t="n">
        <x:f>INDEX('Locations'!$E$6:$E$453,MATCH(C388,'Locations'!$A$6:$A$453,0))</x:f>
        <x:v>-73.6858700100258</x:v>
      </x:c>
      <x:c r="W388" s="44"/>
    </x:row>
    <x:row r="389" ht="23" customHeight="1">
      <x:c r="A389" s="24" t="s">
        <x:v>991</x:v>
      </x:c>
      <x:c r="B389" s="53" t="s">
        <x:v>453</x:v>
      </x:c>
      <x:c r="C389" s="53" t="s">
        <x:v>452</x:v>
      </x:c>
      <x:c r="D389" s="53" t="s">
        <x:v>606</x:v>
      </x:c>
      <x:c r="E389" s="67" t="n">
        <x:f>2*6371000*ASIN(SQRT(MIN(1,SIN(RADIANS(U389-S389)/2)^2+COS(RADIANS(S389))*COS(RADIANS(U389))*SIN(RADIANS(V389-T389)/2)^2)))</x:f>
        <x:v>28.13122188607934</x:v>
      </x:c>
      <x:c r="F389" s="48" t="s">
        <x:v>67</x:v>
      </x:c>
      <x:c r="G389" s="48" t="s">
        <x:v>66</x:v>
      </x:c>
      <x:c r="H389" s="48" t="s">
        <x:v>66</x:v>
      </x:c>
      <x:c r="I389" s="48" t="s">
        <x:v>66</x:v>
      </x:c>
      <x:c r="J389" s="48" t="s">
        <x:v>66</x:v>
      </x:c>
      <x:c r="K389" s="64"/>
      <x:c r="L389" s="64"/>
      <x:c r="M389" s="50"/>
      <x:c r="N389" s="49"/>
      <x:c r="O389" s="50"/>
      <x:c r="P389" s="50"/>
      <x:c r="Q389" s="32">
        <x:v>385</x:v>
      </x:c>
      <x:c r="R389" s="68"/>
      <x:c r="S389" s="54" t="n">
        <x:f>INDEX('Locations'!$D$6:$D$453,MATCH(B389,'Locations'!$A$6:$A$453,0))</x:f>
        <x:v>42.7315869848455</x:v>
      </x:c>
      <x:c r="T389" s="54" t="n">
        <x:f>INDEX('Locations'!$E$6:$E$453,MATCH(B389,'Locations'!$A$6:$A$453,0))</x:f>
        <x:v>-73.6855261627642</x:v>
      </x:c>
      <x:c r="U389" s="54" t="n">
        <x:f>INDEX('Locations'!$D$6:$D$453,MATCH(C389,'Locations'!$A$6:$A$453,0))</x:f>
        <x:v>42.7313340919579</x:v>
      </x:c>
      <x:c r="V389" s="69" t="n">
        <x:f>INDEX('Locations'!$E$6:$E$453,MATCH(C389,'Locations'!$A$6:$A$453,0))</x:f>
        <x:v>-73.6855166129438</x:v>
      </x:c>
      <x:c r="W389" s="44"/>
    </x:row>
    <x:row r="390" ht="23" customHeight="1">
      <x:c r="A390" s="21" t="s">
        <x:v>992</x:v>
      </x:c>
      <x:c r="B390" s="45" t="s">
        <x:v>456</x:v>
      </x:c>
      <x:c r="C390" s="45" t="s">
        <x:v>450</x:v>
      </x:c>
      <x:c r="D390" s="45" t="s">
        <x:v>606</x:v>
      </x:c>
      <x:c r="E390" s="63" t="n">
        <x:f>2*6371000*ASIN(SQRT(MIN(1,SIN(RADIANS(U390-S390)/2)^2+COS(RADIANS(S390))*COS(RADIANS(U390))*SIN(RADIANS(V390-T390)/2)^2)))</x:f>
        <x:v>59.867191428311614</x:v>
      </x:c>
      <x:c r="F390" s="48" t="s">
        <x:v>67</x:v>
      </x:c>
      <x:c r="G390" s="48" t="s">
        <x:v>66</x:v>
      </x:c>
      <x:c r="H390" s="48" t="s">
        <x:v>66</x:v>
      </x:c>
      <x:c r="I390" s="48" t="s">
        <x:v>66</x:v>
      </x:c>
      <x:c r="J390" s="48" t="s">
        <x:v>66</x:v>
      </x:c>
      <x:c r="K390" s="64"/>
      <x:c r="L390" s="64"/>
      <x:c r="M390" s="50"/>
      <x:c r="N390" s="49"/>
      <x:c r="O390" s="50"/>
      <x:c r="P390" s="50"/>
      <x:c r="Q390" s="30">
        <x:v>386</x:v>
      </x:c>
      <x:c r="R390" s="65"/>
      <x:c r="S390" s="46" t="n">
        <x:f>INDEX('Locations'!$D$6:$D$453,MATCH(B390,'Locations'!$A$6:$A$453,0))</x:f>
        <x:v>42.7306443840828</x:v>
      </x:c>
      <x:c r="T390" s="46" t="n">
        <x:f>INDEX('Locations'!$E$6:$E$453,MATCH(B390,'Locations'!$A$6:$A$453,0))</x:f>
        <x:v>-73.6864079295155</x:v>
      </x:c>
      <x:c r="U390" s="46" t="n">
        <x:f>INDEX('Locations'!$D$6:$D$453,MATCH(C390,'Locations'!$A$6:$A$453,0))</x:f>
        <x:v>42.730619094794</x:v>
      </x:c>
      <x:c r="V390" s="66" t="n">
        <x:f>INDEX('Locations'!$E$6:$E$453,MATCH(C390,'Locations'!$A$6:$A$453,0))</x:f>
        <x:v>-73.6856757766173</x:v>
      </x:c>
      <x:c r="W390" s="44"/>
    </x:row>
    <x:row r="391" ht="23" customHeight="1">
      <x:c r="A391" s="24" t="s">
        <x:v>993</x:v>
      </x:c>
      <x:c r="B391" s="53" t="s">
        <x:v>455</x:v>
      </x:c>
      <x:c r="C391" s="53" t="s">
        <x:v>456</x:v>
      </x:c>
      <x:c r="D391" s="53" t="s">
        <x:v>606</x:v>
      </x:c>
      <x:c r="E391" s="67" t="n">
        <x:f>2*6371000*ASIN(SQRT(MIN(1,SIN(RADIANS(U391-S391)/2)^2+COS(RADIANS(S391))*COS(RADIANS(U391))*SIN(RADIANS(V391-T391)/2)^2)))</x:f>
        <x:v>109.85555867038148</x:v>
      </x:c>
      <x:c r="F391" s="48" t="s">
        <x:v>67</x:v>
      </x:c>
      <x:c r="G391" s="48" t="s">
        <x:v>66</x:v>
      </x:c>
      <x:c r="H391" s="48" t="s">
        <x:v>66</x:v>
      </x:c>
      <x:c r="I391" s="48" t="s">
        <x:v>66</x:v>
      </x:c>
      <x:c r="J391" s="48" t="s">
        <x:v>66</x:v>
      </x:c>
      <x:c r="K391" s="64"/>
      <x:c r="L391" s="64"/>
      <x:c r="M391" s="50"/>
      <x:c r="N391" s="49"/>
      <x:c r="O391" s="50"/>
      <x:c r="P391" s="50"/>
      <x:c r="Q391" s="32">
        <x:v>387</x:v>
      </x:c>
      <x:c r="R391" s="68"/>
      <x:c r="S391" s="54" t="n">
        <x:f>INDEX('Locations'!$D$6:$D$453,MATCH(B391,'Locations'!$A$6:$A$453,0))</x:f>
        <x:v>42.7316214702393</x:v>
      </x:c>
      <x:c r="T391" s="54" t="n">
        <x:f>INDEX('Locations'!$E$6:$E$453,MATCH(B391,'Locations'!$A$6:$A$453,0))</x:f>
        <x:v>-73.6862089749236</x:v>
      </x:c>
      <x:c r="U391" s="54" t="n">
        <x:f>INDEX('Locations'!$D$6:$D$453,MATCH(C391,'Locations'!$A$6:$A$453,0))</x:f>
        <x:v>42.7306443840828</x:v>
      </x:c>
      <x:c r="V391" s="69" t="n">
        <x:f>INDEX('Locations'!$E$6:$E$453,MATCH(C391,'Locations'!$A$6:$A$453,0))</x:f>
        <x:v>-73.6864079295155</x:v>
      </x:c>
      <x:c r="W391" s="44"/>
    </x:row>
    <x:row r="392" ht="23" customHeight="1">
      <x:c r="A392" s="21" t="s">
        <x:v>994</x:v>
      </x:c>
      <x:c r="B392" s="45" t="s">
        <x:v>453</x:v>
      </x:c>
      <x:c r="C392" s="45" t="s">
        <x:v>455</x:v>
      </x:c>
      <x:c r="D392" s="45" t="s">
        <x:v>606</x:v>
      </x:c>
      <x:c r="E392" s="63" t="n">
        <x:f>2*6371000*ASIN(SQRT(MIN(1,SIN(RADIANS(U392-S392)/2)^2+COS(RADIANS(S392))*COS(RADIANS(U392))*SIN(RADIANS(V392-T392)/2)^2)))</x:f>
        <x:v>55.90183571615965</x:v>
      </x:c>
      <x:c r="F392" s="48" t="s">
        <x:v>67</x:v>
      </x:c>
      <x:c r="G392" s="48" t="s">
        <x:v>66</x:v>
      </x:c>
      <x:c r="H392" s="48" t="s">
        <x:v>66</x:v>
      </x:c>
      <x:c r="I392" s="48" t="s">
        <x:v>66</x:v>
      </x:c>
      <x:c r="J392" s="48" t="s">
        <x:v>66</x:v>
      </x:c>
      <x:c r="K392" s="64"/>
      <x:c r="L392" s="64"/>
      <x:c r="M392" s="50"/>
      <x:c r="N392" s="49"/>
      <x:c r="O392" s="50"/>
      <x:c r="P392" s="50"/>
      <x:c r="Q392" s="30">
        <x:v>388</x:v>
      </x:c>
      <x:c r="R392" s="65"/>
      <x:c r="S392" s="46" t="n">
        <x:f>INDEX('Locations'!$D$6:$D$453,MATCH(B392,'Locations'!$A$6:$A$453,0))</x:f>
        <x:v>42.7315869848455</x:v>
      </x:c>
      <x:c r="T392" s="46" t="n">
        <x:f>INDEX('Locations'!$E$6:$E$453,MATCH(B392,'Locations'!$A$6:$A$453,0))</x:f>
        <x:v>-73.6855261627642</x:v>
      </x:c>
      <x:c r="U392" s="46" t="n">
        <x:f>INDEX('Locations'!$D$6:$D$453,MATCH(C392,'Locations'!$A$6:$A$453,0))</x:f>
        <x:v>42.7316214702393</x:v>
      </x:c>
      <x:c r="V392" s="66" t="n">
        <x:f>INDEX('Locations'!$E$6:$E$453,MATCH(C392,'Locations'!$A$6:$A$453,0))</x:f>
        <x:v>-73.6862089749236</x:v>
      </x:c>
      <x:c r="W392" s="44"/>
    </x:row>
    <x:row r="393" ht="23" customHeight="1">
      <x:c r="A393" s="24" t="s">
        <x:v>995</x:v>
      </x:c>
      <x:c r="B393" s="53" t="s">
        <x:v>452</x:v>
      </x:c>
      <x:c r="C393" s="53" t="s">
        <x:v>450</x:v>
      </x:c>
      <x:c r="D393" s="53" t="s">
        <x:v>606</x:v>
      </x:c>
      <x:c r="E393" s="67" t="n">
        <x:f>2*6371000*ASIN(SQRT(MIN(1,SIN(RADIANS(U393-S393)/2)^2+COS(RADIANS(S393))*COS(RADIANS(U393))*SIN(RADIANS(V393-T393)/2)^2)))</x:f>
        <x:v>80.559912596555</x:v>
      </x:c>
      <x:c r="F393" s="48" t="s">
        <x:v>67</x:v>
      </x:c>
      <x:c r="G393" s="48" t="s">
        <x:v>66</x:v>
      </x:c>
      <x:c r="H393" s="48" t="s">
        <x:v>66</x:v>
      </x:c>
      <x:c r="I393" s="48" t="s">
        <x:v>66</x:v>
      </x:c>
      <x:c r="J393" s="48" t="s">
        <x:v>66</x:v>
      </x:c>
      <x:c r="K393" s="64"/>
      <x:c r="L393" s="64"/>
      <x:c r="M393" s="50"/>
      <x:c r="N393" s="49"/>
      <x:c r="O393" s="50"/>
      <x:c r="P393" s="50"/>
      <x:c r="Q393" s="32">
        <x:v>389</x:v>
      </x:c>
      <x:c r="R393" s="68"/>
      <x:c r="S393" s="54" t="n">
        <x:f>INDEX('Locations'!$D$6:$D$453,MATCH(B393,'Locations'!$A$6:$A$453,0))</x:f>
        <x:v>42.7313340919579</x:v>
      </x:c>
      <x:c r="T393" s="54" t="n">
        <x:f>INDEX('Locations'!$E$6:$E$453,MATCH(B393,'Locations'!$A$6:$A$453,0))</x:f>
        <x:v>-73.6855166129438</x:v>
      </x:c>
      <x:c r="U393" s="54" t="n">
        <x:f>INDEX('Locations'!$D$6:$D$453,MATCH(C393,'Locations'!$A$6:$A$453,0))</x:f>
        <x:v>42.730619094794</x:v>
      </x:c>
      <x:c r="V393" s="69" t="n">
        <x:f>INDEX('Locations'!$E$6:$E$453,MATCH(C393,'Locations'!$A$6:$A$453,0))</x:f>
        <x:v>-73.6856757766173</x:v>
      </x:c>
      <x:c r="W393" s="44"/>
    </x:row>
    <x:row r="394" ht="23" customHeight="1">
      <x:c r="A394" s="21" t="s">
        <x:v>996</x:v>
      </x:c>
      <x:c r="B394" s="45" t="s">
        <x:v>454</x:v>
      </x:c>
      <x:c r="C394" s="45" t="s">
        <x:v>455</x:v>
      </x:c>
      <x:c r="D394" s="45" t="s">
        <x:v>606</x:v>
      </x:c>
      <x:c r="E394" s="63" t="n">
        <x:f>2*6371000*ASIN(SQRT(MIN(1,SIN(RADIANS(U394-S394)/2)^2+COS(RADIANS(S394))*COS(RADIANS(U394))*SIN(RADIANS(V394-T394)/2)^2)))</x:f>
        <x:v>25.413145631146662</x:v>
      </x:c>
      <x:c r="F394" s="48" t="s">
        <x:v>67</x:v>
      </x:c>
      <x:c r="G394" s="48" t="s">
        <x:v>66</x:v>
      </x:c>
      <x:c r="H394" s="48" t="s">
        <x:v>66</x:v>
      </x:c>
      <x:c r="I394" s="48" t="s">
        <x:v>66</x:v>
      </x:c>
      <x:c r="J394" s="48" t="s">
        <x:v>66</x:v>
      </x:c>
      <x:c r="K394" s="64"/>
      <x:c r="L394" s="64"/>
      <x:c r="M394" s="50"/>
      <x:c r="N394" s="49"/>
      <x:c r="O394" s="50"/>
      <x:c r="P394" s="50"/>
      <x:c r="Q394" s="30">
        <x:v>390</x:v>
      </x:c>
      <x:c r="R394" s="65"/>
      <x:c r="S394" s="46" t="n">
        <x:f>INDEX('Locations'!$D$6:$D$453,MATCH(B394,'Locations'!$A$6:$A$453,0))</x:f>
        <x:v>42.731637563423</x:v>
      </x:c>
      <x:c r="T394" s="46" t="n">
        <x:f>INDEX('Locations'!$E$6:$E$453,MATCH(B394,'Locations'!$A$6:$A$453,0))</x:f>
        <x:v>-73.686519344087</x:v>
      </x:c>
      <x:c r="U394" s="46" t="n">
        <x:f>INDEX('Locations'!$D$6:$D$453,MATCH(C394,'Locations'!$A$6:$A$453,0))</x:f>
        <x:v>42.7316214702393</x:v>
      </x:c>
      <x:c r="V394" s="66" t="n">
        <x:f>INDEX('Locations'!$E$6:$E$453,MATCH(C394,'Locations'!$A$6:$A$453,0))</x:f>
        <x:v>-73.6862089749236</x:v>
      </x:c>
      <x:c r="W394" s="44"/>
    </x:row>
    <x:row r="395" ht="23" customHeight="1">
      <x:c r="A395" s="24" t="s">
        <x:v>997</x:v>
      </x:c>
      <x:c r="B395" s="53" t="s">
        <x:v>457</x:v>
      </x:c>
      <x:c r="C395" s="53" t="s">
        <x:v>454</x:v>
      </x:c>
      <x:c r="D395" s="53" t="s">
        <x:v>606</x:v>
      </x:c>
      <x:c r="E395" s="67" t="n">
        <x:f>2*6371000*ASIN(SQRT(MIN(1,SIN(RADIANS(U395-S395)/2)^2+COS(RADIANS(S395))*COS(RADIANS(U395))*SIN(RADIANS(V395-T395)/2)^2)))</x:f>
        <x:v>227.0488707044691</x:v>
      </x:c>
      <x:c r="F395" s="48" t="s">
        <x:v>67</x:v>
      </x:c>
      <x:c r="G395" s="48" t="s">
        <x:v>66</x:v>
      </x:c>
      <x:c r="H395" s="48" t="s">
        <x:v>66</x:v>
      </x:c>
      <x:c r="I395" s="48" t="s">
        <x:v>66</x:v>
      </x:c>
      <x:c r="J395" s="48" t="s">
        <x:v>66</x:v>
      </x:c>
      <x:c r="K395" s="64"/>
      <x:c r="L395" s="64"/>
      <x:c r="M395" s="50"/>
      <x:c r="N395" s="49"/>
      <x:c r="O395" s="50"/>
      <x:c r="P395" s="50"/>
      <x:c r="Q395" s="32">
        <x:v>391</x:v>
      </x:c>
      <x:c r="R395" s="68"/>
      <x:c r="S395" s="54" t="n">
        <x:f>INDEX('Locations'!$D$6:$D$453,MATCH(B395,'Locations'!$A$6:$A$453,0))</x:f>
        <x:v>42.7336331182086</x:v>
      </x:c>
      <x:c r="T395" s="54" t="n">
        <x:f>INDEX('Locations'!$E$6:$E$453,MATCH(B395,'Locations'!$A$6:$A$453,0))</x:f>
        <x:v>-73.6859304384949</x:v>
      </x:c>
      <x:c r="U395" s="54" t="n">
        <x:f>INDEX('Locations'!$D$6:$D$453,MATCH(C395,'Locations'!$A$6:$A$453,0))</x:f>
        <x:v>42.731637563423</x:v>
      </x:c>
      <x:c r="V395" s="69" t="n">
        <x:f>INDEX('Locations'!$E$6:$E$453,MATCH(C395,'Locations'!$A$6:$A$453,0))</x:f>
        <x:v>-73.686519344087</x:v>
      </x:c>
      <x:c r="W395" s="44"/>
    </x:row>
    <x:row r="396" ht="23" customHeight="1">
      <x:c r="A396" s="21" t="s">
        <x:v>998</x:v>
      </x:c>
      <x:c r="B396" s="45" t="s">
        <x:v>447</x:v>
      </x:c>
      <x:c r="C396" s="45" t="s">
        <x:v>458</x:v>
      </x:c>
      <x:c r="D396" s="45" t="s">
        <x:v>606</x:v>
      </x:c>
      <x:c r="E396" s="63" t="n">
        <x:f>2*6371000*ASIN(SQRT(MIN(1,SIN(RADIANS(U396-S396)/2)^2+COS(RADIANS(S396))*COS(RADIANS(U396))*SIN(RADIANS(V396-T396)/2)^2)))</x:f>
        <x:v>122.96460574275496</x:v>
      </x:c>
      <x:c r="F396" s="48" t="s">
        <x:v>67</x:v>
      </x:c>
      <x:c r="G396" s="48" t="s">
        <x:v>66</x:v>
      </x:c>
      <x:c r="H396" s="48" t="s">
        <x:v>66</x:v>
      </x:c>
      <x:c r="I396" s="48" t="s">
        <x:v>66</x:v>
      </x:c>
      <x:c r="J396" s="48" t="s">
        <x:v>66</x:v>
      </x:c>
      <x:c r="K396" s="64"/>
      <x:c r="L396" s="64"/>
      <x:c r="M396" s="50"/>
      <x:c r="N396" s="49"/>
      <x:c r="O396" s="50"/>
      <x:c r="P396" s="50"/>
      <x:c r="Q396" s="30">
        <x:v>392</x:v>
      </x:c>
      <x:c r="R396" s="65"/>
      <x:c r="S396" s="46" t="n">
        <x:f>INDEX('Locations'!$D$6:$D$453,MATCH(B396,'Locations'!$A$6:$A$453,0))</x:f>
        <x:v>42.7337135841273</x:v>
      </x:c>
      <x:c r="T396" s="46" t="n">
        <x:f>INDEX('Locations'!$E$6:$E$453,MATCH(B396,'Locations'!$A$6:$A$453,0))</x:f>
        <x:v>-73.6834474851879</x:v>
      </x:c>
      <x:c r="U396" s="46" t="n">
        <x:f>INDEX('Locations'!$D$6:$D$453,MATCH(C396,'Locations'!$A$6:$A$453,0))</x:f>
        <x:v>42.7334377009773</x:v>
      </x:c>
      <x:c r="V396" s="66" t="n">
        <x:f>INDEX('Locations'!$E$6:$E$453,MATCH(C396,'Locations'!$A$6:$A$453,0))</x:f>
        <x:v>-73.6849054244374</x:v>
      </x:c>
      <x:c r="W396" s="44"/>
    </x:row>
    <x:row r="397" ht="23" customHeight="1">
      <x:c r="A397" s="24" t="s">
        <x:v>999</x:v>
      </x:c>
      <x:c r="B397" s="53" t="s">
        <x:v>448</x:v>
      </x:c>
      <x:c r="C397" s="53" t="s">
        <x:v>458</x:v>
      </x:c>
      <x:c r="D397" s="53" t="s">
        <x:v>606</x:v>
      </x:c>
      <x:c r="E397" s="67" t="n">
        <x:f>2*6371000*ASIN(SQRT(MIN(1,SIN(RADIANS(U397-S397)/2)^2+COS(RADIANS(S397))*COS(RADIANS(U397))*SIN(RADIANS(V397-T397)/2)^2)))</x:f>
        <x:v>112.01080437060303</x:v>
      </x:c>
      <x:c r="F397" s="48" t="s">
        <x:v>67</x:v>
      </x:c>
      <x:c r="G397" s="48" t="s">
        <x:v>66</x:v>
      </x:c>
      <x:c r="H397" s="48" t="s">
        <x:v>66</x:v>
      </x:c>
      <x:c r="I397" s="48" t="s">
        <x:v>66</x:v>
      </x:c>
      <x:c r="J397" s="48" t="s">
        <x:v>66</x:v>
      </x:c>
      <x:c r="K397" s="64"/>
      <x:c r="L397" s="64"/>
      <x:c r="M397" s="50"/>
      <x:c r="N397" s="49"/>
      <x:c r="O397" s="50"/>
      <x:c r="P397" s="50"/>
      <x:c r="Q397" s="32">
        <x:v>393</x:v>
      </x:c>
      <x:c r="R397" s="68"/>
      <x:c r="S397" s="54" t="n">
        <x:f>INDEX('Locations'!$D$6:$D$453,MATCH(B397,'Locations'!$A$6:$A$453,0))</x:f>
        <x:v>42.7330974450922</x:v>
      </x:c>
      <x:c r="T397" s="54" t="n">
        <x:f>INDEX('Locations'!$E$6:$E$453,MATCH(B397,'Locations'!$A$6:$A$453,0))</x:f>
        <x:v>-73.6836146070451</x:v>
      </x:c>
      <x:c r="U397" s="54" t="n">
        <x:f>INDEX('Locations'!$D$6:$D$453,MATCH(C397,'Locations'!$A$6:$A$453,0))</x:f>
        <x:v>42.7334377009773</x:v>
      </x:c>
      <x:c r="V397" s="69" t="n">
        <x:f>INDEX('Locations'!$E$6:$E$453,MATCH(C397,'Locations'!$A$6:$A$453,0))</x:f>
        <x:v>-73.6849054244374</x:v>
      </x:c>
      <x:c r="W397" s="44"/>
    </x:row>
    <x:row r="398" ht="23" customHeight="1">
      <x:c r="A398" s="21" t="s">
        <x:v>1000</x:v>
      </x:c>
      <x:c r="B398" s="45" t="s">
        <x:v>457</x:v>
      </x:c>
      <x:c r="C398" s="45" t="s">
        <x:v>458</x:v>
      </x:c>
      <x:c r="D398" s="45" t="s">
        <x:v>606</x:v>
      </x:c>
      <x:c r="E398" s="63" t="n">
        <x:f>2*6371000*ASIN(SQRT(MIN(1,SIN(RADIANS(U398-S398)/2)^2+COS(RADIANS(S398))*COS(RADIANS(U398))*SIN(RADIANS(V398-T398)/2)^2)))</x:f>
        <x:v>86.4916753077311</x:v>
      </x:c>
      <x:c r="F398" s="48" t="s">
        <x:v>67</x:v>
      </x:c>
      <x:c r="G398" s="48" t="s">
        <x:v>66</x:v>
      </x:c>
      <x:c r="H398" s="48" t="s">
        <x:v>66</x:v>
      </x:c>
      <x:c r="I398" s="48" t="s">
        <x:v>66</x:v>
      </x:c>
      <x:c r="J398" s="48" t="s">
        <x:v>66</x:v>
      </x:c>
      <x:c r="K398" s="64"/>
      <x:c r="L398" s="64"/>
      <x:c r="M398" s="50"/>
      <x:c r="N398" s="49"/>
      <x:c r="O398" s="50"/>
      <x:c r="P398" s="50"/>
      <x:c r="Q398" s="30">
        <x:v>394</x:v>
      </x:c>
      <x:c r="R398" s="65"/>
      <x:c r="S398" s="46" t="n">
        <x:f>INDEX('Locations'!$D$6:$D$453,MATCH(B398,'Locations'!$A$6:$A$453,0))</x:f>
        <x:v>42.7336331182086</x:v>
      </x:c>
      <x:c r="T398" s="46" t="n">
        <x:f>INDEX('Locations'!$E$6:$E$453,MATCH(B398,'Locations'!$A$6:$A$453,0))</x:f>
        <x:v>-73.6859304384949</x:v>
      </x:c>
      <x:c r="U398" s="46" t="n">
        <x:f>INDEX('Locations'!$D$6:$D$453,MATCH(C398,'Locations'!$A$6:$A$453,0))</x:f>
        <x:v>42.7334377009773</x:v>
      </x:c>
      <x:c r="V398" s="66" t="n">
        <x:f>INDEX('Locations'!$E$6:$E$453,MATCH(C398,'Locations'!$A$6:$A$453,0))</x:f>
        <x:v>-73.6849054244374</x:v>
      </x:c>
      <x:c r="W398" s="44"/>
    </x:row>
    <x:row r="399" ht="23" customHeight="1">
      <x:c r="A399" s="24" t="s">
        <x:v>1001</x:v>
      </x:c>
      <x:c r="B399" s="53" t="s">
        <x:v>454</x:v>
      </x:c>
      <x:c r="C399" s="53" t="s">
        <x:v>461</x:v>
      </x:c>
      <x:c r="D399" s="53" t="s">
        <x:v>606</x:v>
      </x:c>
      <x:c r="E399" s="67" t="n">
        <x:f>2*6371000*ASIN(SQRT(MIN(1,SIN(RADIANS(U399-S399)/2)^2+COS(RADIANS(S399))*COS(RADIANS(U399))*SIN(RADIANS(V399-T399)/2)^2)))</x:f>
        <x:v>233.322415482163</x:v>
      </x:c>
      <x:c r="F399" s="48" t="s">
        <x:v>67</x:v>
      </x:c>
      <x:c r="G399" s="48" t="s">
        <x:v>66</x:v>
      </x:c>
      <x:c r="H399" s="48" t="s">
        <x:v>66</x:v>
      </x:c>
      <x:c r="I399" s="48" t="s">
        <x:v>66</x:v>
      </x:c>
      <x:c r="J399" s="48" t="s">
        <x:v>66</x:v>
      </x:c>
      <x:c r="K399" s="64"/>
      <x:c r="L399" s="64"/>
      <x:c r="M399" s="50"/>
      <x:c r="N399" s="49"/>
      <x:c r="O399" s="50"/>
      <x:c r="P399" s="50"/>
      <x:c r="Q399" s="32">
        <x:v>395</x:v>
      </x:c>
      <x:c r="R399" s="68"/>
      <x:c r="S399" s="54" t="n">
        <x:f>INDEX('Locations'!$D$6:$D$453,MATCH(B399,'Locations'!$A$6:$A$453,0))</x:f>
        <x:v>42.731637563423</x:v>
      </x:c>
      <x:c r="T399" s="54" t="n">
        <x:f>INDEX('Locations'!$E$6:$E$453,MATCH(B399,'Locations'!$A$6:$A$453,0))</x:f>
        <x:v>-73.686519344087</x:v>
      </x:c>
      <x:c r="U399" s="54" t="n">
        <x:f>INDEX('Locations'!$D$6:$D$453,MATCH(C399,'Locations'!$A$6:$A$453,0))</x:f>
        <x:v>42.729563841745</x:v>
      </x:c>
      <x:c r="V399" s="69" t="n">
        <x:f>INDEX('Locations'!$E$6:$E$453,MATCH(C399,'Locations'!$A$6:$A$453,0))</x:f>
        <x:v>-73.6869554525525</x:v>
      </x:c>
      <x:c r="W399" s="44"/>
    </x:row>
    <x:row r="400" ht="23" customHeight="1">
      <x:c r="A400" s="21" t="s">
        <x:v>1002</x:v>
      </x:c>
      <x:c r="B400" s="45" t="s">
        <x:v>460</x:v>
      </x:c>
      <x:c r="C400" s="45" t="s">
        <x:v>461</x:v>
      </x:c>
      <x:c r="D400" s="45" t="s">
        <x:v>606</x:v>
      </x:c>
      <x:c r="E400" s="63" t="n">
        <x:f>2*6371000*ASIN(SQRT(MIN(1,SIN(RADIANS(U400-S400)/2)^2+COS(RADIANS(S400))*COS(RADIANS(U400))*SIN(RADIANS(V400-T400)/2)^2)))</x:f>
        <x:v>68.80025752686004</x:v>
      </x:c>
      <x:c r="F400" s="48" t="s">
        <x:v>67</x:v>
      </x:c>
      <x:c r="G400" s="48" t="s">
        <x:v>66</x:v>
      </x:c>
      <x:c r="H400" s="48" t="s">
        <x:v>66</x:v>
      </x:c>
      <x:c r="I400" s="48" t="s">
        <x:v>66</x:v>
      </x:c>
      <x:c r="J400" s="48" t="s">
        <x:v>66</x:v>
      </x:c>
      <x:c r="K400" s="64"/>
      <x:c r="L400" s="64"/>
      <x:c r="M400" s="50"/>
      <x:c r="N400" s="49"/>
      <x:c r="O400" s="50"/>
      <x:c r="P400" s="50"/>
      <x:c r="Q400" s="30">
        <x:v>396</x:v>
      </x:c>
      <x:c r="R400" s="65"/>
      <x:c r="S400" s="46" t="n">
        <x:f>INDEX('Locations'!$D$6:$D$453,MATCH(B400,'Locations'!$A$6:$A$453,0))</x:f>
        <x:v>42.7294488904324</x:v>
      </x:c>
      <x:c r="T400" s="46" t="n">
        <x:f>INDEX('Locations'!$E$6:$E$453,MATCH(B400,'Locations'!$A$6:$A$453,0))</x:f>
        <x:v>-73.6861278014501</x:v>
      </x:c>
      <x:c r="U400" s="46" t="n">
        <x:f>INDEX('Locations'!$D$6:$D$453,MATCH(C400,'Locations'!$A$6:$A$453,0))</x:f>
        <x:v>42.729563841745</x:v>
      </x:c>
      <x:c r="V400" s="66" t="n">
        <x:f>INDEX('Locations'!$E$6:$E$453,MATCH(C400,'Locations'!$A$6:$A$453,0))</x:f>
        <x:v>-73.6869554525525</x:v>
      </x:c>
      <x:c r="W400" s="44"/>
    </x:row>
    <x:row r="401" ht="23" customHeight="1">
      <x:c r="A401" s="24" t="s">
        <x:v>1003</x:v>
      </x:c>
      <x:c r="B401" s="53" t="s">
        <x:v>459</x:v>
      </x:c>
      <x:c r="C401" s="53" t="s">
        <x:v>461</x:v>
      </x:c>
      <x:c r="D401" s="53" t="s">
        <x:v>606</x:v>
      </x:c>
      <x:c r="E401" s="67" t="n">
        <x:f>2*6371000*ASIN(SQRT(MIN(1,SIN(RADIANS(U401-S401)/2)^2+COS(RADIANS(S401))*COS(RADIANS(U401))*SIN(RADIANS(V401-T401)/2)^2)))</x:f>
        <x:v>136.99871240145836</x:v>
      </x:c>
      <x:c r="F401" s="48" t="s">
        <x:v>67</x:v>
      </x:c>
      <x:c r="G401" s="48" t="s">
        <x:v>66</x:v>
      </x:c>
      <x:c r="H401" s="48" t="s">
        <x:v>66</x:v>
      </x:c>
      <x:c r="I401" s="48" t="s">
        <x:v>66</x:v>
      </x:c>
      <x:c r="J401" s="48" t="s">
        <x:v>66</x:v>
      </x:c>
      <x:c r="K401" s="64"/>
      <x:c r="L401" s="64"/>
      <x:c r="M401" s="50"/>
      <x:c r="N401" s="49"/>
      <x:c r="O401" s="50"/>
      <x:c r="P401" s="50"/>
      <x:c r="Q401" s="32">
        <x:v>397</x:v>
      </x:c>
      <x:c r="R401" s="68"/>
      <x:c r="S401" s="54" t="n">
        <x:f>INDEX('Locations'!$D$6:$D$453,MATCH(B401,'Locations'!$A$6:$A$453,0))</x:f>
        <x:v>42.7283453578322</x:v>
      </x:c>
      <x:c r="T401" s="54" t="n">
        <x:f>INDEX('Locations'!$E$6:$E$453,MATCH(B401,'Locations'!$A$6:$A$453,0))</x:f>
        <x:v>-73.6872037478831</x:v>
      </x:c>
      <x:c r="U401" s="54" t="n">
        <x:f>INDEX('Locations'!$D$6:$D$453,MATCH(C401,'Locations'!$A$6:$A$453,0))</x:f>
        <x:v>42.729563841745</x:v>
      </x:c>
      <x:c r="V401" s="69" t="n">
        <x:f>INDEX('Locations'!$E$6:$E$453,MATCH(C401,'Locations'!$A$6:$A$453,0))</x:f>
        <x:v>-73.6869554525525</x:v>
      </x:c>
      <x:c r="W401" s="44"/>
    </x:row>
    <x:row r="402" ht="23" customHeight="1">
      <x:c r="A402" s="21" t="s">
        <x:v>1004</x:v>
      </x:c>
      <x:c r="B402" s="45" t="s">
        <x:v>437</x:v>
      </x:c>
      <x:c r="C402" s="45" t="s">
        <x:v>463</x:v>
      </x:c>
      <x:c r="D402" s="45" t="s">
        <x:v>606</x:v>
      </x:c>
      <x:c r="E402" s="63" t="n">
        <x:f>2*6371000*ASIN(SQRT(MIN(1,SIN(RADIANS(U402-S402)/2)^2+COS(RADIANS(S402))*COS(RADIANS(U402))*SIN(RADIANS(V402-T402)/2)^2)))</x:f>
        <x:v>74.50902167726066</x:v>
      </x:c>
      <x:c r="F402" s="48" t="s">
        <x:v>67</x:v>
      </x:c>
      <x:c r="G402" s="48" t="s">
        <x:v>66</x:v>
      </x:c>
      <x:c r="H402" s="48" t="s">
        <x:v>66</x:v>
      </x:c>
      <x:c r="I402" s="48" t="s">
        <x:v>66</x:v>
      </x:c>
      <x:c r="J402" s="48" t="s">
        <x:v>66</x:v>
      </x:c>
      <x:c r="K402" s="64"/>
      <x:c r="L402" s="64"/>
      <x:c r="M402" s="50"/>
      <x:c r="N402" s="49"/>
      <x:c r="O402" s="50"/>
      <x:c r="P402" s="50"/>
      <x:c r="Q402" s="30">
        <x:v>398</x:v>
      </x:c>
      <x:c r="R402" s="65"/>
      <x:c r="S402" s="46" t="n">
        <x:f>INDEX('Locations'!$D$6:$D$453,MATCH(B402,'Locations'!$A$6:$A$453,0))</x:f>
        <x:v>42.7281269503383</x:v>
      </x:c>
      <x:c r="T402" s="46" t="n">
        <x:f>INDEX('Locations'!$E$6:$E$453,MATCH(B402,'Locations'!$A$6:$A$453,0))</x:f>
        <x:v>-73.6849754564538</x:v>
      </x:c>
      <x:c r="U402" s="46" t="n">
        <x:f>INDEX('Locations'!$D$6:$D$453,MATCH(C402,'Locations'!$A$6:$A$453,0))</x:f>
        <x:v>42.7274717278569</x:v>
      </x:c>
      <x:c r="V402" s="66" t="n">
        <x:f>INDEX('Locations'!$E$6:$E$453,MATCH(C402,'Locations'!$A$6:$A$453,0))</x:f>
        <x:v>-73.685166452862</x:v>
      </x:c>
      <x:c r="W402" s="44"/>
    </x:row>
    <x:row r="403" ht="23" customHeight="1">
      <x:c r="A403" s="24" t="s">
        <x:v>1005</x:v>
      </x:c>
      <x:c r="B403" s="53" t="s">
        <x:v>459</x:v>
      </x:c>
      <x:c r="C403" s="53" t="s">
        <x:v>462</x:v>
      </x:c>
      <x:c r="D403" s="53" t="s">
        <x:v>606</x:v>
      </x:c>
      <x:c r="E403" s="67" t="n">
        <x:f>2*6371000*ASIN(SQRT(MIN(1,SIN(RADIANS(U403-S403)/2)^2+COS(RADIANS(S403))*COS(RADIANS(U403))*SIN(RADIANS(V403-T403)/2)^2)))</x:f>
        <x:v>57.94677176117054</x:v>
      </x:c>
      <x:c r="F403" s="48" t="s">
        <x:v>67</x:v>
      </x:c>
      <x:c r="G403" s="48" t="s">
        <x:v>66</x:v>
      </x:c>
      <x:c r="H403" s="48" t="s">
        <x:v>66</x:v>
      </x:c>
      <x:c r="I403" s="48" t="s">
        <x:v>66</x:v>
      </x:c>
      <x:c r="J403" s="48" t="s">
        <x:v>66</x:v>
      </x:c>
      <x:c r="K403" s="64"/>
      <x:c r="L403" s="64"/>
      <x:c r="M403" s="50"/>
      <x:c r="N403" s="49"/>
      <x:c r="O403" s="50"/>
      <x:c r="P403" s="50"/>
      <x:c r="Q403" s="32">
        <x:v>399</x:v>
      </x:c>
      <x:c r="R403" s="68"/>
      <x:c r="S403" s="54" t="n">
        <x:f>INDEX('Locations'!$D$6:$D$453,MATCH(B403,'Locations'!$A$6:$A$453,0))</x:f>
        <x:v>42.7283453578322</x:v>
      </x:c>
      <x:c r="T403" s="54" t="n">
        <x:f>INDEX('Locations'!$E$6:$E$453,MATCH(B403,'Locations'!$A$6:$A$453,0))</x:f>
        <x:v>-73.6872037478831</x:v>
      </x:c>
      <x:c r="U403" s="54" t="n">
        <x:f>INDEX('Locations'!$D$6:$D$453,MATCH(C403,'Locations'!$A$6:$A$453,0))</x:f>
        <x:v>42.7281154552071</x:v>
      </x:c>
      <x:c r="V403" s="69" t="n">
        <x:f>INDEX('Locations'!$E$6:$E$453,MATCH(C403,'Locations'!$A$6:$A$453,0))</x:f>
        <x:v>-73.686567093189</x:v>
      </x:c>
      <x:c r="W403" s="44"/>
    </x:row>
    <x:row r="404" ht="23" customHeight="1">
      <x:c r="A404" s="21" t="s">
        <x:v>1006</x:v>
      </x:c>
      <x:c r="B404" s="45" t="s">
        <x:v>464</x:v>
      </x:c>
      <x:c r="C404" s="45" t="s">
        <x:v>462</x:v>
      </x:c>
      <x:c r="D404" s="45" t="s">
        <x:v>606</x:v>
      </x:c>
      <x:c r="E404" s="63" t="n">
        <x:f>2*6371000*ASIN(SQRT(MIN(1,SIN(RADIANS(U404-S404)/2)^2+COS(RADIANS(S404))*COS(RADIANS(U404))*SIN(RADIANS(V404-T404)/2)^2)))</x:f>
        <x:v>54.05377605127946</x:v>
      </x:c>
      <x:c r="F404" s="48" t="s">
        <x:v>67</x:v>
      </x:c>
      <x:c r="G404" s="48" t="s">
        <x:v>66</x:v>
      </x:c>
      <x:c r="H404" s="48" t="s">
        <x:v>66</x:v>
      </x:c>
      <x:c r="I404" s="48" t="s">
        <x:v>66</x:v>
      </x:c>
      <x:c r="J404" s="48" t="s">
        <x:v>66</x:v>
      </x:c>
      <x:c r="K404" s="64"/>
      <x:c r="L404" s="64"/>
      <x:c r="M404" s="50"/>
      <x:c r="N404" s="49"/>
      <x:c r="O404" s="50"/>
      <x:c r="P404" s="50"/>
      <x:c r="Q404" s="30">
        <x:v>400</x:v>
      </x:c>
      <x:c r="R404" s="65"/>
      <x:c r="S404" s="46" t="n">
        <x:f>INDEX('Locations'!$D$6:$D$453,MATCH(B404,'Locations'!$A$6:$A$453,0))</x:f>
        <x:v>42.7278050866633</x:v>
      </x:c>
      <x:c r="T404" s="46" t="n">
        <x:f>INDEX('Locations'!$E$6:$E$453,MATCH(B404,'Locations'!$A$6:$A$453,0))</x:f>
        <x:v>-73.6860577694338</x:v>
      </x:c>
      <x:c r="U404" s="46" t="n">
        <x:f>INDEX('Locations'!$D$6:$D$453,MATCH(C404,'Locations'!$A$6:$A$453,0))</x:f>
        <x:v>42.7281154552071</x:v>
      </x:c>
      <x:c r="V404" s="66" t="n">
        <x:f>INDEX('Locations'!$E$6:$E$453,MATCH(C404,'Locations'!$A$6:$A$453,0))</x:f>
        <x:v>-73.686567093189</x:v>
      </x:c>
      <x:c r="W404" s="44"/>
    </x:row>
    <x:row r="405" ht="23" customHeight="1">
      <x:c r="A405" s="24" t="s">
        <x:v>1007</x:v>
      </x:c>
      <x:c r="B405" s="53" t="s">
        <x:v>463</x:v>
      </x:c>
      <x:c r="C405" s="53" t="s">
        <x:v>464</x:v>
      </x:c>
      <x:c r="D405" s="53" t="s">
        <x:v>606</x:v>
      </x:c>
      <x:c r="E405" s="67" t="n">
        <x:f>2*6371000*ASIN(SQRT(MIN(1,SIN(RADIANS(U405-S405)/2)^2+COS(RADIANS(S405))*COS(RADIANS(U405))*SIN(RADIANS(V405-T405)/2)^2)))</x:f>
        <x:v>81.69804846832744</x:v>
      </x:c>
      <x:c r="F405" s="48" t="s">
        <x:v>67</x:v>
      </x:c>
      <x:c r="G405" s="48" t="s">
        <x:v>66</x:v>
      </x:c>
      <x:c r="H405" s="48" t="s">
        <x:v>66</x:v>
      </x:c>
      <x:c r="I405" s="48" t="s">
        <x:v>66</x:v>
      </x:c>
      <x:c r="J405" s="48" t="s">
        <x:v>66</x:v>
      </x:c>
      <x:c r="K405" s="64"/>
      <x:c r="L405" s="64"/>
      <x:c r="M405" s="50"/>
      <x:c r="N405" s="49"/>
      <x:c r="O405" s="50"/>
      <x:c r="P405" s="50"/>
      <x:c r="Q405" s="32">
        <x:v>401</x:v>
      </x:c>
      <x:c r="R405" s="68"/>
      <x:c r="S405" s="54" t="n">
        <x:f>INDEX('Locations'!$D$6:$D$453,MATCH(B405,'Locations'!$A$6:$A$453,0))</x:f>
        <x:v>42.7274717278569</x:v>
      </x:c>
      <x:c r="T405" s="54" t="n">
        <x:f>INDEX('Locations'!$E$6:$E$453,MATCH(B405,'Locations'!$A$6:$A$453,0))</x:f>
        <x:v>-73.685166452862</x:v>
      </x:c>
      <x:c r="U405" s="54" t="n">
        <x:f>INDEX('Locations'!$D$6:$D$453,MATCH(C405,'Locations'!$A$6:$A$453,0))</x:f>
        <x:v>42.7278050866633</x:v>
      </x:c>
      <x:c r="V405" s="69" t="n">
        <x:f>INDEX('Locations'!$E$6:$E$453,MATCH(C405,'Locations'!$A$6:$A$453,0))</x:f>
        <x:v>-73.6860577694338</x:v>
      </x:c>
      <x:c r="W405" s="44"/>
    </x:row>
    <x:row r="406" ht="23" customHeight="1">
      <x:c r="A406" s="21" t="s">
        <x:v>1008</x:v>
      </x:c>
      <x:c r="B406" s="45" t="s">
        <x:v>465</x:v>
      </x:c>
      <x:c r="C406" s="45" t="s">
        <x:v>466</x:v>
      </x:c>
      <x:c r="D406" s="45" t="s">
        <x:v>606</x:v>
      </x:c>
      <x:c r="E406" s="63" t="n">
        <x:f>2*6371000*ASIN(SQRT(MIN(1,SIN(RADIANS(U406-S406)/2)^2+COS(RADIANS(S406))*COS(RADIANS(U406))*SIN(RADIANS(V406-T406)/2)^2)))</x:f>
        <x:v>57.04017080375887</x:v>
      </x:c>
      <x:c r="F406" s="48" t="s">
        <x:v>67</x:v>
      </x:c>
      <x:c r="G406" s="48" t="s">
        <x:v>66</x:v>
      </x:c>
      <x:c r="H406" s="48" t="s">
        <x:v>66</x:v>
      </x:c>
      <x:c r="I406" s="48" t="s">
        <x:v>66</x:v>
      </x:c>
      <x:c r="J406" s="48" t="s">
        <x:v>66</x:v>
      </x:c>
      <x:c r="K406" s="64"/>
      <x:c r="L406" s="64"/>
      <x:c r="M406" s="50"/>
      <x:c r="N406" s="49"/>
      <x:c r="O406" s="50"/>
      <x:c r="P406" s="50"/>
      <x:c r="Q406" s="30">
        <x:v>402</x:v>
      </x:c>
      <x:c r="R406" s="65"/>
      <x:c r="S406" s="46" t="n">
        <x:f>INDEX('Locations'!$D$6:$D$453,MATCH(B406,'Locations'!$A$6:$A$453,0))</x:f>
        <x:v>42.733288264271</x:v>
      </x:c>
      <x:c r="T406" s="46" t="n">
        <x:f>INDEX('Locations'!$E$6:$E$453,MATCH(B406,'Locations'!$A$6:$A$453,0))</x:f>
        <x:v>-73.6784974949413</x:v>
      </x:c>
      <x:c r="U406" s="46" t="n">
        <x:f>INDEX('Locations'!$D$6:$D$453,MATCH(C406,'Locations'!$A$6:$A$453,0))</x:f>
        <x:v>42.7327847775221</x:v>
      </x:c>
      <x:c r="V406" s="66" t="n">
        <x:f>INDEX('Locations'!$E$6:$E$453,MATCH(C406,'Locations'!$A$6:$A$453,0))</x:f>
        <x:v>-73.678631192427</x:v>
      </x:c>
      <x:c r="W406" s="44"/>
    </x:row>
    <x:row r="407" ht="23" customHeight="1">
      <x:c r="A407" s="24" t="s">
        <x:v>1009</x:v>
      </x:c>
      <x:c r="B407" s="53" t="s">
        <x:v>467</x:v>
      </x:c>
      <x:c r="C407" s="53" t="s">
        <x:v>471</x:v>
      </x:c>
      <x:c r="D407" s="53" t="s">
        <x:v>606</x:v>
      </x:c>
      <x:c r="E407" s="67" t="n">
        <x:f>2*6371000*ASIN(SQRT(MIN(1,SIN(RADIANS(U407-S407)/2)^2+COS(RADIANS(S407))*COS(RADIANS(U407))*SIN(RADIANS(V407-T407)/2)^2)))</x:f>
        <x:v>10.14681333314934</x:v>
      </x:c>
      <x:c r="F407" s="48" t="s">
        <x:v>67</x:v>
      </x:c>
      <x:c r="G407" s="48" t="s">
        <x:v>66</x:v>
      </x:c>
      <x:c r="H407" s="48" t="s">
        <x:v>66</x:v>
      </x:c>
      <x:c r="I407" s="48" t="s">
        <x:v>66</x:v>
      </x:c>
      <x:c r="J407" s="48" t="s">
        <x:v>66</x:v>
      </x:c>
      <x:c r="K407" s="64"/>
      <x:c r="L407" s="64"/>
      <x:c r="M407" s="50"/>
      <x:c r="N407" s="49"/>
      <x:c r="O407" s="50"/>
      <x:c r="P407" s="50"/>
      <x:c r="Q407" s="32">
        <x:v>403</x:v>
      </x:c>
      <x:c r="R407" s="68"/>
      <x:c r="S407" s="54" t="n">
        <x:f>INDEX('Locations'!$D$6:$D$453,MATCH(B407,'Locations'!$A$6:$A$453,0))</x:f>
        <x:v>42.7328434026915</x:v>
      </x:c>
      <x:c r="T407" s="54" t="n">
        <x:f>INDEX('Locations'!$E$6:$E$453,MATCH(B407,'Locations'!$A$6:$A$453,0))</x:f>
        <x:v>-73.6790497928884</x:v>
      </x:c>
      <x:c r="U407" s="54" t="n">
        <x:f>INDEX('Locations'!$D$6:$D$453,MATCH(C407,'Locations'!$A$6:$A$453,0))</x:f>
        <x:v>42.7328284590208</x:v>
      </x:c>
      <x:c r="V407" s="69" t="n">
        <x:f>INDEX('Locations'!$E$6:$E$453,MATCH(C407,'Locations'!$A$6:$A$453,0))</x:f>
        <x:v>-73.6789272368598</x:v>
      </x:c>
      <x:c r="W407" s="44"/>
    </x:row>
    <x:row r="408" ht="23" customHeight="1">
      <x:c r="A408" s="21" t="s">
        <x:v>1010</x:v>
      </x:c>
      <x:c r="B408" s="45" t="s">
        <x:v>466</x:v>
      </x:c>
      <x:c r="C408" s="45" t="s">
        <x:v>471</x:v>
      </x:c>
      <x:c r="D408" s="45" t="s">
        <x:v>606</x:v>
      </x:c>
      <x:c r="E408" s="63" t="n">
        <x:f>2*6371000*ASIN(SQRT(MIN(1,SIN(RADIANS(U408-S408)/2)^2+COS(RADIANS(S408))*COS(RADIANS(U408))*SIN(RADIANS(V408-T408)/2)^2)))</x:f>
        <x:v>24.662626788890666</x:v>
      </x:c>
      <x:c r="F408" s="48" t="s">
        <x:v>67</x:v>
      </x:c>
      <x:c r="G408" s="48" t="s">
        <x:v>66</x:v>
      </x:c>
      <x:c r="H408" s="48" t="s">
        <x:v>66</x:v>
      </x:c>
      <x:c r="I408" s="48" t="s">
        <x:v>66</x:v>
      </x:c>
      <x:c r="J408" s="48" t="s">
        <x:v>66</x:v>
      </x:c>
      <x:c r="K408" s="64"/>
      <x:c r="L408" s="64"/>
      <x:c r="M408" s="50"/>
      <x:c r="N408" s="49"/>
      <x:c r="O408" s="50"/>
      <x:c r="P408" s="50"/>
      <x:c r="Q408" s="30">
        <x:v>404</x:v>
      </x:c>
      <x:c r="R408" s="65"/>
      <x:c r="S408" s="46" t="n">
        <x:f>INDEX('Locations'!$D$6:$D$453,MATCH(B408,'Locations'!$A$6:$A$453,0))</x:f>
        <x:v>42.7327847775221</x:v>
      </x:c>
      <x:c r="T408" s="46" t="n">
        <x:f>INDEX('Locations'!$E$6:$E$453,MATCH(B408,'Locations'!$A$6:$A$453,0))</x:f>
        <x:v>-73.678631192427</x:v>
      </x:c>
      <x:c r="U408" s="46" t="n">
        <x:f>INDEX('Locations'!$D$6:$D$453,MATCH(C408,'Locations'!$A$6:$A$453,0))</x:f>
        <x:v>42.7328284590208</x:v>
      </x:c>
      <x:c r="V408" s="66" t="n">
        <x:f>INDEX('Locations'!$E$6:$E$453,MATCH(C408,'Locations'!$A$6:$A$453,0))</x:f>
        <x:v>-73.6789272368598</x:v>
      </x:c>
      <x:c r="W408" s="44"/>
    </x:row>
    <x:row r="409" ht="23" customHeight="1">
      <x:c r="A409" s="24" t="s">
        <x:v>1011</x:v>
      </x:c>
      <x:c r="B409" s="53" t="s">
        <x:v>470</x:v>
      </x:c>
      <x:c r="C409" s="53" t="s">
        <x:v>471</x:v>
      </x:c>
      <x:c r="D409" s="53" t="s">
        <x:v>606</x:v>
      </x:c>
      <x:c r="E409" s="67" t="n">
        <x:f>2*6371000*ASIN(SQRT(MIN(1,SIN(RADIANS(U409-S409)/2)^2+COS(RADIANS(S409))*COS(RADIANS(U409))*SIN(RADIANS(V409-T409)/2)^2)))</x:f>
        <x:v>28.069008666641057</x:v>
      </x:c>
      <x:c r="F409" s="48" t="s">
        <x:v>67</x:v>
      </x:c>
      <x:c r="G409" s="48" t="s">
        <x:v>66</x:v>
      </x:c>
      <x:c r="H409" s="48" t="s">
        <x:v>66</x:v>
      </x:c>
      <x:c r="I409" s="48" t="s">
        <x:v>66</x:v>
      </x:c>
      <x:c r="J409" s="48" t="s">
        <x:v>66</x:v>
      </x:c>
      <x:c r="K409" s="64"/>
      <x:c r="L409" s="64"/>
      <x:c r="M409" s="50"/>
      <x:c r="N409" s="49"/>
      <x:c r="O409" s="50"/>
      <x:c r="P409" s="50"/>
      <x:c r="Q409" s="32">
        <x:v>405</x:v>
      </x:c>
      <x:c r="R409" s="68"/>
      <x:c r="S409" s="54" t="n">
        <x:f>INDEX('Locations'!$D$6:$D$453,MATCH(B409,'Locations'!$A$6:$A$453,0))</x:f>
        <x:v>42.7325778651595</x:v>
      </x:c>
      <x:c r="T409" s="54" t="n">
        <x:f>INDEX('Locations'!$E$6:$E$453,MATCH(B409,'Locations'!$A$6:$A$453,0))</x:f>
        <x:v>-73.6789686194149</x:v>
      </x:c>
      <x:c r="U409" s="54" t="n">
        <x:f>INDEX('Locations'!$D$6:$D$453,MATCH(C409,'Locations'!$A$6:$A$453,0))</x:f>
        <x:v>42.7328284590208</x:v>
      </x:c>
      <x:c r="V409" s="69" t="n">
        <x:f>INDEX('Locations'!$E$6:$E$453,MATCH(C409,'Locations'!$A$6:$A$453,0))</x:f>
        <x:v>-73.6789272368598</x:v>
      </x:c>
      <x:c r="W409" s="44"/>
    </x:row>
    <x:row r="410" ht="23" customHeight="1">
      <x:c r="A410" s="21" t="s">
        <x:v>1012</x:v>
      </x:c>
      <x:c r="B410" s="45" t="s">
        <x:v>469</x:v>
      </x:c>
      <x:c r="C410" s="45" t="s">
        <x:v>470</x:v>
      </x:c>
      <x:c r="D410" s="45" t="s">
        <x:v>606</x:v>
      </x:c>
      <x:c r="E410" s="63" t="n">
        <x:f>2*6371000*ASIN(SQRT(MIN(1,SIN(RADIANS(U410-S410)/2)^2+COS(RADIANS(S410))*COS(RADIANS(U410))*SIN(RADIANS(V410-T410)/2)^2)))</x:f>
        <x:v>35.66006494587577</x:v>
      </x:c>
      <x:c r="F410" s="48" t="s">
        <x:v>67</x:v>
      </x:c>
      <x:c r="G410" s="48" t="s">
        <x:v>66</x:v>
      </x:c>
      <x:c r="H410" s="48" t="s">
        <x:v>66</x:v>
      </x:c>
      <x:c r="I410" s="48" t="s">
        <x:v>66</x:v>
      </x:c>
      <x:c r="J410" s="48" t="s">
        <x:v>66</x:v>
      </x:c>
      <x:c r="K410" s="64"/>
      <x:c r="L410" s="64"/>
      <x:c r="M410" s="50"/>
      <x:c r="N410" s="49"/>
      <x:c r="O410" s="50"/>
      <x:c r="P410" s="50"/>
      <x:c r="Q410" s="30">
        <x:v>406</x:v>
      </x:c>
      <x:c r="R410" s="65"/>
      <x:c r="S410" s="46" t="n">
        <x:f>INDEX('Locations'!$D$6:$D$453,MATCH(B410,'Locations'!$A$6:$A$453,0))</x:f>
        <x:v>42.7327709833646</x:v>
      </x:c>
      <x:c r="T410" s="46" t="n">
        <x:f>INDEX('Locations'!$E$6:$E$453,MATCH(B410,'Locations'!$A$6:$A$453,0))</x:f>
        <x:v>-73.6793171878599</x:v>
      </x:c>
      <x:c r="U410" s="46" t="n">
        <x:f>INDEX('Locations'!$D$6:$D$453,MATCH(C410,'Locations'!$A$6:$A$453,0))</x:f>
        <x:v>42.7325778651595</x:v>
      </x:c>
      <x:c r="V410" s="66" t="n">
        <x:f>INDEX('Locations'!$E$6:$E$453,MATCH(C410,'Locations'!$A$6:$A$453,0))</x:f>
        <x:v>-73.6789686194149</x:v>
      </x:c>
      <x:c r="W410" s="44"/>
    </x:row>
    <x:row r="411" ht="23" customHeight="1">
      <x:c r="A411" s="24" t="s">
        <x:v>1013</x:v>
      </x:c>
      <x:c r="B411" s="53" t="s">
        <x:v>468</x:v>
      </x:c>
      <x:c r="C411" s="53" t="s">
        <x:v>469</x:v>
      </x:c>
      <x:c r="D411" s="53" t="s">
        <x:v>606</x:v>
      </x:c>
      <x:c r="E411" s="67" t="n">
        <x:f>2*6371000*ASIN(SQRT(MIN(1,SIN(RADIANS(U411-S411)/2)^2+COS(RADIANS(S411))*COS(RADIANS(U411))*SIN(RADIANS(V411-T411)/2)^2)))</x:f>
        <x:v>27.86861392860108</x:v>
      </x:c>
      <x:c r="F411" s="48" t="s">
        <x:v>67</x:v>
      </x:c>
      <x:c r="G411" s="48" t="s">
        <x:v>66</x:v>
      </x:c>
      <x:c r="H411" s="48" t="s">
        <x:v>66</x:v>
      </x:c>
      <x:c r="I411" s="48" t="s">
        <x:v>66</x:v>
      </x:c>
      <x:c r="J411" s="48" t="s">
        <x:v>66</x:v>
      </x:c>
      <x:c r="K411" s="64"/>
      <x:c r="L411" s="64"/>
      <x:c r="M411" s="50"/>
      <x:c r="N411" s="49"/>
      <x:c r="O411" s="50"/>
      <x:c r="P411" s="50"/>
      <x:c r="Q411" s="32">
        <x:v>407</x:v>
      </x:c>
      <x:c r="R411" s="68"/>
      <x:c r="S411" s="54" t="n">
        <x:f>INDEX('Locations'!$D$6:$D$453,MATCH(B411,'Locations'!$A$6:$A$453,0))</x:f>
        <x:v>42.7330066335553</x:v>
      </x:c>
      <x:c r="T411" s="54" t="n">
        <x:f>INDEX('Locations'!$E$6:$E$453,MATCH(B411,'Locations'!$A$6:$A$453,0))</x:f>
        <x:v>-73.6794333773416</x:v>
      </x:c>
      <x:c r="U411" s="54" t="n">
        <x:f>INDEX('Locations'!$D$6:$D$453,MATCH(C411,'Locations'!$A$6:$A$453,0))</x:f>
        <x:v>42.7327709833646</x:v>
      </x:c>
      <x:c r="V411" s="69" t="n">
        <x:f>INDEX('Locations'!$E$6:$E$453,MATCH(C411,'Locations'!$A$6:$A$453,0))</x:f>
        <x:v>-73.6793171878599</x:v>
      </x:c>
      <x:c r="W411" s="44"/>
    </x:row>
    <x:row r="412" ht="23" customHeight="1">
      <x:c r="A412" s="21" t="s">
        <x:v>1014</x:v>
      </x:c>
      <x:c r="B412" s="45" t="s">
        <x:v>467</x:v>
      </x:c>
      <x:c r="C412" s="45" t="s">
        <x:v>468</x:v>
      </x:c>
      <x:c r="D412" s="45" t="s">
        <x:v>606</x:v>
      </x:c>
      <x:c r="E412" s="63" t="n">
        <x:f>2*6371000*ASIN(SQRT(MIN(1,SIN(RADIANS(U412-S412)/2)^2+COS(RADIANS(S412))*COS(RADIANS(U412))*SIN(RADIANS(V412-T412)/2)^2)))</x:f>
        <x:v>36.207339637762125</x:v>
      </x:c>
      <x:c r="F412" s="48" t="s">
        <x:v>67</x:v>
      </x:c>
      <x:c r="G412" s="48" t="s">
        <x:v>66</x:v>
      </x:c>
      <x:c r="H412" s="48" t="s">
        <x:v>66</x:v>
      </x:c>
      <x:c r="I412" s="48" t="s">
        <x:v>66</x:v>
      </x:c>
      <x:c r="J412" s="48" t="s">
        <x:v>66</x:v>
      </x:c>
      <x:c r="K412" s="64"/>
      <x:c r="L412" s="64"/>
      <x:c r="M412" s="50"/>
      <x:c r="N412" s="49"/>
      <x:c r="O412" s="50"/>
      <x:c r="P412" s="50"/>
      <x:c r="Q412" s="30">
        <x:v>408</x:v>
      </x:c>
      <x:c r="R412" s="65"/>
      <x:c r="S412" s="46" t="n">
        <x:f>INDEX('Locations'!$D$6:$D$453,MATCH(B412,'Locations'!$A$6:$A$453,0))</x:f>
        <x:v>42.7328434026915</x:v>
      </x:c>
      <x:c r="T412" s="46" t="n">
        <x:f>INDEX('Locations'!$E$6:$E$453,MATCH(B412,'Locations'!$A$6:$A$453,0))</x:f>
        <x:v>-73.6790497928884</x:v>
      </x:c>
      <x:c r="U412" s="46" t="n">
        <x:f>INDEX('Locations'!$D$6:$D$453,MATCH(C412,'Locations'!$A$6:$A$453,0))</x:f>
        <x:v>42.7330066335553</x:v>
      </x:c>
      <x:c r="V412" s="66" t="n">
        <x:f>INDEX('Locations'!$E$6:$E$453,MATCH(C412,'Locations'!$A$6:$A$453,0))</x:f>
        <x:v>-73.6794333773416</x:v>
      </x:c>
      <x:c r="W412" s="44"/>
    </x:row>
    <x:row r="413" ht="23" customHeight="1">
      <x:c r="A413" s="24" t="s">
        <x:v>1015</x:v>
      </x:c>
      <x:c r="B413" s="53" t="s">
        <x:v>470</x:v>
      </x:c>
      <x:c r="C413" s="53" t="s">
        <x:v>128</x:v>
      </x:c>
      <x:c r="D413" s="53" t="s">
        <x:v>606</x:v>
      </x:c>
      <x:c r="E413" s="67" t="n">
        <x:f>2*6371000*ASIN(SQRT(MIN(1,SIN(RADIANS(U413-S413)/2)^2+COS(RADIANS(S413))*COS(RADIANS(U413))*SIN(RADIANS(V413-T413)/2)^2)))</x:f>
        <x:v>20.63723196940198</x:v>
      </x:c>
      <x:c r="F413" s="48" t="s">
        <x:v>67</x:v>
      </x:c>
      <x:c r="G413" s="48" t="s">
        <x:v>66</x:v>
      </x:c>
      <x:c r="H413" s="48" t="s">
        <x:v>66</x:v>
      </x:c>
      <x:c r="I413" s="48" t="s">
        <x:v>66</x:v>
      </x:c>
      <x:c r="J413" s="48" t="s">
        <x:v>66</x:v>
      </x:c>
      <x:c r="K413" s="64"/>
      <x:c r="L413" s="64"/>
      <x:c r="M413" s="50"/>
      <x:c r="N413" s="49"/>
      <x:c r="O413" s="50"/>
      <x:c r="P413" s="50"/>
      <x:c r="Q413" s="32">
        <x:v>409</x:v>
      </x:c>
      <x:c r="R413" s="68"/>
      <x:c r="S413" s="54" t="n">
        <x:f>INDEX('Locations'!$D$6:$D$453,MATCH(B413,'Locations'!$A$6:$A$453,0))</x:f>
        <x:v>42.7325778651595</x:v>
      </x:c>
      <x:c r="T413" s="54" t="n">
        <x:f>INDEX('Locations'!$E$6:$E$453,MATCH(B413,'Locations'!$A$6:$A$453,0))</x:f>
        <x:v>-73.6789686194149</x:v>
      </x:c>
      <x:c r="U413" s="54" t="n">
        <x:f>INDEX('Locations'!$D$6:$D$453,MATCH(C413,'Locations'!$A$6:$A$453,0))</x:f>
        <x:v>42.7326033187689</x:v>
      </x:c>
      <x:c r="V413" s="69" t="n">
        <x:f>INDEX('Locations'!$E$6:$E$453,MATCH(C413,'Locations'!$A$6:$A$453,0))</x:f>
        <x:v>-73.6792189042077</x:v>
      </x:c>
      <x:c r="W413" s="44"/>
    </x:row>
    <x:row r="414" ht="23" customHeight="1">
      <x:c r="A414" s="21" t="s">
        <x:v>1016</x:v>
      </x:c>
      <x:c r="B414" s="45" t="s">
        <x:v>441</x:v>
      </x:c>
      <x:c r="C414" s="45" t="s">
        <x:v>473</x:v>
      </x:c>
      <x:c r="D414" s="45" t="s">
        <x:v>606</x:v>
      </x:c>
      <x:c r="E414" s="63" t="n">
        <x:f>2*6371000*ASIN(SQRT(MIN(1,SIN(RADIANS(U414-S414)/2)^2+COS(RADIANS(S414))*COS(RADIANS(U414))*SIN(RADIANS(V414-T414)/2)^2)))</x:f>
        <x:v>41.184977193536</x:v>
      </x:c>
      <x:c r="F414" s="48" t="s">
        <x:v>67</x:v>
      </x:c>
      <x:c r="G414" s="48" t="s">
        <x:v>66</x:v>
      </x:c>
      <x:c r="H414" s="48" t="s">
        <x:v>66</x:v>
      </x:c>
      <x:c r="I414" s="48" t="s">
        <x:v>66</x:v>
      </x:c>
      <x:c r="J414" s="48" t="s">
        <x:v>66</x:v>
      </x:c>
      <x:c r="K414" s="64"/>
      <x:c r="L414" s="64"/>
      <x:c r="M414" s="50"/>
      <x:c r="N414" s="49"/>
      <x:c r="O414" s="50"/>
      <x:c r="P414" s="50"/>
      <x:c r="Q414" s="30">
        <x:v>410</x:v>
      </x:c>
      <x:c r="R414" s="65"/>
      <x:c r="S414" s="46" t="n">
        <x:f>INDEX('Locations'!$D$6:$D$453,MATCH(B414,'Locations'!$A$6:$A$453,0))</x:f>
        <x:v>42.7334606912398</x:v>
      </x:c>
      <x:c r="T414" s="46" t="n">
        <x:f>INDEX('Locations'!$E$6:$E$453,MATCH(B414,'Locations'!$A$6:$A$453,0))</x:f>
        <x:v>-73.6795957242886</x:v>
      </x:c>
      <x:c r="U414" s="46" t="n">
        <x:f>INDEX('Locations'!$D$6:$D$453,MATCH(C414,'Locations'!$A$6:$A$453,0))</x:f>
        <x:v>42.7331112392497</x:v>
      </x:c>
      <x:c r="V414" s="66" t="n">
        <x:f>INDEX('Locations'!$E$6:$E$453,MATCH(C414,'Locations'!$A$6:$A$453,0))</x:f>
        <x:v>-73.6797628461458</x:v>
      </x:c>
      <x:c r="W414" s="44"/>
    </x:row>
    <x:row r="415" ht="23" customHeight="1">
      <x:c r="A415" s="24" t="s">
        <x:v>1017</x:v>
      </x:c>
      <x:c r="B415" s="53" t="s">
        <x:v>468</x:v>
      </x:c>
      <x:c r="C415" s="53" t="s">
        <x:v>473</x:v>
      </x:c>
      <x:c r="D415" s="53" t="s">
        <x:v>606</x:v>
      </x:c>
      <x:c r="E415" s="67" t="n">
        <x:f>2*6371000*ASIN(SQRT(MIN(1,SIN(RADIANS(U415-S415)/2)^2+COS(RADIANS(S415))*COS(RADIANS(U415))*SIN(RADIANS(V415-T415)/2)^2)))</x:f>
        <x:v>29.315746689597006</x:v>
      </x:c>
      <x:c r="F415" s="48" t="s">
        <x:v>67</x:v>
      </x:c>
      <x:c r="G415" s="48" t="s">
        <x:v>66</x:v>
      </x:c>
      <x:c r="H415" s="48" t="s">
        <x:v>66</x:v>
      </x:c>
      <x:c r="I415" s="48" t="s">
        <x:v>66</x:v>
      </x:c>
      <x:c r="J415" s="48" t="s">
        <x:v>66</x:v>
      </x:c>
      <x:c r="K415" s="64"/>
      <x:c r="L415" s="64"/>
      <x:c r="M415" s="50"/>
      <x:c r="N415" s="49"/>
      <x:c r="O415" s="50"/>
      <x:c r="P415" s="50"/>
      <x:c r="Q415" s="32">
        <x:v>411</x:v>
      </x:c>
      <x:c r="R415" s="68"/>
      <x:c r="S415" s="54" t="n">
        <x:f>INDEX('Locations'!$D$6:$D$453,MATCH(B415,'Locations'!$A$6:$A$453,0))</x:f>
        <x:v>42.7330066335553</x:v>
      </x:c>
      <x:c r="T415" s="54" t="n">
        <x:f>INDEX('Locations'!$E$6:$E$453,MATCH(B415,'Locations'!$A$6:$A$453,0))</x:f>
        <x:v>-73.6794333773416</x:v>
      </x:c>
      <x:c r="U415" s="54" t="n">
        <x:f>INDEX('Locations'!$D$6:$D$453,MATCH(C415,'Locations'!$A$6:$A$453,0))</x:f>
        <x:v>42.7331112392497</x:v>
      </x:c>
      <x:c r="V415" s="69" t="n">
        <x:f>INDEX('Locations'!$E$6:$E$453,MATCH(C415,'Locations'!$A$6:$A$453,0))</x:f>
        <x:v>-73.6797628461458</x:v>
      </x:c>
      <x:c r="W415" s="44"/>
    </x:row>
    <x:row r="416" ht="23" customHeight="1">
      <x:c r="A416" s="21" t="s">
        <x:v>1018</x:v>
      </x:c>
      <x:c r="B416" s="45" t="s">
        <x:v>440</x:v>
      </x:c>
      <x:c r="C416" s="45" t="s">
        <x:v>473</x:v>
      </x:c>
      <x:c r="D416" s="45" t="s">
        <x:v>606</x:v>
      </x:c>
      <x:c r="E416" s="63" t="n">
        <x:f>2*6371000*ASIN(SQRT(MIN(1,SIN(RADIANS(U416-S416)/2)^2+COS(RADIANS(S416))*COS(RADIANS(U416))*SIN(RADIANS(V416-T416)/2)^2)))</x:f>
        <x:v>32.920613978919285</x:v>
      </x:c>
      <x:c r="F416" s="48" t="s">
        <x:v>67</x:v>
      </x:c>
      <x:c r="G416" s="48" t="s">
        <x:v>66</x:v>
      </x:c>
      <x:c r="H416" s="48" t="s">
        <x:v>66</x:v>
      </x:c>
      <x:c r="I416" s="48" t="s">
        <x:v>66</x:v>
      </x:c>
      <x:c r="J416" s="48" t="s">
        <x:v>66</x:v>
      </x:c>
      <x:c r="K416" s="64"/>
      <x:c r="L416" s="64"/>
      <x:c r="M416" s="50"/>
      <x:c r="N416" s="49"/>
      <x:c r="O416" s="50"/>
      <x:c r="P416" s="50"/>
      <x:c r="Q416" s="30">
        <x:v>412</x:v>
      </x:c>
      <x:c r="R416" s="65"/>
      <x:c r="S416" s="46" t="n">
        <x:f>INDEX('Locations'!$D$6:$D$453,MATCH(B416,'Locations'!$A$6:$A$453,0))</x:f>
        <x:v>42.7328284590208</x:v>
      </x:c>
      <x:c r="T416" s="46" t="n">
        <x:f>INDEX('Locations'!$E$6:$E$453,MATCH(B416,'Locations'!$A$6:$A$453,0))</x:f>
        <x:v>-73.6798822189009</x:v>
      </x:c>
      <x:c r="U416" s="46" t="n">
        <x:f>INDEX('Locations'!$D$6:$D$453,MATCH(C416,'Locations'!$A$6:$A$453,0))</x:f>
        <x:v>42.7331112392497</x:v>
      </x:c>
      <x:c r="V416" s="66" t="n">
        <x:f>INDEX('Locations'!$E$6:$E$453,MATCH(C416,'Locations'!$A$6:$A$453,0))</x:f>
        <x:v>-73.6797628461458</x:v>
      </x:c>
      <x:c r="W416" s="44"/>
    </x:row>
    <x:row r="417" ht="23" customHeight="1">
      <x:c r="A417" s="24" t="s">
        <x:v>1019</x:v>
      </x:c>
      <x:c r="B417" s="53" t="s">
        <x:v>441</x:v>
      </x:c>
      <x:c r="C417" s="53" t="s">
        <x:v>472</x:v>
      </x:c>
      <x:c r="D417" s="53" t="s">
        <x:v>606</x:v>
      </x:c>
      <x:c r="E417" s="67" t="n">
        <x:f>2*6371000*ASIN(SQRT(MIN(1,SIN(RADIANS(U417-S417)/2)^2+COS(RADIANS(S417))*COS(RADIANS(U417))*SIN(RADIANS(V417-T417)/2)^2)))</x:f>
        <x:v>64.96812996124648</x:v>
      </x:c>
      <x:c r="F417" s="48" t="s">
        <x:v>67</x:v>
      </x:c>
      <x:c r="G417" s="48" t="s">
        <x:v>66</x:v>
      </x:c>
      <x:c r="H417" s="48" t="s">
        <x:v>66</x:v>
      </x:c>
      <x:c r="I417" s="48" t="s">
        <x:v>66</x:v>
      </x:c>
      <x:c r="J417" s="48" t="s">
        <x:v>66</x:v>
      </x:c>
      <x:c r="K417" s="64"/>
      <x:c r="L417" s="64"/>
      <x:c r="M417" s="50"/>
      <x:c r="N417" s="49"/>
      <x:c r="O417" s="50"/>
      <x:c r="P417" s="50"/>
      <x:c r="Q417" s="32">
        <x:v>413</x:v>
      </x:c>
      <x:c r="R417" s="68"/>
      <x:c r="S417" s="54" t="n">
        <x:f>INDEX('Locations'!$D$6:$D$453,MATCH(B417,'Locations'!$A$6:$A$453,0))</x:f>
        <x:v>42.7334606912398</x:v>
      </x:c>
      <x:c r="T417" s="54" t="n">
        <x:f>INDEX('Locations'!$E$6:$E$453,MATCH(B417,'Locations'!$A$6:$A$453,0))</x:f>
        <x:v>-73.6795957242886</x:v>
      </x:c>
      <x:c r="U417" s="54" t="n">
        <x:f>INDEX('Locations'!$D$6:$D$453,MATCH(C417,'Locations'!$A$6:$A$453,0))</x:f>
        <x:v>42.7333457399272</x:v>
      </x:c>
      <x:c r="V417" s="69" t="n">
        <x:f>INDEX('Locations'!$E$6:$E$453,MATCH(C417,'Locations'!$A$6:$A$453,0))</x:f>
        <x:v>-73.6788158222883</x:v>
      </x:c>
      <x:c r="W417" s="44"/>
    </x:row>
    <x:row r="418" ht="23" customHeight="1">
      <x:c r="A418" s="21" t="s">
        <x:v>1020</x:v>
      </x:c>
      <x:c r="B418" s="45" t="s">
        <x:v>465</x:v>
      </x:c>
      <x:c r="C418" s="45" t="s">
        <x:v>472</x:v>
      </x:c>
      <x:c r="D418" s="45" t="s">
        <x:v>606</x:v>
      </x:c>
      <x:c r="E418" s="63" t="n">
        <x:f>2*6371000*ASIN(SQRT(MIN(1,SIN(RADIANS(U418-S418)/2)^2+COS(RADIANS(S418))*COS(RADIANS(U418))*SIN(RADIANS(V418-T418)/2)^2)))</x:f>
        <x:v>26.773335833949076</x:v>
      </x:c>
      <x:c r="F418" s="48" t="s">
        <x:v>67</x:v>
      </x:c>
      <x:c r="G418" s="48" t="s">
        <x:v>66</x:v>
      </x:c>
      <x:c r="H418" s="48" t="s">
        <x:v>66</x:v>
      </x:c>
      <x:c r="I418" s="48" t="s">
        <x:v>66</x:v>
      </x:c>
      <x:c r="J418" s="48" t="s">
        <x:v>66</x:v>
      </x:c>
      <x:c r="K418" s="64"/>
      <x:c r="L418" s="64"/>
      <x:c r="M418" s="50"/>
      <x:c r="N418" s="49"/>
      <x:c r="O418" s="50"/>
      <x:c r="P418" s="50"/>
      <x:c r="Q418" s="30">
        <x:v>414</x:v>
      </x:c>
      <x:c r="R418" s="65"/>
      <x:c r="S418" s="46" t="n">
        <x:f>INDEX('Locations'!$D$6:$D$453,MATCH(B418,'Locations'!$A$6:$A$453,0))</x:f>
        <x:v>42.733288264271</x:v>
      </x:c>
      <x:c r="T418" s="46" t="n">
        <x:f>INDEX('Locations'!$E$6:$E$453,MATCH(B418,'Locations'!$A$6:$A$453,0))</x:f>
        <x:v>-73.6784974949413</x:v>
      </x:c>
      <x:c r="U418" s="46" t="n">
        <x:f>INDEX('Locations'!$D$6:$D$453,MATCH(C418,'Locations'!$A$6:$A$453,0))</x:f>
        <x:v>42.7333457399272</x:v>
      </x:c>
      <x:c r="V418" s="66" t="n">
        <x:f>INDEX('Locations'!$E$6:$E$453,MATCH(C418,'Locations'!$A$6:$A$453,0))</x:f>
        <x:v>-73.6788158222883</x:v>
      </x:c>
      <x:c r="W418" s="44"/>
    </x:row>
    <x:row r="419" ht="23" customHeight="1">
      <x:c r="A419" s="24" t="s">
        <x:v>1021</x:v>
      </x:c>
      <x:c r="B419" s="53" t="s">
        <x:v>471</x:v>
      </x:c>
      <x:c r="C419" s="53" t="s">
        <x:v>472</x:v>
      </x:c>
      <x:c r="D419" s="53" t="s">
        <x:v>606</x:v>
      </x:c>
      <x:c r="E419" s="67" t="n">
        <x:f>2*6371000*ASIN(SQRT(MIN(1,SIN(RADIANS(U419-S419)/2)^2+COS(RADIANS(S419))*COS(RADIANS(U419))*SIN(RADIANS(V419-T419)/2)^2)))</x:f>
        <x:v>58.23438259649948</x:v>
      </x:c>
      <x:c r="F419" s="48" t="s">
        <x:v>67</x:v>
      </x:c>
      <x:c r="G419" s="48" t="s">
        <x:v>66</x:v>
      </x:c>
      <x:c r="H419" s="48" t="s">
        <x:v>66</x:v>
      </x:c>
      <x:c r="I419" s="48" t="s">
        <x:v>66</x:v>
      </x:c>
      <x:c r="J419" s="48" t="s">
        <x:v>66</x:v>
      </x:c>
      <x:c r="K419" s="64"/>
      <x:c r="L419" s="64"/>
      <x:c r="M419" s="50"/>
      <x:c r="N419" s="49"/>
      <x:c r="O419" s="50"/>
      <x:c r="P419" s="50"/>
      <x:c r="Q419" s="32">
        <x:v>415</x:v>
      </x:c>
      <x:c r="R419" s="68"/>
      <x:c r="S419" s="54" t="n">
        <x:f>INDEX('Locations'!$D$6:$D$453,MATCH(B419,'Locations'!$A$6:$A$453,0))</x:f>
        <x:v>42.7328284590208</x:v>
      </x:c>
      <x:c r="T419" s="54" t="n">
        <x:f>INDEX('Locations'!$E$6:$E$453,MATCH(B419,'Locations'!$A$6:$A$453,0))</x:f>
        <x:v>-73.6789272368598</x:v>
      </x:c>
      <x:c r="U419" s="54" t="n">
        <x:f>INDEX('Locations'!$D$6:$D$453,MATCH(C419,'Locations'!$A$6:$A$453,0))</x:f>
        <x:v>42.7333457399272</x:v>
      </x:c>
      <x:c r="V419" s="69" t="n">
        <x:f>INDEX('Locations'!$E$6:$E$453,MATCH(C419,'Locations'!$A$6:$A$453,0))</x:f>
        <x:v>-73.6788158222883</x:v>
      </x:c>
      <x:c r="W419" s="44"/>
    </x:row>
    <x:row r="420" ht="23" customHeight="1">
      <x:c r="A420" s="21" t="s">
        <x:v>1022</x:v>
      </x:c>
      <x:c r="B420" s="45" t="s">
        <x:v>465</x:v>
      </x:c>
      <x:c r="C420" s="45" t="s">
        <x:v>477</x:v>
      </x:c>
      <x:c r="D420" s="45" t="s">
        <x:v>606</x:v>
      </x:c>
      <x:c r="E420" s="63" t="n">
        <x:f>2*6371000*ASIN(SQRT(MIN(1,SIN(RADIANS(U420-S420)/2)^2+COS(RADIANS(S420))*COS(RADIANS(U420))*SIN(RADIANS(V420-T420)/2)^2)))</x:f>
        <x:v>79.53391344923631</x:v>
      </x:c>
      <x:c r="F420" s="48" t="s">
        <x:v>67</x:v>
      </x:c>
      <x:c r="G420" s="48" t="s">
        <x:v>66</x:v>
      </x:c>
      <x:c r="H420" s="48" t="s">
        <x:v>66</x:v>
      </x:c>
      <x:c r="I420" s="48" t="s">
        <x:v>66</x:v>
      </x:c>
      <x:c r="J420" s="48" t="s">
        <x:v>66</x:v>
      </x:c>
      <x:c r="K420" s="64"/>
      <x:c r="L420" s="64"/>
      <x:c r="M420" s="50"/>
      <x:c r="N420" s="49"/>
      <x:c r="O420" s="50"/>
      <x:c r="P420" s="50"/>
      <x:c r="Q420" s="30">
        <x:v>416</x:v>
      </x:c>
      <x:c r="R420" s="65"/>
      <x:c r="S420" s="46" t="n">
        <x:f>INDEX('Locations'!$D$6:$D$453,MATCH(B420,'Locations'!$A$6:$A$453,0))</x:f>
        <x:v>42.733288264271</x:v>
      </x:c>
      <x:c r="T420" s="46" t="n">
        <x:f>INDEX('Locations'!$E$6:$E$453,MATCH(B420,'Locations'!$A$6:$A$453,0))</x:f>
        <x:v>-73.6784974949413</x:v>
      </x:c>
      <x:c r="U420" s="46" t="n">
        <x:f>INDEX('Locations'!$D$6:$D$453,MATCH(C420,'Locations'!$A$6:$A$453,0))</x:f>
        <x:v>42.7331606683141</x:v>
      </x:c>
      <x:c r="V420" s="66" t="n">
        <x:f>INDEX('Locations'!$E$6:$E$453,MATCH(C420,'Locations'!$A$6:$A$453,0))</x:f>
        <x:v>-73.6775393296266</x:v>
      </x:c>
      <x:c r="W420" s="44"/>
    </x:row>
    <x:row r="421" ht="23" customHeight="1">
      <x:c r="A421" s="24" t="s">
        <x:v>1023</x:v>
      </x:c>
      <x:c r="B421" s="53" t="s">
        <x:v>134</x:v>
      </x:c>
      <x:c r="C421" s="53" t="s">
        <x:v>476</x:v>
      </x:c>
      <x:c r="D421" s="53" t="s">
        <x:v>606</x:v>
      </x:c>
      <x:c r="E421" s="67" t="n">
        <x:f>2*6371000*ASIN(SQRT(MIN(1,SIN(RADIANS(U421-S421)/2)^2+COS(RADIANS(S421))*COS(RADIANS(U421))*SIN(RADIANS(V421-T421)/2)^2)))</x:f>
        <x:v>42.7114860199708</x:v>
      </x:c>
      <x:c r="F421" s="48" t="s">
        <x:v>67</x:v>
      </x:c>
      <x:c r="G421" s="48" t="s">
        <x:v>66</x:v>
      </x:c>
      <x:c r="H421" s="48" t="s">
        <x:v>66</x:v>
      </x:c>
      <x:c r="I421" s="48" t="s">
        <x:v>66</x:v>
      </x:c>
      <x:c r="J421" s="48" t="s">
        <x:v>66</x:v>
      </x:c>
      <x:c r="K421" s="64"/>
      <x:c r="L421" s="64"/>
      <x:c r="M421" s="50"/>
      <x:c r="N421" s="49"/>
      <x:c r="O421" s="50"/>
      <x:c r="P421" s="50"/>
      <x:c r="Q421" s="32">
        <x:v>417</x:v>
      </x:c>
      <x:c r="R421" s="68"/>
      <x:c r="S421" s="54" t="n">
        <x:f>INDEX('Locations'!$D$6:$D$453,MATCH(B421,'Locations'!$A$6:$A$453,0))</x:f>
        <x:v>42.7328920544551</x:v>
      </x:c>
      <x:c r="T421" s="54" t="n">
        <x:f>INDEX('Locations'!$E$6:$E$453,MATCH(B421,'Locations'!$A$6:$A$453,0))</x:f>
        <x:v>-73.678166768821</x:v>
      </x:c>
      <x:c r="U421" s="54" t="n">
        <x:f>INDEX('Locations'!$D$6:$D$453,MATCH(C421,'Locations'!$A$6:$A$453,0))</x:f>
        <x:v>42.7328744395459</x:v>
      </x:c>
      <x:c r="V421" s="69" t="n">
        <x:f>INDEX('Locations'!$E$6:$E$453,MATCH(C421,'Locations'!$A$6:$A$453,0))</x:f>
        <x:v>-73.6776443776512</x:v>
      </x:c>
      <x:c r="W421" s="44"/>
    </x:row>
    <x:row r="422" ht="23" customHeight="1">
      <x:c r="A422" s="21" t="s">
        <x:v>1024</x:v>
      </x:c>
      <x:c r="B422" s="45" t="s">
        <x:v>477</x:v>
      </x:c>
      <x:c r="C422" s="45" t="s">
        <x:v>476</x:v>
      </x:c>
      <x:c r="D422" s="45" t="s">
        <x:v>606</x:v>
      </x:c>
      <x:c r="E422" s="63" t="n">
        <x:f>2*6371000*ASIN(SQRT(MIN(1,SIN(RADIANS(U422-S422)/2)^2+COS(RADIANS(S422))*COS(RADIANS(U422))*SIN(RADIANS(V422-T422)/2)^2)))</x:f>
        <x:v>32.963362996779644</x:v>
      </x:c>
      <x:c r="F422" s="48" t="s">
        <x:v>67</x:v>
      </x:c>
      <x:c r="G422" s="48" t="s">
        <x:v>66</x:v>
      </x:c>
      <x:c r="H422" s="48" t="s">
        <x:v>66</x:v>
      </x:c>
      <x:c r="I422" s="48" t="s">
        <x:v>66</x:v>
      </x:c>
      <x:c r="J422" s="48" t="s">
        <x:v>66</x:v>
      </x:c>
      <x:c r="K422" s="64"/>
      <x:c r="L422" s="64"/>
      <x:c r="M422" s="50"/>
      <x:c r="N422" s="49"/>
      <x:c r="O422" s="50"/>
      <x:c r="P422" s="50"/>
      <x:c r="Q422" s="30">
        <x:v>418</x:v>
      </x:c>
      <x:c r="R422" s="65"/>
      <x:c r="S422" s="46" t="n">
        <x:f>INDEX('Locations'!$D$6:$D$453,MATCH(B422,'Locations'!$A$6:$A$453,0))</x:f>
        <x:v>42.7331606683141</x:v>
      </x:c>
      <x:c r="T422" s="46" t="n">
        <x:f>INDEX('Locations'!$E$6:$E$453,MATCH(B422,'Locations'!$A$6:$A$453,0))</x:f>
        <x:v>-73.6775393296266</x:v>
      </x:c>
      <x:c r="U422" s="46" t="n">
        <x:f>INDEX('Locations'!$D$6:$D$453,MATCH(C422,'Locations'!$A$6:$A$453,0))</x:f>
        <x:v>42.7328744395459</x:v>
      </x:c>
      <x:c r="V422" s="66" t="n">
        <x:f>INDEX('Locations'!$E$6:$E$453,MATCH(C422,'Locations'!$A$6:$A$453,0))</x:f>
        <x:v>-73.6776443776512</x:v>
      </x:c>
      <x:c r="W422" s="44"/>
    </x:row>
    <x:row r="423" ht="23" customHeight="1">
      <x:c r="A423" s="24" t="s">
        <x:v>1025</x:v>
      </x:c>
      <x:c r="B423" s="53" t="s">
        <x:v>475</x:v>
      </x:c>
      <x:c r="C423" s="53" t="s">
        <x:v>476</x:v>
      </x:c>
      <x:c r="D423" s="53" t="s">
        <x:v>606</x:v>
      </x:c>
      <x:c r="E423" s="67" t="n">
        <x:f>2*6371000*ASIN(SQRT(MIN(1,SIN(RADIANS(U423-S423)/2)^2+COS(RADIANS(S423))*COS(RADIANS(U423))*SIN(RADIANS(V423-T423)/2)^2)))</x:f>
        <x:v>51.137563301929724</x:v>
      </x:c>
      <x:c r="F423" s="48" t="s">
        <x:v>67</x:v>
      </x:c>
      <x:c r="G423" s="48" t="s">
        <x:v>66</x:v>
      </x:c>
      <x:c r="H423" s="48" t="s">
        <x:v>66</x:v>
      </x:c>
      <x:c r="I423" s="48" t="s">
        <x:v>66</x:v>
      </x:c>
      <x:c r="J423" s="48" t="s">
        <x:v>66</x:v>
      </x:c>
      <x:c r="K423" s="64"/>
      <x:c r="L423" s="64"/>
      <x:c r="M423" s="50"/>
      <x:c r="N423" s="49"/>
      <x:c r="O423" s="50"/>
      <x:c r="P423" s="50"/>
      <x:c r="Q423" s="32">
        <x:v>419</x:v>
      </x:c>
      <x:c r="R423" s="68"/>
      <x:c r="S423" s="54" t="n">
        <x:f>INDEX('Locations'!$D$6:$D$453,MATCH(B423,'Locations'!$A$6:$A$453,0))</x:f>
        <x:v>42.7324192323482</x:v>
      </x:c>
      <x:c r="T423" s="54" t="n">
        <x:f>INDEX('Locations'!$E$6:$E$453,MATCH(B423,'Locations'!$A$6:$A$453,0))</x:f>
        <x:v>-73.6777335093083</x:v>
      </x:c>
      <x:c r="U423" s="54" t="n">
        <x:f>INDEX('Locations'!$D$6:$D$453,MATCH(C423,'Locations'!$A$6:$A$453,0))</x:f>
        <x:v>42.7328744395459</x:v>
      </x:c>
      <x:c r="V423" s="69" t="n">
        <x:f>INDEX('Locations'!$E$6:$E$453,MATCH(C423,'Locations'!$A$6:$A$453,0))</x:f>
        <x:v>-73.6776443776512</x:v>
      </x:c>
      <x:c r="W423" s="44"/>
    </x:row>
    <x:row r="424" ht="23" customHeight="1">
      <x:c r="A424" s="21" t="s">
        <x:v>1026</x:v>
      </x:c>
      <x:c r="B424" s="45" t="s">
        <x:v>474</x:v>
      </x:c>
      <x:c r="C424" s="45" t="s">
        <x:v>475</x:v>
      </x:c>
      <x:c r="D424" s="45" t="s">
        <x:v>606</x:v>
      </x:c>
      <x:c r="E424" s="63" t="n">
        <x:f>2*6371000*ASIN(SQRT(MIN(1,SIN(RADIANS(U424-S424)/2)^2+COS(RADIANS(S424))*COS(RADIANS(U424))*SIN(RADIANS(V424-T424)/2)^2)))</x:f>
        <x:v>79.74661079008416</x:v>
      </x:c>
      <x:c r="F424" s="48" t="s">
        <x:v>67</x:v>
      </x:c>
      <x:c r="G424" s="48" t="s">
        <x:v>66</x:v>
      </x:c>
      <x:c r="H424" s="48" t="s">
        <x:v>66</x:v>
      </x:c>
      <x:c r="I424" s="48" t="s">
        <x:v>66</x:v>
      </x:c>
      <x:c r="J424" s="48" t="s">
        <x:v>66</x:v>
      </x:c>
      <x:c r="K424" s="64"/>
      <x:c r="L424" s="64"/>
      <x:c r="M424" s="50"/>
      <x:c r="N424" s="49"/>
      <x:c r="O424" s="50"/>
      <x:c r="P424" s="50"/>
      <x:c r="Q424" s="30">
        <x:v>420</x:v>
      </x:c>
      <x:c r="R424" s="65"/>
      <x:c r="S424" s="46" t="n">
        <x:f>INDEX('Locations'!$D$6:$D$453,MATCH(B424,'Locations'!$A$6:$A$453,0))</x:f>
        <x:v>42.7324951002145</x:v>
      </x:c>
      <x:c r="T424" s="46" t="n">
        <x:f>INDEX('Locations'!$E$6:$E$453,MATCH(B424,'Locations'!$A$6:$A$453,0))</x:f>
        <x:v>-73.6787044077168</x:v>
      </x:c>
      <x:c r="U424" s="46" t="n">
        <x:f>INDEX('Locations'!$D$6:$D$453,MATCH(C424,'Locations'!$A$6:$A$453,0))</x:f>
        <x:v>42.7324192323482</x:v>
      </x:c>
      <x:c r="V424" s="66" t="n">
        <x:f>INDEX('Locations'!$E$6:$E$453,MATCH(C424,'Locations'!$A$6:$A$453,0))</x:f>
        <x:v>-73.6777335093083</x:v>
      </x:c>
      <x:c r="W424" s="44"/>
    </x:row>
    <x:row r="425" ht="23" customHeight="1">
      <x:c r="A425" s="24" t="s">
        <x:v>1027</x:v>
      </x:c>
      <x:c r="B425" s="53" t="s">
        <x:v>466</x:v>
      </x:c>
      <x:c r="C425" s="53" t="s">
        <x:v>474</x:v>
      </x:c>
      <x:c r="D425" s="53" t="s">
        <x:v>606</x:v>
      </x:c>
      <x:c r="E425" s="67" t="n">
        <x:f>2*6371000*ASIN(SQRT(MIN(1,SIN(RADIANS(U425-S425)/2)^2+COS(RADIANS(S425))*COS(RADIANS(U425))*SIN(RADIANS(V425-T425)/2)^2)))</x:f>
        <x:v>32.761031618955734</x:v>
      </x:c>
      <x:c r="F425" s="48" t="s">
        <x:v>67</x:v>
      </x:c>
      <x:c r="G425" s="48" t="s">
        <x:v>66</x:v>
      </x:c>
      <x:c r="H425" s="48" t="s">
        <x:v>66</x:v>
      </x:c>
      <x:c r="I425" s="48" t="s">
        <x:v>66</x:v>
      </x:c>
      <x:c r="J425" s="48" t="s">
        <x:v>66</x:v>
      </x:c>
      <x:c r="K425" s="64"/>
      <x:c r="L425" s="64"/>
      <x:c r="M425" s="50"/>
      <x:c r="N425" s="49"/>
      <x:c r="O425" s="50"/>
      <x:c r="P425" s="50"/>
      <x:c r="Q425" s="32">
        <x:v>421</x:v>
      </x:c>
      <x:c r="R425" s="68"/>
      <x:c r="S425" s="54" t="n">
        <x:f>INDEX('Locations'!$D$6:$D$453,MATCH(B425,'Locations'!$A$6:$A$453,0))</x:f>
        <x:v>42.7327847775221</x:v>
      </x:c>
      <x:c r="T425" s="54" t="n">
        <x:f>INDEX('Locations'!$E$6:$E$453,MATCH(B425,'Locations'!$A$6:$A$453,0))</x:f>
        <x:v>-73.678631192427</x:v>
      </x:c>
      <x:c r="U425" s="54" t="n">
        <x:f>INDEX('Locations'!$D$6:$D$453,MATCH(C425,'Locations'!$A$6:$A$453,0))</x:f>
        <x:v>42.7324951002145</x:v>
      </x:c>
      <x:c r="V425" s="69" t="n">
        <x:f>INDEX('Locations'!$E$6:$E$453,MATCH(C425,'Locations'!$A$6:$A$453,0))</x:f>
        <x:v>-73.6787044077168</x:v>
      </x:c>
      <x:c r="W425" s="44"/>
    </x:row>
    <x:row r="426" ht="23" customHeight="1">
      <x:c r="A426" s="21" t="s">
        <x:v>1028</x:v>
      </x:c>
      <x:c r="B426" s="45" t="s">
        <x:v>477</x:v>
      </x:c>
      <x:c r="C426" s="45" t="s">
        <x:v>211</x:v>
      </x:c>
      <x:c r="D426" s="45" t="s">
        <x:v>606</x:v>
      </x:c>
      <x:c r="E426" s="63" t="n">
        <x:f>2*6371000*ASIN(SQRT(MIN(1,SIN(RADIANS(U426-S426)/2)^2+COS(RADIANS(S426))*COS(RADIANS(U426))*SIN(RADIANS(V426-T426)/2)^2)))</x:f>
        <x:v>82.42704648243205</x:v>
      </x:c>
      <x:c r="F426" s="48" t="s">
        <x:v>67</x:v>
      </x:c>
      <x:c r="G426" s="48" t="s">
        <x:v>66</x:v>
      </x:c>
      <x:c r="H426" s="48" t="s">
        <x:v>66</x:v>
      </x:c>
      <x:c r="I426" s="48" t="s">
        <x:v>66</x:v>
      </x:c>
      <x:c r="J426" s="48" t="s">
        <x:v>66</x:v>
      </x:c>
      <x:c r="K426" s="64"/>
      <x:c r="L426" s="64"/>
      <x:c r="M426" s="50"/>
      <x:c r="N426" s="49"/>
      <x:c r="O426" s="50"/>
      <x:c r="P426" s="50"/>
      <x:c r="Q426" s="30">
        <x:v>422</x:v>
      </x:c>
      <x:c r="R426" s="65"/>
      <x:c r="S426" s="46" t="n">
        <x:f>INDEX('Locations'!$D$6:$D$453,MATCH(B426,'Locations'!$A$6:$A$453,0))</x:f>
        <x:v>42.7331606683141</x:v>
      </x:c>
      <x:c r="T426" s="46" t="n">
        <x:f>INDEX('Locations'!$E$6:$E$453,MATCH(B426,'Locations'!$A$6:$A$453,0))</x:f>
        <x:v>-73.6775393296266</x:v>
      </x:c>
      <x:c r="U426" s="46" t="n">
        <x:f>INDEX('Locations'!$D$6:$D$453,MATCH(C426,'Locations'!$A$6:$A$453,0))</x:f>
        <x:v>42.7330583616459</x:v>
      </x:c>
      <x:c r="V426" s="66" t="n">
        <x:f>INDEX('Locations'!$E$6:$E$453,MATCH(C426,'Locations'!$A$6:$A$453,0))</x:f>
        <x:v>-73.6765397817569</x:v>
      </x:c>
      <x:c r="W426" s="44"/>
    </x:row>
    <x:row r="427" ht="23" customHeight="1">
      <x:c r="A427" s="24" t="s">
        <x:v>1029</x:v>
      </x:c>
      <x:c r="B427" s="53" t="s">
        <x:v>432</x:v>
      </x:c>
      <x:c r="C427" s="53" t="s">
        <x:v>480</x:v>
      </x:c>
      <x:c r="D427" s="53" t="s">
        <x:v>606</x:v>
      </x:c>
      <x:c r="E427" s="67" t="n">
        <x:f>2*6371000*ASIN(SQRT(MIN(1,SIN(RADIANS(U427-S427)/2)^2+COS(RADIANS(S427))*COS(RADIANS(U427))*SIN(RADIANS(V427-T427)/2)^2)))</x:f>
        <x:v>38.13096845238922</x:v>
      </x:c>
      <x:c r="F427" s="48" t="s">
        <x:v>67</x:v>
      </x:c>
      <x:c r="G427" s="48" t="s">
        <x:v>66</x:v>
      </x:c>
      <x:c r="H427" s="48" t="s">
        <x:v>66</x:v>
      </x:c>
      <x:c r="I427" s="48" t="s">
        <x:v>66</x:v>
      </x:c>
      <x:c r="J427" s="48" t="s">
        <x:v>66</x:v>
      </x:c>
      <x:c r="K427" s="64"/>
      <x:c r="L427" s="64"/>
      <x:c r="M427" s="50"/>
      <x:c r="N427" s="49"/>
      <x:c r="O427" s="50"/>
      <x:c r="P427" s="50"/>
      <x:c r="Q427" s="32">
        <x:v>423</x:v>
      </x:c>
      <x:c r="R427" s="68"/>
      <x:c r="S427" s="54" t="n">
        <x:f>INDEX('Locations'!$D$6:$D$453,MATCH(B427,'Locations'!$A$6:$A$453,0))</x:f>
        <x:v>42.7319433339144</x:v>
      </x:c>
      <x:c r="T427" s="54" t="n">
        <x:f>INDEX('Locations'!$E$6:$E$453,MATCH(B427,'Locations'!$A$6:$A$453,0))</x:f>
        <x:v>-73.6811937275708</x:v>
      </x:c>
      <x:c r="U427" s="54" t="n">
        <x:f>INDEX('Locations'!$D$6:$D$453,MATCH(C427,'Locations'!$A$6:$A$453,0))</x:f>
        <x:v>42.7317938972081</x:v>
      </x:c>
      <x:c r="V427" s="69" t="n">
        <x:f>INDEX('Locations'!$E$6:$E$453,MATCH(C427,'Locations'!$A$6:$A$453,0))</x:f>
        <x:v>-73.6807735354727</x:v>
      </x:c>
      <x:c r="W427" s="44"/>
    </x:row>
    <x:row r="428" ht="23" customHeight="1">
      <x:c r="A428" s="21" t="s">
        <x:v>1030</x:v>
      </x:c>
      <x:c r="B428" s="45" t="s">
        <x:v>479</x:v>
      </x:c>
      <x:c r="C428" s="45" t="s">
        <x:v>480</x:v>
      </x:c>
      <x:c r="D428" s="45" t="s">
        <x:v>606</x:v>
      </x:c>
      <x:c r="E428" s="63" t="n">
        <x:f>2*6371000*ASIN(SQRT(MIN(1,SIN(RADIANS(U428-S428)/2)^2+COS(RADIANS(S428))*COS(RADIANS(U428))*SIN(RADIANS(V428-T428)/2)^2)))</x:f>
        <x:v>76.38721048322176</x:v>
      </x:c>
      <x:c r="F428" s="48" t="s">
        <x:v>67</x:v>
      </x:c>
      <x:c r="G428" s="48" t="s">
        <x:v>66</x:v>
      </x:c>
      <x:c r="H428" s="48" t="s">
        <x:v>66</x:v>
      </x:c>
      <x:c r="I428" s="48" t="s">
        <x:v>66</x:v>
      </x:c>
      <x:c r="J428" s="48" t="s">
        <x:v>66</x:v>
      </x:c>
      <x:c r="K428" s="64"/>
      <x:c r="L428" s="64"/>
      <x:c r="M428" s="50"/>
      <x:c r="N428" s="49"/>
      <x:c r="O428" s="50"/>
      <x:c r="P428" s="50"/>
      <x:c r="Q428" s="30">
        <x:v>424</x:v>
      </x:c>
      <x:c r="R428" s="65"/>
      <x:c r="S428" s="46" t="n">
        <x:f>INDEX('Locations'!$D$6:$D$453,MATCH(B428,'Locations'!$A$6:$A$453,0))</x:f>
        <x:v>42.7318697650743</x:v>
      </x:c>
      <x:c r="T428" s="46" t="n">
        <x:f>INDEX('Locations'!$E$6:$E$453,MATCH(B428,'Locations'!$A$6:$A$453,0))</x:f>
        <x:v>-73.6798440196193</x:v>
      </x:c>
      <x:c r="U428" s="46" t="n">
        <x:f>INDEX('Locations'!$D$6:$D$453,MATCH(C428,'Locations'!$A$6:$A$453,0))</x:f>
        <x:v>42.7317938972081</x:v>
      </x:c>
      <x:c r="V428" s="66" t="n">
        <x:f>INDEX('Locations'!$E$6:$E$453,MATCH(C428,'Locations'!$A$6:$A$453,0))</x:f>
        <x:v>-73.6807735354727</x:v>
      </x:c>
      <x:c r="W428" s="44"/>
    </x:row>
    <x:row r="429" ht="23" customHeight="1">
      <x:c r="A429" s="24" t="s">
        <x:v>1031</x:v>
      </x:c>
      <x:c r="B429" s="53" t="s">
        <x:v>478</x:v>
      </x:c>
      <x:c r="C429" s="53" t="s">
        <x:v>479</x:v>
      </x:c>
      <x:c r="D429" s="53" t="s">
        <x:v>606</x:v>
      </x:c>
      <x:c r="E429" s="67" t="n">
        <x:f>2*6371000*ASIN(SQRT(MIN(1,SIN(RADIANS(U429-S429)/2)^2+COS(RADIANS(S429))*COS(RADIANS(U429))*SIN(RADIANS(V429-T429)/2)^2)))</x:f>
        <x:v>83.37405955362924</x:v>
      </x:c>
      <x:c r="F429" s="48" t="s">
        <x:v>67</x:v>
      </x:c>
      <x:c r="G429" s="48" t="s">
        <x:v>66</x:v>
      </x:c>
      <x:c r="H429" s="48" t="s">
        <x:v>66</x:v>
      </x:c>
      <x:c r="I429" s="48" t="s">
        <x:v>66</x:v>
      </x:c>
      <x:c r="J429" s="48" t="s">
        <x:v>66</x:v>
      </x:c>
      <x:c r="K429" s="64"/>
      <x:c r="L429" s="64"/>
      <x:c r="M429" s="50"/>
      <x:c r="N429" s="49"/>
      <x:c r="O429" s="50"/>
      <x:c r="P429" s="50"/>
      <x:c r="Q429" s="32">
        <x:v>425</x:v>
      </x:c>
      <x:c r="R429" s="68"/>
      <x:c r="S429" s="54" t="n">
        <x:f>INDEX('Locations'!$D$6:$D$453,MATCH(B429,'Locations'!$A$6:$A$453,0))</x:f>
        <x:v>42.7319663241769</x:v>
      </x:c>
      <x:c r="T429" s="54" t="n">
        <x:f>INDEX('Locations'!$E$6:$E$453,MATCH(B429,'Locations'!$A$6:$A$453,0))</x:f>
        <x:v>-73.6788317386557</x:v>
      </x:c>
      <x:c r="U429" s="54" t="n">
        <x:f>INDEX('Locations'!$D$6:$D$453,MATCH(C429,'Locations'!$A$6:$A$453,0))</x:f>
        <x:v>42.7318697650743</x:v>
      </x:c>
      <x:c r="V429" s="69" t="n">
        <x:f>INDEX('Locations'!$E$6:$E$453,MATCH(C429,'Locations'!$A$6:$A$453,0))</x:f>
        <x:v>-73.6798440196193</x:v>
      </x:c>
      <x:c r="W429" s="44"/>
    </x:row>
    <x:row r="430" ht="23" customHeight="1">
      <x:c r="A430" s="21" t="s">
        <x:v>1032</x:v>
      </x:c>
      <x:c r="B430" s="45" t="s">
        <x:v>474</x:v>
      </x:c>
      <x:c r="C430" s="45" t="s">
        <x:v>478</x:v>
      </x:c>
      <x:c r="D430" s="45" t="s">
        <x:v>606</x:v>
      </x:c>
      <x:c r="E430" s="63" t="n">
        <x:f>2*6371000*ASIN(SQRT(MIN(1,SIN(RADIANS(U430-S430)/2)^2+COS(RADIANS(S430))*COS(RADIANS(U430))*SIN(RADIANS(V430-T430)/2)^2)))</x:f>
        <x:v>59.709887537734055</x:v>
      </x:c>
      <x:c r="F430" s="48" t="s">
        <x:v>67</x:v>
      </x:c>
      <x:c r="G430" s="48" t="s">
        <x:v>66</x:v>
      </x:c>
      <x:c r="H430" s="48" t="s">
        <x:v>66</x:v>
      </x:c>
      <x:c r="I430" s="48" t="s">
        <x:v>66</x:v>
      </x:c>
      <x:c r="J430" s="48" t="s">
        <x:v>66</x:v>
      </x:c>
      <x:c r="K430" s="64"/>
      <x:c r="L430" s="64"/>
      <x:c r="M430" s="50"/>
      <x:c r="N430" s="49"/>
      <x:c r="O430" s="50"/>
      <x:c r="P430" s="50"/>
      <x:c r="Q430" s="30">
        <x:v>426</x:v>
      </x:c>
      <x:c r="R430" s="65"/>
      <x:c r="S430" s="46" t="n">
        <x:f>INDEX('Locations'!$D$6:$D$453,MATCH(B430,'Locations'!$A$6:$A$453,0))</x:f>
        <x:v>42.7324951002145</x:v>
      </x:c>
      <x:c r="T430" s="46" t="n">
        <x:f>INDEX('Locations'!$E$6:$E$453,MATCH(B430,'Locations'!$A$6:$A$453,0))</x:f>
        <x:v>-73.6787044077168</x:v>
      </x:c>
      <x:c r="U430" s="46" t="n">
        <x:f>INDEX('Locations'!$D$6:$D$453,MATCH(C430,'Locations'!$A$6:$A$453,0))</x:f>
        <x:v>42.7319663241769</x:v>
      </x:c>
      <x:c r="V430" s="66" t="n">
        <x:f>INDEX('Locations'!$E$6:$E$453,MATCH(C430,'Locations'!$A$6:$A$453,0))</x:f>
        <x:v>-73.6788317386557</x:v>
      </x:c>
      <x:c r="W430" s="44"/>
    </x:row>
    <x:row r="431" ht="23" customHeight="1">
      <x:c r="A431" s="24" t="s">
        <x:v>1033</x:v>
      </x:c>
      <x:c r="B431" s="53" t="s">
        <x:v>219</x:v>
      </x:c>
      <x:c r="C431" s="53" t="s">
        <x:v>94</x:v>
      </x:c>
      <x:c r="D431" s="53" t="s">
        <x:v>606</x:v>
      </x:c>
      <x:c r="E431" s="67" t="n">
        <x:f>2*6371000*ASIN(SQRT(MIN(1,SIN(RADIANS(U431-S431)/2)^2+COS(RADIANS(S431))*COS(RADIANS(U431))*SIN(RADIANS(V431-T431)/2)^2)))</x:f>
        <x:v>57.74531829117089</x:v>
      </x:c>
      <x:c r="F431" s="48" t="s">
        <x:v>67</x:v>
      </x:c>
      <x:c r="G431" s="48" t="s">
        <x:v>66</x:v>
      </x:c>
      <x:c r="H431" s="48" t="s">
        <x:v>66</x:v>
      </x:c>
      <x:c r="I431" s="48" t="s">
        <x:v>66</x:v>
      </x:c>
      <x:c r="J431" s="48" t="s">
        <x:v>66</x:v>
      </x:c>
      <x:c r="K431" s="64"/>
      <x:c r="L431" s="64"/>
      <x:c r="M431" s="50"/>
      <x:c r="N431" s="49"/>
      <x:c r="O431" s="50"/>
      <x:c r="P431" s="50"/>
      <x:c r="Q431" s="32">
        <x:v>427</x:v>
      </x:c>
      <x:c r="R431" s="68"/>
      <x:c r="S431" s="54" t="n">
        <x:f>INDEX('Locations'!$D$6:$D$453,MATCH(B431,'Locations'!$A$6:$A$453,0))</x:f>
        <x:v>42.7312651211704</x:v>
      </x:c>
      <x:c r="T431" s="54" t="n">
        <x:f>INDEX('Locations'!$E$6:$E$453,MATCH(B431,'Locations'!$A$6:$A$453,0))</x:f>
        <x:v>-73.6719081188573</x:v>
      </x:c>
      <x:c r="U431" s="54" t="n">
        <x:f>INDEX('Locations'!$D$6:$D$453,MATCH(C431,'Locations'!$A$6:$A$453,0))</x:f>
        <x:v>42.7310890611734</x:v>
      </x:c>
      <x:c r="V431" s="69" t="n">
        <x:f>INDEX('Locations'!$E$6:$E$453,MATCH(C431,'Locations'!$A$6:$A$453,0))</x:f>
        <x:v>-73.6712429983319</x:v>
      </x:c>
      <x:c r="W431" s="44"/>
    </x:row>
    <x:row r="432" ht="23" customHeight="1">
      <x:c r="A432" s="21" t="s">
        <x:v>1034</x:v>
      </x:c>
      <x:c r="B432" s="45" t="s">
        <x:v>481</x:v>
      </x:c>
      <x:c r="C432" s="45" t="s">
        <x:v>219</x:v>
      </x:c>
      <x:c r="D432" s="45" t="s">
        <x:v>606</x:v>
      </x:c>
      <x:c r="E432" s="63" t="n">
        <x:f>2*6371000*ASIN(SQRT(MIN(1,SIN(RADIANS(U432-S432)/2)^2+COS(RADIANS(S432))*COS(RADIANS(U432))*SIN(RADIANS(V432-T432)/2)^2)))</x:f>
        <x:v>70.48861225045498</x:v>
      </x:c>
      <x:c r="F432" s="48" t="s">
        <x:v>67</x:v>
      </x:c>
      <x:c r="G432" s="48" t="s">
        <x:v>66</x:v>
      </x:c>
      <x:c r="H432" s="48" t="s">
        <x:v>66</x:v>
      </x:c>
      <x:c r="I432" s="48" t="s">
        <x:v>66</x:v>
      </x:c>
      <x:c r="J432" s="48" t="s">
        <x:v>66</x:v>
      </x:c>
      <x:c r="K432" s="64"/>
      <x:c r="L432" s="64"/>
      <x:c r="M432" s="50"/>
      <x:c r="N432" s="49"/>
      <x:c r="O432" s="50"/>
      <x:c r="P432" s="50"/>
      <x:c r="Q432" s="30">
        <x:v>428</x:v>
      </x:c>
      <x:c r="R432" s="65"/>
      <x:c r="S432" s="46" t="n">
        <x:f>INDEX('Locations'!$D$6:$D$453,MATCH(B432,'Locations'!$A$6:$A$453,0))</x:f>
        <x:v>42.7306443840828</x:v>
      </x:c>
      <x:c r="T432" s="46" t="n">
        <x:f>INDEX('Locations'!$E$6:$E$453,MATCH(B432,'Locations'!$A$6:$A$453,0))</x:f>
        <x:v>-73.6720831988981</x:v>
      </x:c>
      <x:c r="U432" s="46" t="n">
        <x:f>INDEX('Locations'!$D$6:$D$453,MATCH(C432,'Locations'!$A$6:$A$453,0))</x:f>
        <x:v>42.7312651211704</x:v>
      </x:c>
      <x:c r="V432" s="66" t="n">
        <x:f>INDEX('Locations'!$E$6:$E$453,MATCH(C432,'Locations'!$A$6:$A$453,0))</x:f>
        <x:v>-73.6719081188573</x:v>
      </x:c>
      <x:c r="W432" s="44"/>
    </x:row>
    <x:row r="433" ht="23" customHeight="1">
      <x:c r="A433" s="24" t="s">
        <x:v>1035</x:v>
      </x:c>
      <x:c r="B433" s="53" t="s">
        <x:v>233</x:v>
      </x:c>
      <x:c r="C433" s="53" t="s">
        <x:v>481</x:v>
      </x:c>
      <x:c r="D433" s="53" t="s">
        <x:v>606</x:v>
      </x:c>
      <x:c r="E433" s="67" t="n">
        <x:f>2*6371000*ASIN(SQRT(MIN(1,SIN(RADIANS(U433-S433)/2)^2+COS(RADIANS(S433))*COS(RADIANS(U433))*SIN(RADIANS(V433-T433)/2)^2)))</x:f>
        <x:v>173.09382139176287</x:v>
      </x:c>
      <x:c r="F433" s="48" t="s">
        <x:v>67</x:v>
      </x:c>
      <x:c r="G433" s="48" t="s">
        <x:v>66</x:v>
      </x:c>
      <x:c r="H433" s="48" t="s">
        <x:v>66</x:v>
      </x:c>
      <x:c r="I433" s="48" t="s">
        <x:v>66</x:v>
      </x:c>
      <x:c r="J433" s="48" t="s">
        <x:v>66</x:v>
      </x:c>
      <x:c r="K433" s="64"/>
      <x:c r="L433" s="64"/>
      <x:c r="M433" s="50"/>
      <x:c r="N433" s="49"/>
      <x:c r="O433" s="50"/>
      <x:c r="P433" s="50"/>
      <x:c r="Q433" s="32">
        <x:v>429</x:v>
      </x:c>
      <x:c r="R433" s="68"/>
      <x:c r="S433" s="54" t="n">
        <x:f>INDEX('Locations'!$D$6:$D$453,MATCH(B433,'Locations'!$A$6:$A$453,0))</x:f>
        <x:v>42.7291212791917</x:v>
      </x:c>
      <x:c r="T433" s="54" t="n">
        <x:f>INDEX('Locations'!$E$6:$E$453,MATCH(B433,'Locations'!$A$6:$A$453,0))</x:f>
        <x:v>-73.6725208990003</x:v>
      </x:c>
      <x:c r="U433" s="54" t="n">
        <x:f>INDEX('Locations'!$D$6:$D$453,MATCH(C433,'Locations'!$A$6:$A$453,0))</x:f>
        <x:v>42.7306443840828</x:v>
      </x:c>
      <x:c r="V433" s="69" t="n">
        <x:f>INDEX('Locations'!$E$6:$E$453,MATCH(C433,'Locations'!$A$6:$A$453,0))</x:f>
        <x:v>-73.6720831988981</x:v>
      </x:c>
      <x:c r="W433" s="44"/>
    </x:row>
    <x:row r="434" ht="23" customHeight="1">
      <x:c r="A434" s="21" t="s">
        <x:v>1036</x:v>
      </x:c>
      <x:c r="B434" s="45" t="s">
        <x:v>482</x:v>
      </x:c>
      <x:c r="C434" s="45" t="s">
        <x:v>481</x:v>
      </x:c>
      <x:c r="D434" s="45" t="s">
        <x:v>606</x:v>
      </x:c>
      <x:c r="E434" s="63" t="n">
        <x:f>2*6371000*ASIN(SQRT(MIN(1,SIN(RADIANS(U434-S434)/2)^2+COS(RADIANS(S434))*COS(RADIANS(U434))*SIN(RADIANS(V434-T434)/2)^2)))</x:f>
        <x:v>52.00095665171451</x:v>
      </x:c>
      <x:c r="F434" s="48" t="s">
        <x:v>67</x:v>
      </x:c>
      <x:c r="G434" s="48" t="s">
        <x:v>66</x:v>
      </x:c>
      <x:c r="H434" s="48" t="s">
        <x:v>66</x:v>
      </x:c>
      <x:c r="I434" s="48" t="s">
        <x:v>66</x:v>
      </x:c>
      <x:c r="J434" s="48" t="s">
        <x:v>66</x:v>
      </x:c>
      <x:c r="K434" s="64"/>
      <x:c r="L434" s="64"/>
      <x:c r="M434" s="50"/>
      <x:c r="N434" s="49"/>
      <x:c r="O434" s="50"/>
      <x:c r="P434" s="50"/>
      <x:c r="Q434" s="30">
        <x:v>430</x:v>
      </x:c>
      <x:c r="R434" s="65"/>
      <x:c r="S434" s="46" t="n">
        <x:f>INDEX('Locations'!$D$6:$D$453,MATCH(B434,'Locations'!$A$6:$A$453,0))</x:f>
        <x:v>42.7306443840828</x:v>
      </x:c>
      <x:c r="T434" s="46" t="n">
        <x:f>INDEX('Locations'!$E$6:$E$453,MATCH(B434,'Locations'!$A$6:$A$453,0))</x:f>
        <x:v>-73.671446544204</x:v>
      </x:c>
      <x:c r="U434" s="46" t="n">
        <x:f>INDEX('Locations'!$D$6:$D$453,MATCH(C434,'Locations'!$A$6:$A$453,0))</x:f>
        <x:v>42.7306443840828</x:v>
      </x:c>
      <x:c r="V434" s="66" t="n">
        <x:f>INDEX('Locations'!$E$6:$E$453,MATCH(C434,'Locations'!$A$6:$A$453,0))</x:f>
        <x:v>-73.6720831988981</x:v>
      </x:c>
      <x:c r="W434" s="44"/>
    </x:row>
    <x:row r="435" ht="23" customHeight="1">
      <x:c r="A435" s="24" t="s">
        <x:v>1037</x:v>
      </x:c>
      <x:c r="B435" s="53" t="s">
        <x:v>482</x:v>
      </x:c>
      <x:c r="C435" s="53" t="s">
        <x:v>94</x:v>
      </x:c>
      <x:c r="D435" s="53" t="s">
        <x:v>606</x:v>
      </x:c>
      <x:c r="E435" s="67" t="n">
        <x:f>2*6371000*ASIN(SQRT(MIN(1,SIN(RADIANS(U435-S435)/2)^2+COS(RADIANS(S435))*COS(RADIANS(U435))*SIN(RADIANS(V435-T435)/2)^2)))</x:f>
        <x:v>52.165981372809554</x:v>
      </x:c>
      <x:c r="F435" s="48" t="s">
        <x:v>67</x:v>
      </x:c>
      <x:c r="G435" s="48" t="s">
        <x:v>66</x:v>
      </x:c>
      <x:c r="H435" s="48" t="s">
        <x:v>66</x:v>
      </x:c>
      <x:c r="I435" s="48" t="s">
        <x:v>66</x:v>
      </x:c>
      <x:c r="J435" s="48" t="s">
        <x:v>66</x:v>
      </x:c>
      <x:c r="K435" s="64"/>
      <x:c r="L435" s="64"/>
      <x:c r="M435" s="50"/>
      <x:c r="N435" s="49"/>
      <x:c r="O435" s="50"/>
      <x:c r="P435" s="50"/>
      <x:c r="Q435" s="32">
        <x:v>431</x:v>
      </x:c>
      <x:c r="R435" s="68"/>
      <x:c r="S435" s="54" t="n">
        <x:f>INDEX('Locations'!$D$6:$D$453,MATCH(B435,'Locations'!$A$6:$A$453,0))</x:f>
        <x:v>42.7306443840828</x:v>
      </x:c>
      <x:c r="T435" s="54" t="n">
        <x:f>INDEX('Locations'!$E$6:$E$453,MATCH(B435,'Locations'!$A$6:$A$453,0))</x:f>
        <x:v>-73.671446544204</x:v>
      </x:c>
      <x:c r="U435" s="54" t="n">
        <x:f>INDEX('Locations'!$D$6:$D$453,MATCH(C435,'Locations'!$A$6:$A$453,0))</x:f>
        <x:v>42.7310890611734</x:v>
      </x:c>
      <x:c r="V435" s="69" t="n">
        <x:f>INDEX('Locations'!$E$6:$E$453,MATCH(C435,'Locations'!$A$6:$A$453,0))</x:f>
        <x:v>-73.6712429983319</x:v>
      </x:c>
      <x:c r="W435" s="44"/>
    </x:row>
    <x:row r="436" ht="23" customHeight="1">
      <x:c r="A436" s="21" t="s">
        <x:v>1038</x:v>
      </x:c>
      <x:c r="B436" s="45" t="s">
        <x:v>482</x:v>
      </x:c>
      <x:c r="C436" s="45" t="s">
        <x:v>483</x:v>
      </x:c>
      <x:c r="D436" s="45" t="s">
        <x:v>606</x:v>
      </x:c>
      <x:c r="E436" s="63" t="n">
        <x:f>2*6371000*ASIN(SQRT(MIN(1,SIN(RADIANS(U436-S436)/2)^2+COS(RADIANS(S436))*COS(RADIANS(U436))*SIN(RADIANS(V436-T436)/2)^2)))</x:f>
        <x:v>57.95389835681481</x:v>
      </x:c>
      <x:c r="F436" s="48" t="s">
        <x:v>67</x:v>
      </x:c>
      <x:c r="G436" s="48" t="s">
        <x:v>66</x:v>
      </x:c>
      <x:c r="H436" s="48" t="s">
        <x:v>66</x:v>
      </x:c>
      <x:c r="I436" s="48" t="s">
        <x:v>66</x:v>
      </x:c>
      <x:c r="J436" s="48" t="s">
        <x:v>66</x:v>
      </x:c>
      <x:c r="K436" s="64"/>
      <x:c r="L436" s="64"/>
      <x:c r="M436" s="50"/>
      <x:c r="N436" s="49"/>
      <x:c r="O436" s="50"/>
      <x:c r="P436" s="50"/>
      <x:c r="Q436" s="30">
        <x:v>432</x:v>
      </x:c>
      <x:c r="R436" s="65"/>
      <x:c r="S436" s="46" t="n">
        <x:f>INDEX('Locations'!$D$6:$D$453,MATCH(B436,'Locations'!$A$6:$A$453,0))</x:f>
        <x:v>42.7306443840828</x:v>
      </x:c>
      <x:c r="T436" s="46" t="n">
        <x:f>INDEX('Locations'!$E$6:$E$453,MATCH(B436,'Locations'!$A$6:$A$453,0))</x:f>
        <x:v>-73.671446544204</x:v>
      </x:c>
      <x:c r="U436" s="46" t="n">
        <x:f>INDEX('Locations'!$D$6:$D$453,MATCH(C436,'Locations'!$A$6:$A$453,0))</x:f>
        <x:v>42.7306754209371</x:v>
      </x:c>
      <x:c r="V436" s="66" t="n">
        <x:f>INDEX('Locations'!$E$6:$E$453,MATCH(C436,'Locations'!$A$6:$A$453,0))</x:f>
        <x:v>-73.6707382658569</x:v>
      </x:c>
      <x:c r="W436" s="44"/>
    </x:row>
    <x:row r="437" ht="23" customHeight="1">
      <x:c r="A437" s="24" t="s">
        <x:v>1039</x:v>
      </x:c>
      <x:c r="B437" s="53" t="s">
        <x:v>94</x:v>
      </x:c>
      <x:c r="C437" s="53" t="s">
        <x:v>485</x:v>
      </x:c>
      <x:c r="D437" s="53" t="s">
        <x:v>606</x:v>
      </x:c>
      <x:c r="E437" s="67" t="n">
        <x:f>2*6371000*ASIN(SQRT(MIN(1,SIN(RADIANS(U437-S437)/2)^2+COS(RADIANS(S437))*COS(RADIANS(U437))*SIN(RADIANS(V437-T437)/2)^2)))</x:f>
        <x:v>53.19027241695712</x:v>
      </x:c>
      <x:c r="F437" s="48" t="s">
        <x:v>67</x:v>
      </x:c>
      <x:c r="G437" s="48" t="s">
        <x:v>66</x:v>
      </x:c>
      <x:c r="H437" s="48" t="s">
        <x:v>66</x:v>
      </x:c>
      <x:c r="I437" s="48" t="s">
        <x:v>66</x:v>
      </x:c>
      <x:c r="J437" s="48" t="s">
        <x:v>66</x:v>
      </x:c>
      <x:c r="K437" s="64"/>
      <x:c r="L437" s="64"/>
      <x:c r="M437" s="50"/>
      <x:c r="N437" s="49"/>
      <x:c r="O437" s="50"/>
      <x:c r="P437" s="50"/>
      <x:c r="Q437" s="32">
        <x:v>433</x:v>
      </x:c>
      <x:c r="R437" s="68"/>
      <x:c r="S437" s="54" t="n">
        <x:f>INDEX('Locations'!$D$6:$D$453,MATCH(B437,'Locations'!$A$6:$A$453,0))</x:f>
        <x:v>42.7310890611734</x:v>
      </x:c>
      <x:c r="T437" s="54" t="n">
        <x:f>INDEX('Locations'!$E$6:$E$453,MATCH(B437,'Locations'!$A$6:$A$453,0))</x:f>
        <x:v>-73.6712429983319</x:v>
      </x:c>
      <x:c r="U437" s="54" t="n">
        <x:f>INDEX('Locations'!$D$6:$D$453,MATCH(C437,'Locations'!$A$6:$A$453,0))</x:f>
        <x:v>42.7310007331516</x:v>
      </x:c>
      <x:c r="V437" s="69" t="n">
        <x:f>INDEX('Locations'!$E$6:$E$453,MATCH(C437,'Locations'!$A$6:$A$453,0))</x:f>
        <x:v>-73.6706029767344</x:v>
      </x:c>
      <x:c r="W437" s="44"/>
    </x:row>
    <x:row r="438" ht="23" customHeight="1">
      <x:c r="A438" s="21" t="s">
        <x:v>1040</x:v>
      </x:c>
      <x:c r="B438" s="45" t="s">
        <x:v>483</x:v>
      </x:c>
      <x:c r="C438" s="45" t="s">
        <x:v>484</x:v>
      </x:c>
      <x:c r="D438" s="45" t="s">
        <x:v>606</x:v>
      </x:c>
      <x:c r="E438" s="63" t="n">
        <x:f>2*6371000*ASIN(SQRT(MIN(1,SIN(RADIANS(U438-S438)/2)^2+COS(RADIANS(S438))*COS(RADIANS(U438))*SIN(RADIANS(V438-T438)/2)^2)))</x:f>
        <x:v>22.991916204862598</x:v>
      </x:c>
      <x:c r="F438" s="48" t="s">
        <x:v>67</x:v>
      </x:c>
      <x:c r="G438" s="48" t="s">
        <x:v>66</x:v>
      </x:c>
      <x:c r="H438" s="48" t="s">
        <x:v>66</x:v>
      </x:c>
      <x:c r="I438" s="48" t="s">
        <x:v>66</x:v>
      </x:c>
      <x:c r="J438" s="48" t="s">
        <x:v>66</x:v>
      </x:c>
      <x:c r="K438" s="64"/>
      <x:c r="L438" s="64"/>
      <x:c r="M438" s="50"/>
      <x:c r="N438" s="49"/>
      <x:c r="O438" s="50"/>
      <x:c r="P438" s="50"/>
      <x:c r="Q438" s="30">
        <x:v>434</x:v>
      </x:c>
      <x:c r="R438" s="65"/>
      <x:c r="S438" s="46" t="n">
        <x:f>INDEX('Locations'!$D$6:$D$453,MATCH(B438,'Locations'!$A$6:$A$453,0))</x:f>
        <x:v>42.7306754209371</x:v>
      </x:c>
      <x:c r="T438" s="46" t="n">
        <x:f>INDEX('Locations'!$E$6:$E$453,MATCH(B438,'Locations'!$A$6:$A$453,0))</x:f>
        <x:v>-73.6707382658569</x:v>
      </x:c>
      <x:c r="U438" s="46" t="n">
        <x:f>INDEX('Locations'!$D$6:$D$453,MATCH(C438,'Locations'!$A$6:$A$453,0))</x:f>
        <x:v>42.7308512964453</x:v>
      </x:c>
      <x:c r="V438" s="66" t="n">
        <x:f>INDEX('Locations'!$E$6:$E$453,MATCH(C438,'Locations'!$A$6:$A$453,0))</x:f>
        <x:v>-73.6705902436405</x:v>
      </x:c>
      <x:c r="W438" s="44"/>
    </x:row>
    <x:row r="439" ht="23" customHeight="1">
      <x:c r="A439" s="24" t="s">
        <x:v>1041</x:v>
      </x:c>
      <x:c r="B439" s="53" t="s">
        <x:v>485</x:v>
      </x:c>
      <x:c r="C439" s="53" t="s">
        <x:v>484</x:v>
      </x:c>
      <x:c r="D439" s="53" t="s">
        <x:v>606</x:v>
      </x:c>
      <x:c r="E439" s="67" t="n">
        <x:f>2*6371000*ASIN(SQRT(MIN(1,SIN(RADIANS(U439-S439)/2)^2+COS(RADIANS(S439))*COS(RADIANS(U439))*SIN(RADIANS(V439-T439)/2)^2)))</x:f>
        <x:v>16.64911844566496</x:v>
      </x:c>
      <x:c r="F439" s="48" t="s">
        <x:v>67</x:v>
      </x:c>
      <x:c r="G439" s="48" t="s">
        <x:v>66</x:v>
      </x:c>
      <x:c r="H439" s="48" t="s">
        <x:v>66</x:v>
      </x:c>
      <x:c r="I439" s="48" t="s">
        <x:v>66</x:v>
      </x:c>
      <x:c r="J439" s="48" t="s">
        <x:v>66</x:v>
      </x:c>
      <x:c r="K439" s="64"/>
      <x:c r="L439" s="64"/>
      <x:c r="M439" s="50"/>
      <x:c r="N439" s="49"/>
      <x:c r="O439" s="50"/>
      <x:c r="P439" s="50"/>
      <x:c r="Q439" s="32">
        <x:v>435</x:v>
      </x:c>
      <x:c r="R439" s="68"/>
      <x:c r="S439" s="54" t="n">
        <x:f>INDEX('Locations'!$D$6:$D$453,MATCH(B439,'Locations'!$A$6:$A$453,0))</x:f>
        <x:v>42.7310007331516</x:v>
      </x:c>
      <x:c r="T439" s="54" t="n">
        <x:f>INDEX('Locations'!$E$6:$E$453,MATCH(B439,'Locations'!$A$6:$A$453,0))</x:f>
        <x:v>-73.6706029767344</x:v>
      </x:c>
      <x:c r="U439" s="54" t="n">
        <x:f>INDEX('Locations'!$D$6:$D$453,MATCH(C439,'Locations'!$A$6:$A$453,0))</x:f>
        <x:v>42.7308512964453</x:v>
      </x:c>
      <x:c r="V439" s="69" t="n">
        <x:f>INDEX('Locations'!$E$6:$E$453,MATCH(C439,'Locations'!$A$6:$A$453,0))</x:f>
        <x:v>-73.6705902436405</x:v>
      </x:c>
      <x:c r="W439" s="44"/>
    </x:row>
    <x:row r="440" ht="23" customHeight="1">
      <x:c r="A440" s="21" t="s">
        <x:v>1042</x:v>
      </x:c>
      <x:c r="B440" s="45" t="s">
        <x:v>486</x:v>
      </x:c>
      <x:c r="C440" s="45" t="s">
        <x:v>485</x:v>
      </x:c>
      <x:c r="D440" s="45" t="s">
        <x:v>606</x:v>
      </x:c>
      <x:c r="E440" s="63" t="n">
        <x:f>2*6371000*ASIN(SQRT(MIN(1,SIN(RADIANS(U440-S440)/2)^2+COS(RADIANS(S440))*COS(RADIANS(U440))*SIN(RADIANS(V440-T440)/2)^2)))</x:f>
        <x:v>46.44516515070219</x:v>
      </x:c>
      <x:c r="F440" s="48" t="s">
        <x:v>67</x:v>
      </x:c>
      <x:c r="G440" s="48" t="s">
        <x:v>66</x:v>
      </x:c>
      <x:c r="H440" s="48" t="s">
        <x:v>66</x:v>
      </x:c>
      <x:c r="I440" s="48" t="s">
        <x:v>66</x:v>
      </x:c>
      <x:c r="J440" s="48" t="s">
        <x:v>66</x:v>
      </x:c>
      <x:c r="K440" s="64"/>
      <x:c r="L440" s="64"/>
      <x:c r="M440" s="50"/>
      <x:c r="N440" s="49"/>
      <x:c r="O440" s="50"/>
      <x:c r="P440" s="50"/>
      <x:c r="Q440" s="30">
        <x:v>436</x:v>
      </x:c>
      <x:c r="R440" s="65"/>
      <x:c r="S440" s="46" t="n">
        <x:f>INDEX('Locations'!$D$6:$D$453,MATCH(B440,'Locations'!$A$6:$A$453,0))</x:f>
        <x:v>42.7314030627455</x:v>
      </x:c>
      <x:c r="T440" s="46" t="n">
        <x:f>INDEX('Locations'!$E$6:$E$453,MATCH(B440,'Locations'!$A$6:$A$453,0))</x:f>
        <x:v>-73.6704501796078</x:v>
      </x:c>
      <x:c r="U440" s="46" t="n">
        <x:f>INDEX('Locations'!$D$6:$D$453,MATCH(C440,'Locations'!$A$6:$A$453,0))</x:f>
        <x:v>42.7310007331516</x:v>
      </x:c>
      <x:c r="V440" s="66" t="n">
        <x:f>INDEX('Locations'!$E$6:$E$453,MATCH(C440,'Locations'!$A$6:$A$453,0))</x:f>
        <x:v>-73.6706029767344</x:v>
      </x:c>
      <x:c r="W440" s="44"/>
    </x:row>
    <x:row r="441" ht="23" customHeight="1">
      <x:c r="A441" s="24" t="s">
        <x:v>1043</x:v>
      </x:c>
      <x:c r="B441" s="53" t="s">
        <x:v>488</x:v>
      </x:c>
      <x:c r="C441" s="53" t="s">
        <x:v>487</x:v>
      </x:c>
      <x:c r="D441" s="53" t="s">
        <x:v>606</x:v>
      </x:c>
      <x:c r="E441" s="67" t="n">
        <x:f>2*6371000*ASIN(SQRT(MIN(1,SIN(RADIANS(U441-S441)/2)^2+COS(RADIANS(S441))*COS(RADIANS(U441))*SIN(RADIANS(V441-T441)/2)^2)))</x:f>
        <x:v>11.878754568353607</x:v>
      </x:c>
      <x:c r="F441" s="48" t="s">
        <x:v>67</x:v>
      </x:c>
      <x:c r="G441" s="48" t="s">
        <x:v>66</x:v>
      </x:c>
      <x:c r="H441" s="48" t="s">
        <x:v>66</x:v>
      </x:c>
      <x:c r="I441" s="48" t="s">
        <x:v>66</x:v>
      </x:c>
      <x:c r="J441" s="48" t="s">
        <x:v>66</x:v>
      </x:c>
      <x:c r="K441" s="64"/>
      <x:c r="L441" s="64"/>
      <x:c r="M441" s="50"/>
      <x:c r="N441" s="49"/>
      <x:c r="O441" s="50"/>
      <x:c r="P441" s="50"/>
      <x:c r="Q441" s="32">
        <x:v>437</x:v>
      </x:c>
      <x:c r="R441" s="68"/>
      <x:c r="S441" s="54" t="n">
        <x:f>INDEX('Locations'!$D$6:$D$453,MATCH(B441,'Locations'!$A$6:$A$453,0))</x:f>
        <x:v>42.731563994583</x:v>
      </x:c>
      <x:c r="T441" s="54" t="n">
        <x:f>INDEX('Locations'!$E$6:$E$453,MATCH(B441,'Locations'!$A$6:$A$453,0))</x:f>
        <x:v>-73.6708894713467</x:v>
      </x:c>
      <x:c r="U441" s="54" t="n">
        <x:f>INDEX('Locations'!$D$6:$D$453,MATCH(C441,'Locations'!$A$6:$A$453,0))</x:f>
        <x:v>42.7314697345067</x:v>
      </x:c>
      <x:c r="V441" s="69" t="n">
        <x:f>INDEX('Locations'!$E$6:$E$453,MATCH(C441,'Locations'!$A$6:$A$453,0))</x:f>
        <x:v>-73.6708210309671</x:v>
      </x:c>
      <x:c r="W441" s="44"/>
    </x:row>
    <x:row r="442" ht="23" customHeight="1">
      <x:c r="A442" s="21" t="s">
        <x:v>1044</x:v>
      </x:c>
      <x:c r="B442" s="45" t="s">
        <x:v>486</x:v>
      </x:c>
      <x:c r="C442" s="45" t="s">
        <x:v>487</x:v>
      </x:c>
      <x:c r="D442" s="45" t="s">
        <x:v>606</x:v>
      </x:c>
      <x:c r="E442" s="63" t="n">
        <x:f>2*6371000*ASIN(SQRT(MIN(1,SIN(RADIANS(U442-S442)/2)^2+COS(RADIANS(S442))*COS(RADIANS(U442))*SIN(RADIANS(V442-T442)/2)^2)))</x:f>
        <x:v>31.18421590544937</x:v>
      </x:c>
      <x:c r="F442" s="48" t="s">
        <x:v>67</x:v>
      </x:c>
      <x:c r="G442" s="48" t="s">
        <x:v>66</x:v>
      </x:c>
      <x:c r="H442" s="48" t="s">
        <x:v>66</x:v>
      </x:c>
      <x:c r="I442" s="48" t="s">
        <x:v>66</x:v>
      </x:c>
      <x:c r="J442" s="48" t="s">
        <x:v>66</x:v>
      </x:c>
      <x:c r="K442" s="64"/>
      <x:c r="L442" s="64"/>
      <x:c r="M442" s="50"/>
      <x:c r="N442" s="49"/>
      <x:c r="O442" s="50"/>
      <x:c r="P442" s="50"/>
      <x:c r="Q442" s="30">
        <x:v>438</x:v>
      </x:c>
      <x:c r="R442" s="65"/>
      <x:c r="S442" s="46" t="n">
        <x:f>INDEX('Locations'!$D$6:$D$453,MATCH(B442,'Locations'!$A$6:$A$453,0))</x:f>
        <x:v>42.7314030627455</x:v>
      </x:c>
      <x:c r="T442" s="46" t="n">
        <x:f>INDEX('Locations'!$E$6:$E$453,MATCH(B442,'Locations'!$A$6:$A$453,0))</x:f>
        <x:v>-73.6704501796078</x:v>
      </x:c>
      <x:c r="U442" s="46" t="n">
        <x:f>INDEX('Locations'!$D$6:$D$453,MATCH(C442,'Locations'!$A$6:$A$453,0))</x:f>
        <x:v>42.7314697345067</x:v>
      </x:c>
      <x:c r="V442" s="66" t="n">
        <x:f>INDEX('Locations'!$E$6:$E$453,MATCH(C442,'Locations'!$A$6:$A$453,0))</x:f>
        <x:v>-73.6708210309671</x:v>
      </x:c>
      <x:c r="W442" s="44"/>
    </x:row>
    <x:row r="443" ht="23" customHeight="1">
      <x:c r="A443" s="24" t="s">
        <x:v>1045</x:v>
      </x:c>
      <x:c r="B443" s="53" t="s">
        <x:v>490</x:v>
      </x:c>
      <x:c r="C443" s="53" t="s">
        <x:v>489</x:v>
      </x:c>
      <x:c r="D443" s="53" t="s">
        <x:v>606</x:v>
      </x:c>
      <x:c r="E443" s="67" t="n">
        <x:f>2*6371000*ASIN(SQRT(MIN(1,SIN(RADIANS(U443-S443)/2)^2+COS(RADIANS(S443))*COS(RADIANS(U443))*SIN(RADIANS(V443-T443)/2)^2)))</x:f>
        <x:v>31.0517690830373</x:v>
      </x:c>
      <x:c r="F443" s="48" t="s">
        <x:v>67</x:v>
      </x:c>
      <x:c r="G443" s="48" t="s">
        <x:v>66</x:v>
      </x:c>
      <x:c r="H443" s="48" t="s">
        <x:v>66</x:v>
      </x:c>
      <x:c r="I443" s="48" t="s">
        <x:v>66</x:v>
      </x:c>
      <x:c r="J443" s="48" t="s">
        <x:v>66</x:v>
      </x:c>
      <x:c r="K443" s="64"/>
      <x:c r="L443" s="64"/>
      <x:c r="M443" s="50"/>
      <x:c r="N443" s="49"/>
      <x:c r="O443" s="50"/>
      <x:c r="P443" s="50"/>
      <x:c r="Q443" s="32">
        <x:v>439</x:v>
      </x:c>
      <x:c r="R443" s="68"/>
      <x:c r="S443" s="54" t="n">
        <x:f>INDEX('Locations'!$D$6:$D$453,MATCH(B443,'Locations'!$A$6:$A$453,0))</x:f>
        <x:v>42.7318605689693</x:v>
      </x:c>
      <x:c r="T443" s="54" t="n">
        <x:f>INDEX('Locations'!$E$6:$E$453,MATCH(B443,'Locations'!$A$6:$A$453,0))</x:f>
        <x:v>-73.6703053406649</x:v>
      </x:c>
      <x:c r="U443" s="54" t="n">
        <x:f>INDEX('Locations'!$D$6:$D$453,MATCH(C443,'Locations'!$A$6:$A$453,0))</x:f>
        <x:v>42.7316053770555</x:v>
      </x:c>
      <x:c r="V443" s="69" t="n">
        <x:f>INDEX('Locations'!$E$6:$E$453,MATCH(C443,'Locations'!$A$6:$A$453,0))</x:f>
        <x:v>-73.6704597294282</x:v>
      </x:c>
      <x:c r="W443" s="44"/>
    </x:row>
    <x:row r="444" ht="23" customHeight="1">
      <x:c r="A444" s="21" t="s">
        <x:v>1046</x:v>
      </x:c>
      <x:c r="B444" s="45" t="s">
        <x:v>488</x:v>
      </x:c>
      <x:c r="C444" s="45" t="s">
        <x:v>489</x:v>
      </x:c>
      <x:c r="D444" s="45" t="s">
        <x:v>606</x:v>
      </x:c>
      <x:c r="E444" s="63" t="n">
        <x:f>2*6371000*ASIN(SQRT(MIN(1,SIN(RADIANS(U444-S444)/2)^2+COS(RADIANS(S444))*COS(RADIANS(U444))*SIN(RADIANS(V444-T444)/2)^2)))</x:f>
        <x:v>35.400451553629175</x:v>
      </x:c>
      <x:c r="F444" s="48" t="s">
        <x:v>67</x:v>
      </x:c>
      <x:c r="G444" s="48" t="s">
        <x:v>66</x:v>
      </x:c>
      <x:c r="H444" s="48" t="s">
        <x:v>66</x:v>
      </x:c>
      <x:c r="I444" s="48" t="s">
        <x:v>66</x:v>
      </x:c>
      <x:c r="J444" s="48" t="s">
        <x:v>66</x:v>
      </x:c>
      <x:c r="K444" s="64"/>
      <x:c r="L444" s="64"/>
      <x:c r="M444" s="50"/>
      <x:c r="N444" s="49"/>
      <x:c r="O444" s="50"/>
      <x:c r="P444" s="50"/>
      <x:c r="Q444" s="30">
        <x:v>440</x:v>
      </x:c>
      <x:c r="R444" s="65"/>
      <x:c r="S444" s="46" t="n">
        <x:f>INDEX('Locations'!$D$6:$D$453,MATCH(B444,'Locations'!$A$6:$A$453,0))</x:f>
        <x:v>42.731563994583</x:v>
      </x:c>
      <x:c r="T444" s="46" t="n">
        <x:f>INDEX('Locations'!$E$6:$E$453,MATCH(B444,'Locations'!$A$6:$A$453,0))</x:f>
        <x:v>-73.6708894713467</x:v>
      </x:c>
      <x:c r="U444" s="46" t="n">
        <x:f>INDEX('Locations'!$D$6:$D$453,MATCH(C444,'Locations'!$A$6:$A$453,0))</x:f>
        <x:v>42.7316053770555</x:v>
      </x:c>
      <x:c r="V444" s="66" t="n">
        <x:f>INDEX('Locations'!$E$6:$E$453,MATCH(C444,'Locations'!$A$6:$A$453,0))</x:f>
        <x:v>-73.6704597294282</x:v>
      </x:c>
      <x:c r="W444" s="44"/>
    </x:row>
    <x:row r="445" ht="23" customHeight="1">
      <x:c r="A445" s="24" t="s">
        <x:v>1047</x:v>
      </x:c>
      <x:c r="B445" s="53" t="s">
        <x:v>490</x:v>
      </x:c>
      <x:c r="C445" s="53" t="s">
        <x:v>491</x:v>
      </x:c>
      <x:c r="D445" s="53" t="s">
        <x:v>606</x:v>
      </x:c>
      <x:c r="E445" s="67" t="n">
        <x:f>2*6371000*ASIN(SQRT(MIN(1,SIN(RADIANS(U445-S445)/2)^2+COS(RADIANS(S445))*COS(RADIANS(U445))*SIN(RADIANS(V445-T445)/2)^2)))</x:f>
        <x:v>34.02504806092568</x:v>
      </x:c>
      <x:c r="F445" s="48" t="s">
        <x:v>67</x:v>
      </x:c>
      <x:c r="G445" s="48" t="s">
        <x:v>66</x:v>
      </x:c>
      <x:c r="H445" s="48" t="s">
        <x:v>66</x:v>
      </x:c>
      <x:c r="I445" s="48" t="s">
        <x:v>66</x:v>
      </x:c>
      <x:c r="J445" s="48" t="s">
        <x:v>66</x:v>
      </x:c>
      <x:c r="K445" s="64"/>
      <x:c r="L445" s="64"/>
      <x:c r="M445" s="50"/>
      <x:c r="N445" s="49"/>
      <x:c r="O445" s="50"/>
      <x:c r="P445" s="50"/>
      <x:c r="Q445" s="32">
        <x:v>441</x:v>
      </x:c>
      <x:c r="R445" s="68"/>
      <x:c r="S445" s="54" t="n">
        <x:f>INDEX('Locations'!$D$6:$D$453,MATCH(B445,'Locations'!$A$6:$A$453,0))</x:f>
        <x:v>42.7318605689693</x:v>
      </x:c>
      <x:c r="T445" s="54" t="n">
        <x:f>INDEX('Locations'!$E$6:$E$453,MATCH(B445,'Locations'!$A$6:$A$453,0))</x:f>
        <x:v>-73.6703053406649</x:v>
      </x:c>
      <x:c r="U445" s="54" t="n">
        <x:f>INDEX('Locations'!$D$6:$D$453,MATCH(C445,'Locations'!$A$6:$A$453,0))</x:f>
        <x:v>42.7320697803581</x:v>
      </x:c>
      <x:c r="V445" s="69" t="n">
        <x:f>INDEX('Locations'!$E$6:$E$453,MATCH(C445,'Locations'!$A$6:$A$453,0))</x:f>
        <x:v>-73.6706093432813</x:v>
      </x:c>
      <x:c r="W445" s="44"/>
    </x:row>
    <x:row r="446" ht="23" customHeight="1">
      <x:c r="A446" s="21" t="s">
        <x:v>1048</x:v>
      </x:c>
      <x:c r="B446" s="45" t="s">
        <x:v>492</x:v>
      </x:c>
      <x:c r="C446" s="45" t="s">
        <x:v>491</x:v>
      </x:c>
      <x:c r="D446" s="45" t="s">
        <x:v>606</x:v>
      </x:c>
      <x:c r="E446" s="63" t="n">
        <x:f>2*6371000*ASIN(SQRT(MIN(1,SIN(RADIANS(U446-S446)/2)^2+COS(RADIANS(S446))*COS(RADIANS(U446))*SIN(RADIANS(V446-T446)/2)^2)))</x:f>
        <x:v>24.95085883793871</x:v>
      </x:c>
      <x:c r="F446" s="48" t="s">
        <x:v>67</x:v>
      </x:c>
      <x:c r="G446" s="48" t="s">
        <x:v>66</x:v>
      </x:c>
      <x:c r="H446" s="48" t="s">
        <x:v>66</x:v>
      </x:c>
      <x:c r="I446" s="48" t="s">
        <x:v>66</x:v>
      </x:c>
      <x:c r="J446" s="48" t="s">
        <x:v>66</x:v>
      </x:c>
      <x:c r="K446" s="64"/>
      <x:c r="L446" s="64"/>
      <x:c r="M446" s="50"/>
      <x:c r="N446" s="49"/>
      <x:c r="O446" s="50"/>
      <x:c r="P446" s="50"/>
      <x:c r="Q446" s="30">
        <x:v>442</x:v>
      </x:c>
      <x:c r="R446" s="65"/>
      <x:c r="S446" s="46" t="n">
        <x:f>INDEX('Locations'!$D$6:$D$453,MATCH(B446,'Locations'!$A$6:$A$453,0))</x:f>
        <x:v>42.7322870383388</x:v>
      </x:c>
      <x:c r="T446" s="46" t="n">
        <x:f>INDEX('Locations'!$E$6:$E$453,MATCH(B446,'Locations'!$A$6:$A$453,0))</x:f>
        <x:v>-73.6706857418446</x:v>
      </x:c>
      <x:c r="U446" s="46" t="n">
        <x:f>INDEX('Locations'!$D$6:$D$453,MATCH(C446,'Locations'!$A$6:$A$453,0))</x:f>
        <x:v>42.7320697803581</x:v>
      </x:c>
      <x:c r="V446" s="66" t="n">
        <x:f>INDEX('Locations'!$E$6:$E$453,MATCH(C446,'Locations'!$A$6:$A$453,0))</x:f>
        <x:v>-73.6706093432813</x:v>
      </x:c>
      <x:c r="W446" s="44"/>
    </x:row>
    <x:row r="447" ht="23" customHeight="1">
      <x:c r="A447" s="24" t="s">
        <x:v>1049</x:v>
      </x:c>
      <x:c r="B447" s="53" t="s">
        <x:v>230</x:v>
      </x:c>
      <x:c r="C447" s="53" t="s">
        <x:v>495</x:v>
      </x:c>
      <x:c r="D447" s="53" t="s">
        <x:v>606</x:v>
      </x:c>
      <x:c r="E447" s="67" t="n">
        <x:f>2*6371000*ASIN(SQRT(MIN(1,SIN(RADIANS(U447-S447)/2)^2+COS(RADIANS(S447))*COS(RADIANS(U447))*SIN(RADIANS(V447-T447)/2)^2)))</x:f>
        <x:v>55.13400411561624</x:v>
      </x:c>
      <x:c r="F447" s="48" t="s">
        <x:v>67</x:v>
      </x:c>
      <x:c r="G447" s="48" t="s">
        <x:v>66</x:v>
      </x:c>
      <x:c r="H447" s="48" t="s">
        <x:v>66</x:v>
      </x:c>
      <x:c r="I447" s="48" t="s">
        <x:v>66</x:v>
      </x:c>
      <x:c r="J447" s="48" t="s">
        <x:v>66</x:v>
      </x:c>
      <x:c r="K447" s="64"/>
      <x:c r="L447" s="64"/>
      <x:c r="M447" s="50"/>
      <x:c r="N447" s="49"/>
      <x:c r="O447" s="50"/>
      <x:c r="P447" s="50"/>
      <x:c r="Q447" s="32">
        <x:v>443</x:v>
      </x:c>
      <x:c r="R447" s="68"/>
      <x:c r="S447" s="54" t="n">
        <x:f>INDEX('Locations'!$D$6:$D$453,MATCH(B447,'Locations'!$A$6:$A$453,0))</x:f>
        <x:v>42.7316594041724</x:v>
      </x:c>
      <x:c r="T447" s="54" t="n">
        <x:f>INDEX('Locations'!$E$6:$E$453,MATCH(B447,'Locations'!$A$6:$A$453,0))</x:f>
        <x:v>-73.6717967042858</x:v>
      </x:c>
      <x:c r="U447" s="54" t="n">
        <x:f>INDEX('Locations'!$D$6:$D$453,MATCH(C447,'Locations'!$A$6:$A$453,0))</x:f>
        <x:v>42.7321456482244</x:v>
      </x:c>
      <x:c r="V447" s="69" t="n">
        <x:f>INDEX('Locations'!$E$6:$E$453,MATCH(C447,'Locations'!$A$6:$A$453,0))</x:f>
        <x:v>-73.6716645984368</x:v>
      </x:c>
      <x:c r="W447" s="44"/>
    </x:row>
    <x:row r="448" ht="23" customHeight="1">
      <x:c r="A448" s="21" t="s">
        <x:v>1050</x:v>
      </x:c>
      <x:c r="B448" s="45" t="s">
        <x:v>493</x:v>
      </x:c>
      <x:c r="C448" s="45" t="s">
        <x:v>495</x:v>
      </x:c>
      <x:c r="D448" s="45" t="s">
        <x:v>606</x:v>
      </x:c>
      <x:c r="E448" s="63" t="n">
        <x:f>2*6371000*ASIN(SQRT(MIN(1,SIN(RADIANS(U448-S448)/2)^2+COS(RADIANS(S448))*COS(RADIANS(U448))*SIN(RADIANS(V448-T448)/2)^2)))</x:f>
        <x:v>32.885182595692804</x:v>
      </x:c>
      <x:c r="F448" s="48" t="s">
        <x:v>67</x:v>
      </x:c>
      <x:c r="G448" s="48" t="s">
        <x:v>66</x:v>
      </x:c>
      <x:c r="H448" s="48" t="s">
        <x:v>66</x:v>
      </x:c>
      <x:c r="I448" s="48" t="s">
        <x:v>66</x:v>
      </x:c>
      <x:c r="J448" s="48" t="s">
        <x:v>66</x:v>
      </x:c>
      <x:c r="K448" s="64"/>
      <x:c r="L448" s="64"/>
      <x:c r="M448" s="50"/>
      <x:c r="N448" s="49"/>
      <x:c r="O448" s="50"/>
      <x:c r="P448" s="50"/>
      <x:c r="Q448" s="30">
        <x:v>444</x:v>
      </x:c>
      <x:c r="R448" s="65"/>
      <x:c r="S448" s="46" t="n">
        <x:f>INDEX('Locations'!$D$6:$D$453,MATCH(B448,'Locations'!$A$6:$A$453,0))</x:f>
        <x:v>42.7321088638044</x:v>
      </x:c>
      <x:c r="T448" s="46" t="n">
        <x:f>INDEX('Locations'!$E$6:$E$453,MATCH(B448,'Locations'!$A$6:$A$453,0))</x:f>
        <x:v>-73.6712650976162</x:v>
      </x:c>
      <x:c r="U448" s="46" t="n">
        <x:f>INDEX('Locations'!$D$6:$D$453,MATCH(C448,'Locations'!$A$6:$A$453,0))</x:f>
        <x:v>42.7321456482244</x:v>
      </x:c>
      <x:c r="V448" s="66" t="n">
        <x:f>INDEX('Locations'!$E$6:$E$453,MATCH(C448,'Locations'!$A$6:$A$453,0))</x:f>
        <x:v>-73.6716645984368</x:v>
      </x:c>
      <x:c r="W448" s="44"/>
    </x:row>
    <x:row r="449" ht="23" customHeight="1">
      <x:c r="A449" s="24" t="s">
        <x:v>1051</x:v>
      </x:c>
      <x:c r="B449" s="53" t="s">
        <x:v>208</x:v>
      </x:c>
      <x:c r="C449" s="53" t="s">
        <x:v>495</x:v>
      </x:c>
      <x:c r="D449" s="53" t="s">
        <x:v>606</x:v>
      </x:c>
      <x:c r="E449" s="67" t="n">
        <x:f>2*6371000*ASIN(SQRT(MIN(1,SIN(RADIANS(U449-S449)/2)^2+COS(RADIANS(S449))*COS(RADIANS(U449))*SIN(RADIANS(V449-T449)/2)^2)))</x:f>
        <x:v>31.55681355264068</x:v>
      </x:c>
      <x:c r="F449" s="48" t="s">
        <x:v>67</x:v>
      </x:c>
      <x:c r="G449" s="48" t="s">
        <x:v>66</x:v>
      </x:c>
      <x:c r="H449" s="48" t="s">
        <x:v>66</x:v>
      </x:c>
      <x:c r="I449" s="48" t="s">
        <x:v>66</x:v>
      </x:c>
      <x:c r="J449" s="48" t="s">
        <x:v>66</x:v>
      </x:c>
      <x:c r="K449" s="64"/>
      <x:c r="L449" s="64"/>
      <x:c r="M449" s="50"/>
      <x:c r="N449" s="49"/>
      <x:c r="O449" s="50"/>
      <x:c r="P449" s="50"/>
      <x:c r="Q449" s="32">
        <x:v>445</x:v>
      </x:c>
      <x:c r="R449" s="68"/>
      <x:c r="S449" s="54" t="n">
        <x:f>INDEX('Locations'!$D$6:$D$453,MATCH(B449,'Locations'!$A$6:$A$453,0))</x:f>
        <x:v>42.732426129427</x:v>
      </x:c>
      <x:c r="T449" s="54" t="n">
        <x:f>INDEX('Locations'!$E$6:$E$453,MATCH(B449,'Locations'!$A$6:$A$453,0))</x:f>
        <x:v>-73.6716057078776</x:v>
      </x:c>
      <x:c r="U449" s="54" t="n">
        <x:f>INDEX('Locations'!$D$6:$D$453,MATCH(C449,'Locations'!$A$6:$A$453,0))</x:f>
        <x:v>42.7321456482244</x:v>
      </x:c>
      <x:c r="V449" s="69" t="n">
        <x:f>INDEX('Locations'!$E$6:$E$453,MATCH(C449,'Locations'!$A$6:$A$453,0))</x:f>
        <x:v>-73.6716645984368</x:v>
      </x:c>
      <x:c r="W449" s="44"/>
    </x:row>
    <x:row r="450" ht="23" customHeight="1">
      <x:c r="A450" s="21" t="s">
        <x:v>1052</x:v>
      </x:c>
      <x:c r="B450" s="45" t="s">
        <x:v>494</x:v>
      </x:c>
      <x:c r="C450" s="45" t="s">
        <x:v>493</x:v>
      </x:c>
      <x:c r="D450" s="45" t="s">
        <x:v>606</x:v>
      </x:c>
      <x:c r="E450" s="63" t="n">
        <x:f>2*6371000*ASIN(SQRT(MIN(1,SIN(RADIANS(U450-S450)/2)^2+COS(RADIANS(S450))*COS(RADIANS(U450))*SIN(RADIANS(V450-T450)/2)^2)))</x:f>
        <x:v>25.962263978337834</x:v>
      </x:c>
      <x:c r="F450" s="48" t="s">
        <x:v>67</x:v>
      </x:c>
      <x:c r="G450" s="48" t="s">
        <x:v>66</x:v>
      </x:c>
      <x:c r="H450" s="48" t="s">
        <x:v>66</x:v>
      </x:c>
      <x:c r="I450" s="48" t="s">
        <x:v>66</x:v>
      </x:c>
      <x:c r="J450" s="48" t="s">
        <x:v>66</x:v>
      </x:c>
      <x:c r="K450" s="64"/>
      <x:c r="L450" s="64"/>
      <x:c r="M450" s="50"/>
      <x:c r="N450" s="49"/>
      <x:c r="O450" s="50"/>
      <x:c r="P450" s="50"/>
      <x:c r="Q450" s="30">
        <x:v>446</x:v>
      </x:c>
      <x:c r="R450" s="65"/>
      <x:c r="S450" s="46" t="n">
        <x:f>INDEX('Locations'!$D$6:$D$453,MATCH(B450,'Locations'!$A$6:$A$453,0))</x:f>
        <x:v>42.7323376169163</x:v>
      </x:c>
      <x:c r="T450" s="46" t="n">
        <x:f>INDEX('Locations'!$E$6:$E$453,MATCH(B450,'Locations'!$A$6:$A$453,0))</x:f>
        <x:v>-73.6712014321468</x:v>
      </x:c>
      <x:c r="U450" s="46" t="n">
        <x:f>INDEX('Locations'!$D$6:$D$453,MATCH(C450,'Locations'!$A$6:$A$453,0))</x:f>
        <x:v>42.7321088638044</x:v>
      </x:c>
      <x:c r="V450" s="66" t="n">
        <x:f>INDEX('Locations'!$E$6:$E$453,MATCH(C450,'Locations'!$A$6:$A$453,0))</x:f>
        <x:v>-73.6712650976162</x:v>
      </x:c>
      <x:c r="W450" s="44"/>
    </x:row>
    <x:row r="451" ht="23" customHeight="1">
      <x:c r="A451" s="24" t="s">
        <x:v>1053</x:v>
      </x:c>
      <x:c r="B451" s="53" t="s">
        <x:v>208</x:v>
      </x:c>
      <x:c r="C451" s="53" t="s">
        <x:v>494</x:v>
      </x:c>
      <x:c r="D451" s="53" t="s">
        <x:v>606</x:v>
      </x:c>
      <x:c r="E451" s="67" t="n">
        <x:f>2*6371000*ASIN(SQRT(MIN(1,SIN(RADIANS(U451-S451)/2)^2+COS(RADIANS(S451))*COS(RADIANS(U451))*SIN(RADIANS(V451-T451)/2)^2)))</x:f>
        <x:v>34.45529264433783</x:v>
      </x:c>
      <x:c r="F451" s="48" t="s">
        <x:v>67</x:v>
      </x:c>
      <x:c r="G451" s="48" t="s">
        <x:v>66</x:v>
      </x:c>
      <x:c r="H451" s="48" t="s">
        <x:v>66</x:v>
      </x:c>
      <x:c r="I451" s="48" t="s">
        <x:v>66</x:v>
      </x:c>
      <x:c r="J451" s="48" t="s">
        <x:v>66</x:v>
      </x:c>
      <x:c r="K451" s="64"/>
      <x:c r="L451" s="64"/>
      <x:c r="M451" s="50"/>
      <x:c r="N451" s="49"/>
      <x:c r="O451" s="50"/>
      <x:c r="P451" s="50"/>
      <x:c r="Q451" s="32">
        <x:v>447</x:v>
      </x:c>
      <x:c r="R451" s="68"/>
      <x:c r="S451" s="54" t="n">
        <x:f>INDEX('Locations'!$D$6:$D$453,MATCH(B451,'Locations'!$A$6:$A$453,0))</x:f>
        <x:v>42.732426129427</x:v>
      </x:c>
      <x:c r="T451" s="54" t="n">
        <x:f>INDEX('Locations'!$E$6:$E$453,MATCH(B451,'Locations'!$A$6:$A$453,0))</x:f>
        <x:v>-73.6716057078776</x:v>
      </x:c>
      <x:c r="U451" s="54" t="n">
        <x:f>INDEX('Locations'!$D$6:$D$453,MATCH(C451,'Locations'!$A$6:$A$453,0))</x:f>
        <x:v>42.7323376169163</x:v>
      </x:c>
      <x:c r="V451" s="69" t="n">
        <x:f>INDEX('Locations'!$E$6:$E$453,MATCH(C451,'Locations'!$A$6:$A$453,0))</x:f>
        <x:v>-73.6712014321468</x:v>
      </x:c>
      <x:c r="W451" s="44"/>
    </x:row>
    <x:row r="452" ht="23" customHeight="1">
      <x:c r="A452" s="21" t="s">
        <x:v>1054</x:v>
      </x:c>
      <x:c r="B452" s="45" t="s">
        <x:v>492</x:v>
      </x:c>
      <x:c r="C452" s="45" t="s">
        <x:v>494</x:v>
      </x:c>
      <x:c r="D452" s="45" t="s">
        <x:v>606</x:v>
      </x:c>
      <x:c r="E452" s="63" t="n">
        <x:f>2*6371000*ASIN(SQRT(MIN(1,SIN(RADIANS(U452-S452)/2)^2+COS(RADIANS(S452))*COS(RADIANS(U452))*SIN(RADIANS(V452-T452)/2)^2)))</x:f>
        <x:v>42.49346474136404</x:v>
      </x:c>
      <x:c r="F452" s="48" t="s">
        <x:v>67</x:v>
      </x:c>
      <x:c r="G452" s="48" t="s">
        <x:v>66</x:v>
      </x:c>
      <x:c r="H452" s="48" t="s">
        <x:v>66</x:v>
      </x:c>
      <x:c r="I452" s="48" t="s">
        <x:v>66</x:v>
      </x:c>
      <x:c r="J452" s="48" t="s">
        <x:v>66</x:v>
      </x:c>
      <x:c r="K452" s="64"/>
      <x:c r="L452" s="64"/>
      <x:c r="M452" s="50"/>
      <x:c r="N452" s="49"/>
      <x:c r="O452" s="50"/>
      <x:c r="P452" s="50"/>
      <x:c r="Q452" s="30">
        <x:v>448</x:v>
      </x:c>
      <x:c r="R452" s="65"/>
      <x:c r="S452" s="46" t="n">
        <x:f>INDEX('Locations'!$D$6:$D$453,MATCH(B452,'Locations'!$A$6:$A$453,0))</x:f>
        <x:v>42.7322870383388</x:v>
      </x:c>
      <x:c r="T452" s="46" t="n">
        <x:f>INDEX('Locations'!$E$6:$E$453,MATCH(B452,'Locations'!$A$6:$A$453,0))</x:f>
        <x:v>-73.6706857418446</x:v>
      </x:c>
      <x:c r="U452" s="46" t="n">
        <x:f>INDEX('Locations'!$D$6:$D$453,MATCH(C452,'Locations'!$A$6:$A$453,0))</x:f>
        <x:v>42.7323376169163</x:v>
      </x:c>
      <x:c r="V452" s="66" t="n">
        <x:f>INDEX('Locations'!$E$6:$E$453,MATCH(C452,'Locations'!$A$6:$A$453,0))</x:f>
        <x:v>-73.6712014321468</x:v>
      </x:c>
      <x:c r="W452" s="44"/>
    </x:row>
    <x:row r="453" ht="23" customHeight="1">
      <x:c r="A453" s="24" t="s">
        <x:v>1055</x:v>
      </x:c>
      <x:c r="B453" s="53" t="s">
        <x:v>488</x:v>
      </x:c>
      <x:c r="C453" s="53" t="s">
        <x:v>496</x:v>
      </x:c>
      <x:c r="D453" s="53" t="s">
        <x:v>606</x:v>
      </x:c>
      <x:c r="E453" s="67" t="n">
        <x:f>2*6371000*ASIN(SQRT(MIN(1,SIN(RADIANS(U453-S453)/2)^2+COS(RADIANS(S453))*COS(RADIANS(U453))*SIN(RADIANS(V453-T453)/2)^2)))</x:f>
        <x:v>20.875740577228445</x:v>
      </x:c>
      <x:c r="F453" s="48" t="s">
        <x:v>67</x:v>
      </x:c>
      <x:c r="G453" s="48" t="s">
        <x:v>66</x:v>
      </x:c>
      <x:c r="H453" s="48" t="s">
        <x:v>66</x:v>
      </x:c>
      <x:c r="I453" s="48" t="s">
        <x:v>66</x:v>
      </x:c>
      <x:c r="J453" s="48" t="s">
        <x:v>66</x:v>
      </x:c>
      <x:c r="K453" s="64"/>
      <x:c r="L453" s="64"/>
      <x:c r="M453" s="50"/>
      <x:c r="N453" s="49"/>
      <x:c r="O453" s="50"/>
      <x:c r="P453" s="50"/>
      <x:c r="Q453" s="32">
        <x:v>449</x:v>
      </x:c>
      <x:c r="R453" s="68"/>
      <x:c r="S453" s="54" t="n">
        <x:f>INDEX('Locations'!$D$6:$D$453,MATCH(B453,'Locations'!$A$6:$A$453,0))</x:f>
        <x:v>42.731563994583</x:v>
      </x:c>
      <x:c r="T453" s="54" t="n">
        <x:f>INDEX('Locations'!$E$6:$E$453,MATCH(B453,'Locations'!$A$6:$A$453,0))</x:f>
        <x:v>-73.6708894713467</x:v>
      </x:c>
      <x:c r="U453" s="54" t="n">
        <x:f>INDEX('Locations'!$D$6:$D$453,MATCH(C453,'Locations'!$A$6:$A$453,0))</x:f>
        <x:v>42.7314605384017</x:v>
      </x:c>
      <x:c r="V453" s="69" t="n">
        <x:f>INDEX('Locations'!$E$6:$E$453,MATCH(C453,'Locations'!$A$6:$A$453,0))</x:f>
        <x:v>-73.6711027506692</x:v>
      </x:c>
      <x:c r="W453" s="44"/>
    </x:row>
    <x:row r="454" ht="23" customHeight="1">
      <x:c r="A454" s="21" t="s">
        <x:v>1056</x:v>
      </x:c>
      <x:c r="B454" s="45" t="s">
        <x:v>497</x:v>
      </x:c>
      <x:c r="C454" s="45" t="s">
        <x:v>496</x:v>
      </x:c>
      <x:c r="D454" s="45" t="s">
        <x:v>606</x:v>
      </x:c>
      <x:c r="E454" s="63" t="n">
        <x:f>2*6371000*ASIN(SQRT(MIN(1,SIN(RADIANS(U454-S454)/2)^2+COS(RADIANS(S454))*COS(RADIANS(U454))*SIN(RADIANS(V454-T454)/2)^2)))</x:f>
        <x:v>60.78076584147398</x:v>
      </x:c>
      <x:c r="F454" s="48" t="s">
        <x:v>67</x:v>
      </x:c>
      <x:c r="G454" s="48" t="s">
        <x:v>66</x:v>
      </x:c>
      <x:c r="H454" s="48" t="s">
        <x:v>66</x:v>
      </x:c>
      <x:c r="I454" s="48" t="s">
        <x:v>66</x:v>
      </x:c>
      <x:c r="J454" s="48" t="s">
        <x:v>66</x:v>
      </x:c>
      <x:c r="K454" s="64"/>
      <x:c r="L454" s="64"/>
      <x:c r="M454" s="50"/>
      <x:c r="N454" s="49"/>
      <x:c r="O454" s="50"/>
      <x:c r="P454" s="50"/>
      <x:c r="Q454" s="30">
        <x:v>450</x:v>
      </x:c>
      <x:c r="R454" s="65"/>
      <x:c r="S454" s="46" t="n">
        <x:f>INDEX('Locations'!$D$6:$D$453,MATCH(B454,'Locations'!$A$6:$A$453,0))</x:f>
        <x:v>42.7315444528599</x:v>
      </x:c>
      <x:c r="T454" s="46" t="n">
        <x:f>INDEX('Locations'!$E$6:$E$453,MATCH(B454,'Locations'!$A$6:$A$453,0))</x:f>
        <x:v>-73.6718380868409</x:v>
      </x:c>
      <x:c r="U454" s="46" t="n">
        <x:f>INDEX('Locations'!$D$6:$D$453,MATCH(C454,'Locations'!$A$6:$A$453,0))</x:f>
        <x:v>42.7314605384017</x:v>
      </x:c>
      <x:c r="V454" s="66" t="n">
        <x:f>INDEX('Locations'!$E$6:$E$453,MATCH(C454,'Locations'!$A$6:$A$453,0))</x:f>
        <x:v>-73.6711027506692</x:v>
      </x:c>
      <x:c r="W454" s="44"/>
    </x:row>
    <x:row r="455" ht="23" customHeight="1">
      <x:c r="A455" s="24" t="s">
        <x:v>1057</x:v>
      </x:c>
      <x:c r="B455" s="53" t="s">
        <x:v>230</x:v>
      </x:c>
      <x:c r="C455" s="53" t="s">
        <x:v>497</x:v>
      </x:c>
      <x:c r="D455" s="53" t="s">
        <x:v>606</x:v>
      </x:c>
      <x:c r="E455" s="67" t="n">
        <x:f>2*6371000*ASIN(SQRT(MIN(1,SIN(RADIANS(U455-S455)/2)^2+COS(RADIANS(S455))*COS(RADIANS(U455))*SIN(RADIANS(V455-T455)/2)^2)))</x:f>
        <x:v>13.22134872745296</x:v>
      </x:c>
      <x:c r="F455" s="48" t="s">
        <x:v>67</x:v>
      </x:c>
      <x:c r="G455" s="48" t="s">
        <x:v>66</x:v>
      </x:c>
      <x:c r="H455" s="48" t="s">
        <x:v>66</x:v>
      </x:c>
      <x:c r="I455" s="48" t="s">
        <x:v>66</x:v>
      </x:c>
      <x:c r="J455" s="48" t="s">
        <x:v>66</x:v>
      </x:c>
      <x:c r="K455" s="64"/>
      <x:c r="L455" s="64"/>
      <x:c r="M455" s="50"/>
      <x:c r="N455" s="49"/>
      <x:c r="O455" s="50"/>
      <x:c r="P455" s="50"/>
      <x:c r="Q455" s="32">
        <x:v>451</x:v>
      </x:c>
      <x:c r="R455" s="68"/>
      <x:c r="S455" s="54" t="n">
        <x:f>INDEX('Locations'!$D$6:$D$453,MATCH(B455,'Locations'!$A$6:$A$453,0))</x:f>
        <x:v>42.7316594041724</x:v>
      </x:c>
      <x:c r="T455" s="54" t="n">
        <x:f>INDEX('Locations'!$E$6:$E$453,MATCH(B455,'Locations'!$A$6:$A$453,0))</x:f>
        <x:v>-73.6717967042858</x:v>
      </x:c>
      <x:c r="U455" s="54" t="n">
        <x:f>INDEX('Locations'!$D$6:$D$453,MATCH(C455,'Locations'!$A$6:$A$453,0))</x:f>
        <x:v>42.7315444528599</x:v>
      </x:c>
      <x:c r="V455" s="69" t="n">
        <x:f>INDEX('Locations'!$E$6:$E$453,MATCH(C455,'Locations'!$A$6:$A$453,0))</x:f>
        <x:v>-73.6718380868409</x:v>
      </x:c>
      <x:c r="W455" s="44"/>
    </x:row>
    <x:row r="456" ht="23" customHeight="1">
      <x:c r="A456" s="21" t="s">
        <x:v>1058</x:v>
      </x:c>
      <x:c r="B456" s="45" t="s">
        <x:v>219</x:v>
      </x:c>
      <x:c r="C456" s="45" t="s">
        <x:v>497</x:v>
      </x:c>
      <x:c r="D456" s="45" t="s">
        <x:v>606</x:v>
      </x:c>
      <x:c r="E456" s="63" t="n">
        <x:f>2*6371000*ASIN(SQRT(MIN(1,SIN(RADIANS(U456-S456)/2)^2+COS(RADIANS(S456))*COS(RADIANS(U456))*SIN(RADIANS(V456-T456)/2)^2)))</x:f>
        <x:v>31.582573843057226</x:v>
      </x:c>
      <x:c r="F456" s="48" t="s">
        <x:v>67</x:v>
      </x:c>
      <x:c r="G456" s="48" t="s">
        <x:v>66</x:v>
      </x:c>
      <x:c r="H456" s="48" t="s">
        <x:v>66</x:v>
      </x:c>
      <x:c r="I456" s="48" t="s">
        <x:v>66</x:v>
      </x:c>
      <x:c r="J456" s="48" t="s">
        <x:v>66</x:v>
      </x:c>
      <x:c r="K456" s="64"/>
      <x:c r="L456" s="64"/>
      <x:c r="M456" s="50"/>
      <x:c r="N456" s="49"/>
      <x:c r="O456" s="50"/>
      <x:c r="P456" s="50"/>
      <x:c r="Q456" s="30">
        <x:v>452</x:v>
      </x:c>
      <x:c r="R456" s="65"/>
      <x:c r="S456" s="46" t="n">
        <x:f>INDEX('Locations'!$D$6:$D$453,MATCH(B456,'Locations'!$A$6:$A$453,0))</x:f>
        <x:v>42.7312651211704</x:v>
      </x:c>
      <x:c r="T456" s="46" t="n">
        <x:f>INDEX('Locations'!$E$6:$E$453,MATCH(B456,'Locations'!$A$6:$A$453,0))</x:f>
        <x:v>-73.6719081188573</x:v>
      </x:c>
      <x:c r="U456" s="46" t="n">
        <x:f>INDEX('Locations'!$D$6:$D$453,MATCH(C456,'Locations'!$A$6:$A$453,0))</x:f>
        <x:v>42.7315444528599</x:v>
      </x:c>
      <x:c r="V456" s="66" t="n">
        <x:f>INDEX('Locations'!$E$6:$E$453,MATCH(C456,'Locations'!$A$6:$A$453,0))</x:f>
        <x:v>-73.6718380868409</x:v>
      </x:c>
      <x:c r="W456" s="44"/>
    </x:row>
    <x:row r="457" ht="23" customHeight="1">
      <x:c r="A457" s="24" t="s">
        <x:v>1059</x:v>
      </x:c>
      <x:c r="B457" s="53" t="s">
        <x:v>496</x:v>
      </x:c>
      <x:c r="C457" s="53" t="s">
        <x:v>94</x:v>
      </x:c>
      <x:c r="D457" s="53" t="s">
        <x:v>606</x:v>
      </x:c>
      <x:c r="E457" s="67" t="n">
        <x:f>2*6371000*ASIN(SQRT(MIN(1,SIN(RADIANS(U457-S457)/2)^2+COS(RADIANS(S457))*COS(RADIANS(U457))*SIN(RADIANS(V457-T457)/2)^2)))</x:f>
        <x:v>42.865329071855015</x:v>
      </x:c>
      <x:c r="F457" s="48" t="s">
        <x:v>67</x:v>
      </x:c>
      <x:c r="G457" s="48" t="s">
        <x:v>66</x:v>
      </x:c>
      <x:c r="H457" s="48" t="s">
        <x:v>66</x:v>
      </x:c>
      <x:c r="I457" s="48" t="s">
        <x:v>66</x:v>
      </x:c>
      <x:c r="J457" s="48" t="s">
        <x:v>66</x:v>
      </x:c>
      <x:c r="K457" s="64"/>
      <x:c r="L457" s="64"/>
      <x:c r="M457" s="50"/>
      <x:c r="N457" s="49"/>
      <x:c r="O457" s="50"/>
      <x:c r="P457" s="50"/>
      <x:c r="Q457" s="32">
        <x:v>453</x:v>
      </x:c>
      <x:c r="R457" s="68"/>
      <x:c r="S457" s="54" t="n">
        <x:f>INDEX('Locations'!$D$6:$D$453,MATCH(B457,'Locations'!$A$6:$A$453,0))</x:f>
        <x:v>42.7314605384017</x:v>
      </x:c>
      <x:c r="T457" s="54" t="n">
        <x:f>INDEX('Locations'!$E$6:$E$453,MATCH(B457,'Locations'!$A$6:$A$453,0))</x:f>
        <x:v>-73.6711027506692</x:v>
      </x:c>
      <x:c r="U457" s="54" t="n">
        <x:f>INDEX('Locations'!$D$6:$D$453,MATCH(C457,'Locations'!$A$6:$A$453,0))</x:f>
        <x:v>42.7310890611734</x:v>
      </x:c>
      <x:c r="V457" s="69" t="n">
        <x:f>INDEX('Locations'!$E$6:$E$453,MATCH(C457,'Locations'!$A$6:$A$453,0))</x:f>
        <x:v>-73.6712429983319</x:v>
      </x:c>
      <x:c r="W457" s="44"/>
    </x:row>
    <x:row r="458" ht="23" customHeight="1">
      <x:c r="A458" s="21" t="s">
        <x:v>1060</x:v>
      </x:c>
      <x:c r="B458" s="45" t="s">
        <x:v>498</x:v>
      </x:c>
      <x:c r="C458" s="45" t="s">
        <x:v>492</x:v>
      </x:c>
      <x:c r="D458" s="45" t="s">
        <x:v>606</x:v>
      </x:c>
      <x:c r="E458" s="63" t="n">
        <x:f>2*6371000*ASIN(SQRT(MIN(1,SIN(RADIANS(U458-S458)/2)^2+COS(RADIANS(S458))*COS(RADIANS(U458))*SIN(RADIANS(V458-T458)/2)^2)))</x:f>
        <x:v>50.17657139034438</x:v>
      </x:c>
      <x:c r="F458" s="48" t="s">
        <x:v>67</x:v>
      </x:c>
      <x:c r="G458" s="48" t="s">
        <x:v>66</x:v>
      </x:c>
      <x:c r="H458" s="48" t="s">
        <x:v>66</x:v>
      </x:c>
      <x:c r="I458" s="48" t="s">
        <x:v>66</x:v>
      </x:c>
      <x:c r="J458" s="48" t="s">
        <x:v>66</x:v>
      </x:c>
      <x:c r="K458" s="64"/>
      <x:c r="L458" s="64"/>
      <x:c r="M458" s="50"/>
      <x:c r="N458" s="49"/>
      <x:c r="O458" s="50"/>
      <x:c r="P458" s="50"/>
      <x:c r="Q458" s="30">
        <x:v>454</x:v>
      </x:c>
      <x:c r="R458" s="65"/>
      <x:c r="S458" s="46" t="n">
        <x:f>INDEX('Locations'!$D$6:$D$453,MATCH(B458,'Locations'!$A$6:$A$453,0))</x:f>
        <x:v>42.7325410807395</x:v>
      </x:c>
      <x:c r="T458" s="46" t="n">
        <x:f>INDEX('Locations'!$E$6:$E$453,MATCH(B458,'Locations'!$A$6:$A$453,0))</x:f>
        <x:v>-73.670178009726</x:v>
      </x:c>
      <x:c r="U458" s="46" t="n">
        <x:f>INDEX('Locations'!$D$6:$D$453,MATCH(C458,'Locations'!$A$6:$A$453,0))</x:f>
        <x:v>42.7322870383388</x:v>
      </x:c>
      <x:c r="V458" s="66" t="n">
        <x:f>INDEX('Locations'!$E$6:$E$453,MATCH(C458,'Locations'!$A$6:$A$453,0))</x:f>
        <x:v>-73.6706857418446</x:v>
      </x:c>
      <x:c r="W458" s="44"/>
    </x:row>
    <x:row r="459" ht="23" customHeight="1">
      <x:c r="A459" s="24" t="s">
        <x:v>1061</x:v>
      </x:c>
      <x:c r="B459" s="53" t="s">
        <x:v>498</x:v>
      </x:c>
      <x:c r="C459" s="53" t="s">
        <x:v>490</x:v>
      </x:c>
      <x:c r="D459" s="53" t="s">
        <x:v>606</x:v>
      </x:c>
      <x:c r="E459" s="67" t="n">
        <x:f>2*6371000*ASIN(SQRT(MIN(1,SIN(RADIANS(U459-S459)/2)^2+COS(RADIANS(S459))*COS(RADIANS(U459))*SIN(RADIANS(V459-T459)/2)^2)))</x:f>
        <x:v>76.38079063679761</x:v>
      </x:c>
      <x:c r="F459" s="48" t="s">
        <x:v>67</x:v>
      </x:c>
      <x:c r="G459" s="48" t="s">
        <x:v>66</x:v>
      </x:c>
      <x:c r="H459" s="48" t="s">
        <x:v>66</x:v>
      </x:c>
      <x:c r="I459" s="48" t="s">
        <x:v>66</x:v>
      </x:c>
      <x:c r="J459" s="48" t="s">
        <x:v>66</x:v>
      </x:c>
      <x:c r="K459" s="64"/>
      <x:c r="L459" s="64"/>
      <x:c r="M459" s="50"/>
      <x:c r="N459" s="49"/>
      <x:c r="O459" s="50"/>
      <x:c r="P459" s="50"/>
      <x:c r="Q459" s="32">
        <x:v>455</x:v>
      </x:c>
      <x:c r="R459" s="68"/>
      <x:c r="S459" s="54" t="n">
        <x:f>INDEX('Locations'!$D$6:$D$453,MATCH(B459,'Locations'!$A$6:$A$453,0))</x:f>
        <x:v>42.7325410807395</x:v>
      </x:c>
      <x:c r="T459" s="54" t="n">
        <x:f>INDEX('Locations'!$E$6:$E$453,MATCH(B459,'Locations'!$A$6:$A$453,0))</x:f>
        <x:v>-73.670178009726</x:v>
      </x:c>
      <x:c r="U459" s="54" t="n">
        <x:f>INDEX('Locations'!$D$6:$D$453,MATCH(C459,'Locations'!$A$6:$A$453,0))</x:f>
        <x:v>42.7318605689693</x:v>
      </x:c>
      <x:c r="V459" s="69" t="n">
        <x:f>INDEX('Locations'!$E$6:$E$453,MATCH(C459,'Locations'!$A$6:$A$453,0))</x:f>
        <x:v>-73.6703053406649</x:v>
      </x:c>
      <x:c r="W459" s="44"/>
    </x:row>
    <x:row r="460" ht="23" customHeight="1">
      <x:c r="A460" s="21" t="s">
        <x:v>1062</x:v>
      </x:c>
      <x:c r="B460" s="45" t="s">
        <x:v>499</x:v>
      </x:c>
      <x:c r="C460" s="45" t="s">
        <x:v>136</x:v>
      </x:c>
      <x:c r="D460" s="45" t="s">
        <x:v>606</x:v>
      </x:c>
      <x:c r="E460" s="63" t="n">
        <x:f>2*6371000*ASIN(SQRT(MIN(1,SIN(RADIANS(U460-S460)/2)^2+COS(RADIANS(S460))*COS(RADIANS(U460))*SIN(RADIANS(V460-T460)/2)^2)))</x:f>
        <x:v>37.198634030320044</x:v>
      </x:c>
      <x:c r="F460" s="48" t="s">
        <x:v>67</x:v>
      </x:c>
      <x:c r="G460" s="48" t="s">
        <x:v>66</x:v>
      </x:c>
      <x:c r="H460" s="48" t="s">
        <x:v>66</x:v>
      </x:c>
      <x:c r="I460" s="48" t="s">
        <x:v>66</x:v>
      </x:c>
      <x:c r="J460" s="48" t="s">
        <x:v>66</x:v>
      </x:c>
      <x:c r="K460" s="64"/>
      <x:c r="L460" s="64"/>
      <x:c r="M460" s="50"/>
      <x:c r="N460" s="49"/>
      <x:c r="O460" s="50"/>
      <x:c r="P460" s="50"/>
      <x:c r="Q460" s="30">
        <x:v>456</x:v>
      </x:c>
      <x:c r="R460" s="65"/>
      <x:c r="S460" s="46" t="n">
        <x:f>INDEX('Locations'!$D$6:$D$453,MATCH(B460,'Locations'!$A$6:$A$453,0))</x:f>
        <x:v>42.7324767080045</x:v>
      </x:c>
      <x:c r="T460" s="46" t="n">
        <x:f>INDEX('Locations'!$E$6:$E$453,MATCH(B460,'Locations'!$A$6:$A$453,0))</x:f>
        <x:v>-73.6696066121381</x:v>
      </x:c>
      <x:c r="U460" s="46" t="n">
        <x:f>INDEX('Locations'!$D$6:$D$453,MATCH(C460,'Locations'!$A$6:$A$453,0))</x:f>
        <x:v>42.7321437395256</x:v>
      </x:c>
      <x:c r="V460" s="66" t="n">
        <x:f>INDEX('Locations'!$E$6:$E$453,MATCH(C460,'Locations'!$A$6:$A$453,0))</x:f>
        <x:v>-73.6696506405655</x:v>
      </x:c>
      <x:c r="W460" s="44"/>
    </x:row>
    <x:row r="461" ht="23" customHeight="1">
      <x:c r="A461" s="24" t="s">
        <x:v>1063</x:v>
      </x:c>
      <x:c r="B461" s="53" t="s">
        <x:v>502</x:v>
      </x:c>
      <x:c r="C461" s="53" t="s">
        <x:v>136</x:v>
      </x:c>
      <x:c r="D461" s="53" t="s">
        <x:v>606</x:v>
      </x:c>
      <x:c r="E461" s="67" t="n">
        <x:f>2*6371000*ASIN(SQRT(MIN(1,SIN(RADIANS(U461-S461)/2)^2+COS(RADIANS(S461))*COS(RADIANS(U461))*SIN(RADIANS(V461-T461)/2)^2)))</x:f>
        <x:v>42.23226501911138</x:v>
      </x:c>
      <x:c r="F461" s="48" t="s">
        <x:v>67</x:v>
      </x:c>
      <x:c r="G461" s="48" t="s">
        <x:v>66</x:v>
      </x:c>
      <x:c r="H461" s="48" t="s">
        <x:v>66</x:v>
      </x:c>
      <x:c r="I461" s="48" t="s">
        <x:v>66</x:v>
      </x:c>
      <x:c r="J461" s="48" t="s">
        <x:v>66</x:v>
      </x:c>
      <x:c r="K461" s="64"/>
      <x:c r="L461" s="64"/>
      <x:c r="M461" s="50"/>
      <x:c r="N461" s="49"/>
      <x:c r="O461" s="50"/>
      <x:c r="P461" s="50"/>
      <x:c r="Q461" s="32">
        <x:v>457</x:v>
      </x:c>
      <x:c r="R461" s="68"/>
      <x:c r="S461" s="54" t="n">
        <x:f>INDEX('Locations'!$D$6:$D$453,MATCH(B461,'Locations'!$A$6:$A$453,0))</x:f>
        <x:v>42.7317732059718</x:v>
      </x:c>
      <x:c r="T461" s="54" t="n">
        <x:f>INDEX('Locations'!$E$6:$E$453,MATCH(B461,'Locations'!$A$6:$A$453,0))</x:f>
        <x:v>-73.6697641841749</x:v>
      </x:c>
      <x:c r="U461" s="54" t="n">
        <x:f>INDEX('Locations'!$D$6:$D$453,MATCH(C461,'Locations'!$A$6:$A$453,0))</x:f>
        <x:v>42.7321437395256</x:v>
      </x:c>
      <x:c r="V461" s="69" t="n">
        <x:f>INDEX('Locations'!$E$6:$E$453,MATCH(C461,'Locations'!$A$6:$A$453,0))</x:f>
        <x:v>-73.6696506405655</x:v>
      </x:c>
      <x:c r="W461" s="44"/>
    </x:row>
    <x:row r="462" ht="23" customHeight="1">
      <x:c r="A462" s="21" t="s">
        <x:v>1064</x:v>
      </x:c>
      <x:c r="B462" s="45" t="s">
        <x:v>490</x:v>
      </x:c>
      <x:c r="C462" s="45" t="s">
        <x:v>502</x:v>
      </x:c>
      <x:c r="D462" s="45" t="s">
        <x:v>606</x:v>
      </x:c>
      <x:c r="E462" s="63" t="n">
        <x:f>2*6371000*ASIN(SQRT(MIN(1,SIN(RADIANS(U462-S462)/2)^2+COS(RADIANS(S462))*COS(RADIANS(U462))*SIN(RADIANS(V462-T462)/2)^2)))</x:f>
        <x:v>45.25490107843301</x:v>
      </x:c>
      <x:c r="F462" s="48" t="s">
        <x:v>67</x:v>
      </x:c>
      <x:c r="G462" s="48" t="s">
        <x:v>66</x:v>
      </x:c>
      <x:c r="H462" s="48" t="s">
        <x:v>66</x:v>
      </x:c>
      <x:c r="I462" s="48" t="s">
        <x:v>66</x:v>
      </x:c>
      <x:c r="J462" s="48" t="s">
        <x:v>66</x:v>
      </x:c>
      <x:c r="K462" s="64"/>
      <x:c r="L462" s="64"/>
      <x:c r="M462" s="50"/>
      <x:c r="N462" s="49"/>
      <x:c r="O462" s="50"/>
      <x:c r="P462" s="50"/>
      <x:c r="Q462" s="30">
        <x:v>458</x:v>
      </x:c>
      <x:c r="R462" s="65"/>
      <x:c r="S462" s="46" t="n">
        <x:f>INDEX('Locations'!$D$6:$D$453,MATCH(B462,'Locations'!$A$6:$A$453,0))</x:f>
        <x:v>42.7318605689693</x:v>
      </x:c>
      <x:c r="T462" s="46" t="n">
        <x:f>INDEX('Locations'!$E$6:$E$453,MATCH(B462,'Locations'!$A$6:$A$453,0))</x:f>
        <x:v>-73.6703053406649</x:v>
      </x:c>
      <x:c r="U462" s="46" t="n">
        <x:f>INDEX('Locations'!$D$6:$D$453,MATCH(C462,'Locations'!$A$6:$A$453,0))</x:f>
        <x:v>42.7317732059718</x:v>
      </x:c>
      <x:c r="V462" s="66" t="n">
        <x:f>INDEX('Locations'!$E$6:$E$453,MATCH(C462,'Locations'!$A$6:$A$453,0))</x:f>
        <x:v>-73.6697641841749</x:v>
      </x:c>
      <x:c r="W462" s="44"/>
    </x:row>
    <x:row r="463" ht="23" customHeight="1">
      <x:c r="A463" s="24" t="s">
        <x:v>1065</x:v>
      </x:c>
      <x:c r="B463" s="53" t="s">
        <x:v>501</x:v>
      </x:c>
      <x:c r="C463" s="53" t="s">
        <x:v>502</x:v>
      </x:c>
      <x:c r="D463" s="53" t="s">
        <x:v>606</x:v>
      </x:c>
      <x:c r="E463" s="67" t="n">
        <x:f>2*6371000*ASIN(SQRT(MIN(1,SIN(RADIANS(U463-S463)/2)^2+COS(RADIANS(S463))*COS(RADIANS(U463))*SIN(RADIANS(V463-T463)/2)^2)))</x:f>
        <x:v>77.3440578100045</x:v>
      </x:c>
      <x:c r="F463" s="48" t="s">
        <x:v>67</x:v>
      </x:c>
      <x:c r="G463" s="48" t="s">
        <x:v>66</x:v>
      </x:c>
      <x:c r="H463" s="48" t="s">
        <x:v>66</x:v>
      </x:c>
      <x:c r="I463" s="48" t="s">
        <x:v>66</x:v>
      </x:c>
      <x:c r="J463" s="48" t="s">
        <x:v>66</x:v>
      </x:c>
      <x:c r="K463" s="64"/>
      <x:c r="L463" s="64"/>
      <x:c r="M463" s="50"/>
      <x:c r="N463" s="49"/>
      <x:c r="O463" s="50"/>
      <x:c r="P463" s="50"/>
      <x:c r="Q463" s="32">
        <x:v>459</x:v>
      </x:c>
      <x:c r="R463" s="68"/>
      <x:c r="S463" s="54" t="n">
        <x:f>INDEX('Locations'!$D$6:$D$453,MATCH(B463,'Locations'!$A$6:$A$453,0))</x:f>
        <x:v>42.7317168798287</x:v>
      </x:c>
      <x:c r="T463" s="54" t="n">
        <x:f>INDEX('Locations'!$E$6:$E$453,MATCH(B463,'Locations'!$A$6:$A$453,0))</x:f>
        <x:v>-73.6688203435909</x:v>
      </x:c>
      <x:c r="U463" s="54" t="n">
        <x:f>INDEX('Locations'!$D$6:$D$453,MATCH(C463,'Locations'!$A$6:$A$453,0))</x:f>
        <x:v>42.7317732059718</x:v>
      </x:c>
      <x:c r="V463" s="69" t="n">
        <x:f>INDEX('Locations'!$E$6:$E$453,MATCH(C463,'Locations'!$A$6:$A$453,0))</x:f>
        <x:v>-73.6697641841749</x:v>
      </x:c>
      <x:c r="W463" s="44"/>
    </x:row>
    <x:row r="464" ht="23" customHeight="1">
      <x:c r="A464" s="21" t="s">
        <x:v>1066</x:v>
      </x:c>
      <x:c r="B464" s="45" t="s">
        <x:v>500</x:v>
      </x:c>
      <x:c r="C464" s="45" t="s">
        <x:v>501</x:v>
      </x:c>
      <x:c r="D464" s="45" t="s">
        <x:v>606</x:v>
      </x:c>
      <x:c r="E464" s="63" t="n">
        <x:f>2*6371000*ASIN(SQRT(MIN(1,SIN(RADIANS(U464-S464)/2)^2+COS(RADIANS(S464))*COS(RADIANS(U464))*SIN(RADIANS(V464-T464)/2)^2)))</x:f>
        <x:v>68.39700464215956</x:v>
      </x:c>
      <x:c r="F464" s="48" t="s">
        <x:v>67</x:v>
      </x:c>
      <x:c r="G464" s="48" t="s">
        <x:v>66</x:v>
      </x:c>
      <x:c r="H464" s="48" t="s">
        <x:v>66</x:v>
      </x:c>
      <x:c r="I464" s="48" t="s">
        <x:v>66</x:v>
      </x:c>
      <x:c r="J464" s="48" t="s">
        <x:v>66</x:v>
      </x:c>
      <x:c r="K464" s="64"/>
      <x:c r="L464" s="64"/>
      <x:c r="M464" s="50"/>
      <x:c r="N464" s="49"/>
      <x:c r="O464" s="50"/>
      <x:c r="P464" s="50"/>
      <x:c r="Q464" s="30">
        <x:v>460</x:v>
      </x:c>
      <x:c r="R464" s="65"/>
      <x:c r="S464" s="46" t="n">
        <x:f>INDEX('Locations'!$D$6:$D$453,MATCH(B464,'Locations'!$A$6:$A$453,0))</x:f>
        <x:v>42.732315776167</x:v>
      </x:c>
      <x:c r="T464" s="46" t="n">
        <x:f>INDEX('Locations'!$E$6:$E$453,MATCH(B464,'Locations'!$A$6:$A$453,0))</x:f>
        <x:v>-73.6686293471826</x:v>
      </x:c>
      <x:c r="U464" s="46" t="n">
        <x:f>INDEX('Locations'!$D$6:$D$453,MATCH(C464,'Locations'!$A$6:$A$453,0))</x:f>
        <x:v>42.7317168798287</x:v>
      </x:c>
      <x:c r="V464" s="66" t="n">
        <x:f>INDEX('Locations'!$E$6:$E$453,MATCH(C464,'Locations'!$A$6:$A$453,0))</x:f>
        <x:v>-73.6688203435909</x:v>
      </x:c>
      <x:c r="W464" s="44"/>
    </x:row>
    <x:row r="465" ht="23" customHeight="1">
      <x:c r="A465" s="24" t="s">
        <x:v>1067</x:v>
      </x:c>
      <x:c r="B465" s="53" t="s">
        <x:v>498</x:v>
      </x:c>
      <x:c r="C465" s="53" t="s">
        <x:v>499</x:v>
      </x:c>
      <x:c r="D465" s="53" t="s">
        <x:v>606</x:v>
      </x:c>
      <x:c r="E465" s="67" t="n">
        <x:f>2*6371000*ASIN(SQRT(MIN(1,SIN(RADIANS(U465-S465)/2)^2+COS(RADIANS(S465))*COS(RADIANS(U465))*SIN(RADIANS(V465-T465)/2)^2)))</x:f>
        <x:v>47.21518745447774</x:v>
      </x:c>
      <x:c r="F465" s="48" t="s">
        <x:v>67</x:v>
      </x:c>
      <x:c r="G465" s="48" t="s">
        <x:v>66</x:v>
      </x:c>
      <x:c r="H465" s="48" t="s">
        <x:v>66</x:v>
      </x:c>
      <x:c r="I465" s="48" t="s">
        <x:v>66</x:v>
      </x:c>
      <x:c r="J465" s="48" t="s">
        <x:v>66</x:v>
      </x:c>
      <x:c r="K465" s="64"/>
      <x:c r="L465" s="64"/>
      <x:c r="M465" s="50"/>
      <x:c r="N465" s="49"/>
      <x:c r="O465" s="50"/>
      <x:c r="P465" s="50"/>
      <x:c r="Q465" s="32">
        <x:v>461</x:v>
      </x:c>
      <x:c r="R465" s="68"/>
      <x:c r="S465" s="54" t="n">
        <x:f>INDEX('Locations'!$D$6:$D$453,MATCH(B465,'Locations'!$A$6:$A$453,0))</x:f>
        <x:v>42.7325410807395</x:v>
      </x:c>
      <x:c r="T465" s="54" t="n">
        <x:f>INDEX('Locations'!$E$6:$E$453,MATCH(B465,'Locations'!$A$6:$A$453,0))</x:f>
        <x:v>-73.670178009726</x:v>
      </x:c>
      <x:c r="U465" s="54" t="n">
        <x:f>INDEX('Locations'!$D$6:$D$453,MATCH(C465,'Locations'!$A$6:$A$453,0))</x:f>
        <x:v>42.7324767080045</x:v>
      </x:c>
      <x:c r="V465" s="69" t="n">
        <x:f>INDEX('Locations'!$E$6:$E$453,MATCH(C465,'Locations'!$A$6:$A$453,0))</x:f>
        <x:v>-73.6696066121381</x:v>
      </x:c>
      <x:c r="W465" s="44"/>
    </x:row>
    <x:row r="466" ht="23" customHeight="1">
      <x:c r="A466" s="21" t="s">
        <x:v>1068</x:v>
      </x:c>
      <x:c r="B466" s="45" t="s">
        <x:v>500</x:v>
      </x:c>
      <x:c r="C466" s="45" t="s">
        <x:v>499</x:v>
      </x:c>
      <x:c r="D466" s="45" t="s">
        <x:v>606</x:v>
      </x:c>
      <x:c r="E466" s="63" t="n">
        <x:f>2*6371000*ASIN(SQRT(MIN(1,SIN(RADIANS(U466-S466)/2)^2+COS(RADIANS(S466))*COS(RADIANS(U466))*SIN(RADIANS(V466-T466)/2)^2)))</x:f>
        <x:v>81.80055569357141</x:v>
      </x:c>
      <x:c r="F466" s="48" t="s">
        <x:v>67</x:v>
      </x:c>
      <x:c r="G466" s="48" t="s">
        <x:v>66</x:v>
      </x:c>
      <x:c r="H466" s="48" t="s">
        <x:v>66</x:v>
      </x:c>
      <x:c r="I466" s="48" t="s">
        <x:v>66</x:v>
      </x:c>
      <x:c r="J466" s="48" t="s">
        <x:v>66</x:v>
      </x:c>
      <x:c r="K466" s="64"/>
      <x:c r="L466" s="64"/>
      <x:c r="M466" s="50"/>
      <x:c r="N466" s="49"/>
      <x:c r="O466" s="50"/>
      <x:c r="P466" s="50"/>
      <x:c r="Q466" s="30">
        <x:v>462</x:v>
      </x:c>
      <x:c r="R466" s="65"/>
      <x:c r="S466" s="46" t="n">
        <x:f>INDEX('Locations'!$D$6:$D$453,MATCH(B466,'Locations'!$A$6:$A$453,0))</x:f>
        <x:v>42.732315776167</x:v>
      </x:c>
      <x:c r="T466" s="46" t="n">
        <x:f>INDEX('Locations'!$E$6:$E$453,MATCH(B466,'Locations'!$A$6:$A$453,0))</x:f>
        <x:v>-73.6686293471826</x:v>
      </x:c>
      <x:c r="U466" s="46" t="n">
        <x:f>INDEX('Locations'!$D$6:$D$453,MATCH(C466,'Locations'!$A$6:$A$453,0))</x:f>
        <x:v>42.7324767080045</x:v>
      </x:c>
      <x:c r="V466" s="66" t="n">
        <x:f>INDEX('Locations'!$E$6:$E$453,MATCH(C466,'Locations'!$A$6:$A$453,0))</x:f>
        <x:v>-73.6696066121381</x:v>
      </x:c>
      <x:c r="W466" s="44"/>
    </x:row>
    <x:row r="467" ht="23" customHeight="1">
      <x:c r="A467" s="24" t="s">
        <x:v>1069</x:v>
      </x:c>
      <x:c r="B467" s="53" t="s">
        <x:v>489</x:v>
      </x:c>
      <x:c r="C467" s="53" t="s">
        <x:v>503</x:v>
      </x:c>
      <x:c r="D467" s="53" t="s">
        <x:v>606</x:v>
      </x:c>
      <x:c r="E467" s="67" t="n">
        <x:f>2*6371000*ASIN(SQRT(MIN(1,SIN(RADIANS(U467-S467)/2)^2+COS(RADIANS(S467))*COS(RADIANS(U467))*SIN(RADIANS(V467-T467)/2)^2)))</x:f>
        <x:v>117.5660693198411</x:v>
      </x:c>
      <x:c r="F467" s="48" t="s">
        <x:v>67</x:v>
      </x:c>
      <x:c r="G467" s="48" t="s">
        <x:v>66</x:v>
      </x:c>
      <x:c r="H467" s="48" t="s">
        <x:v>66</x:v>
      </x:c>
      <x:c r="I467" s="48" t="s">
        <x:v>66</x:v>
      </x:c>
      <x:c r="J467" s="48" t="s">
        <x:v>66</x:v>
      </x:c>
      <x:c r="K467" s="64"/>
      <x:c r="L467" s="64"/>
      <x:c r="M467" s="50"/>
      <x:c r="N467" s="49"/>
      <x:c r="O467" s="50"/>
      <x:c r="P467" s="50"/>
      <x:c r="Q467" s="32">
        <x:v>463</x:v>
      </x:c>
      <x:c r="R467" s="68"/>
      <x:c r="S467" s="54" t="n">
        <x:f>INDEX('Locations'!$D$6:$D$453,MATCH(B467,'Locations'!$A$6:$A$453,0))</x:f>
        <x:v>42.7316053770555</x:v>
      </x:c>
      <x:c r="T467" s="54" t="n">
        <x:f>INDEX('Locations'!$E$6:$E$453,MATCH(B467,'Locations'!$A$6:$A$453,0))</x:f>
        <x:v>-73.6704597294282</x:v>
      </x:c>
      <x:c r="U467" s="54" t="n">
        <x:f>INDEX('Locations'!$D$6:$D$453,MATCH(C467,'Locations'!$A$6:$A$453,0))</x:f>
        <x:v>42.731361680273</x:v>
      </x:c>
      <x:c r="V467" s="69" t="n">
        <x:f>INDEX('Locations'!$E$6:$E$453,MATCH(C467,'Locations'!$A$6:$A$453,0))</x:f>
        <x:v>-73.6690590891012</x:v>
      </x:c>
      <x:c r="W467" s="44"/>
    </x:row>
    <x:row r="468" ht="23" customHeight="1">
      <x:c r="A468" s="21" t="s">
        <x:v>1070</x:v>
      </x:c>
      <x:c r="B468" s="45" t="s">
        <x:v>501</x:v>
      </x:c>
      <x:c r="C468" s="45" t="s">
        <x:v>505</x:v>
      </x:c>
      <x:c r="D468" s="45" t="s">
        <x:v>606</x:v>
      </x:c>
      <x:c r="E468" s="63" t="n">
        <x:f>2*6371000*ASIN(SQRT(MIN(1,SIN(RADIANS(U468-S468)/2)^2+COS(RADIANS(S468))*COS(RADIANS(U468))*SIN(RADIANS(V468-T468)/2)^2)))</x:f>
        <x:v>15.968947460652105</x:v>
      </x:c>
      <x:c r="F468" s="48" t="s">
        <x:v>67</x:v>
      </x:c>
      <x:c r="G468" s="48" t="s">
        <x:v>66</x:v>
      </x:c>
      <x:c r="H468" s="48" t="s">
        <x:v>66</x:v>
      </x:c>
      <x:c r="I468" s="48" t="s">
        <x:v>66</x:v>
      </x:c>
      <x:c r="J468" s="48" t="s">
        <x:v>66</x:v>
      </x:c>
      <x:c r="K468" s="64"/>
      <x:c r="L468" s="64"/>
      <x:c r="M468" s="50"/>
      <x:c r="N468" s="49"/>
      <x:c r="O468" s="50"/>
      <x:c r="P468" s="50"/>
      <x:c r="Q468" s="30">
        <x:v>464</x:v>
      </x:c>
      <x:c r="R468" s="65"/>
      <x:c r="S468" s="46" t="n">
        <x:f>INDEX('Locations'!$D$6:$D$453,MATCH(B468,'Locations'!$A$6:$A$453,0))</x:f>
        <x:v>42.7317168798287</x:v>
      </x:c>
      <x:c r="T468" s="46" t="n">
        <x:f>INDEX('Locations'!$E$6:$E$453,MATCH(B468,'Locations'!$A$6:$A$453,0))</x:f>
        <x:v>-73.6688203435909</x:v>
      </x:c>
      <x:c r="U468" s="46" t="n">
        <x:f>INDEX('Locations'!$D$6:$D$453,MATCH(C468,'Locations'!$A$6:$A$453,0))</x:f>
        <x:v>42.7315846858193</x:v>
      </x:c>
      <x:c r="V468" s="66" t="n">
        <x:f>INDEX('Locations'!$E$6:$E$453,MATCH(C468,'Locations'!$A$6:$A$453,0))</x:f>
        <x:v>-73.6688967421542</x:v>
      </x:c>
      <x:c r="W468" s="44"/>
    </x:row>
    <x:row r="469" ht="23" customHeight="1">
      <x:c r="A469" s="24" t="s">
        <x:v>1071</x:v>
      </x:c>
      <x:c r="B469" s="53" t="s">
        <x:v>503</x:v>
      </x:c>
      <x:c r="C469" s="53" t="s">
        <x:v>505</x:v>
      </x:c>
      <x:c r="D469" s="53" t="s">
        <x:v>606</x:v>
      </x:c>
      <x:c r="E469" s="67" t="n">
        <x:f>2*6371000*ASIN(SQRT(MIN(1,SIN(RADIANS(U469-S469)/2)^2+COS(RADIANS(S469))*COS(RADIANS(U469))*SIN(RADIANS(V469-T469)/2)^2)))</x:f>
        <x:v>28.119829530369778</x:v>
      </x:c>
      <x:c r="F469" s="48" t="s">
        <x:v>67</x:v>
      </x:c>
      <x:c r="G469" s="48" t="s">
        <x:v>66</x:v>
      </x:c>
      <x:c r="H469" s="48" t="s">
        <x:v>66</x:v>
      </x:c>
      <x:c r="I469" s="48" t="s">
        <x:v>66</x:v>
      </x:c>
      <x:c r="J469" s="48" t="s">
        <x:v>66</x:v>
      </x:c>
      <x:c r="K469" s="64"/>
      <x:c r="L469" s="64"/>
      <x:c r="M469" s="50"/>
      <x:c r="N469" s="49"/>
      <x:c r="O469" s="50"/>
      <x:c r="P469" s="50"/>
      <x:c r="Q469" s="32">
        <x:v>465</x:v>
      </x:c>
      <x:c r="R469" s="68"/>
      <x:c r="S469" s="54" t="n">
        <x:f>INDEX('Locations'!$D$6:$D$453,MATCH(B469,'Locations'!$A$6:$A$453,0))</x:f>
        <x:v>42.731361680273</x:v>
      </x:c>
      <x:c r="T469" s="54" t="n">
        <x:f>INDEX('Locations'!$E$6:$E$453,MATCH(B469,'Locations'!$A$6:$A$453,0))</x:f>
        <x:v>-73.6690590891012</x:v>
      </x:c>
      <x:c r="U469" s="54" t="n">
        <x:f>INDEX('Locations'!$D$6:$D$453,MATCH(C469,'Locations'!$A$6:$A$453,0))</x:f>
        <x:v>42.7315846858193</x:v>
      </x:c>
      <x:c r="V469" s="69" t="n">
        <x:f>INDEX('Locations'!$E$6:$E$453,MATCH(C469,'Locations'!$A$6:$A$453,0))</x:f>
        <x:v>-73.6688967421542</x:v>
      </x:c>
      <x:c r="W469" s="44"/>
    </x:row>
    <x:row r="470" ht="23" customHeight="1">
      <x:c r="A470" s="21" t="s">
        <x:v>1072</x:v>
      </x:c>
      <x:c r="B470" s="45" t="s">
        <x:v>504</x:v>
      </x:c>
      <x:c r="C470" s="45" t="s">
        <x:v>505</x:v>
      </x:c>
      <x:c r="D470" s="45" t="s">
        <x:v>606</x:v>
      </x:c>
      <x:c r="E470" s="63" t="n">
        <x:f>2*6371000*ASIN(SQRT(MIN(1,SIN(RADIANS(U470-S470)/2)^2+COS(RADIANS(S470))*COS(RADIANS(U470))*SIN(RADIANS(V470-T470)/2)^2)))</x:f>
        <x:v>21.228065461923148</x:v>
      </x:c>
      <x:c r="F470" s="48" t="s">
        <x:v>67</x:v>
      </x:c>
      <x:c r="G470" s="48" t="s">
        <x:v>66</x:v>
      </x:c>
      <x:c r="H470" s="48" t="s">
        <x:v>66</x:v>
      </x:c>
      <x:c r="I470" s="48" t="s">
        <x:v>66</x:v>
      </x:c>
      <x:c r="J470" s="48" t="s">
        <x:v>66</x:v>
      </x:c>
      <x:c r="K470" s="64"/>
      <x:c r="L470" s="64"/>
      <x:c r="M470" s="50"/>
      <x:c r="N470" s="49"/>
      <x:c r="O470" s="50"/>
      <x:c r="P470" s="50"/>
      <x:c r="Q470" s="30">
        <x:v>466</x:v>
      </x:c>
      <x:c r="R470" s="65"/>
      <x:c r="S470" s="46" t="n">
        <x:f>INDEX('Locations'!$D$6:$D$453,MATCH(B470,'Locations'!$A$6:$A$453,0))</x:f>
        <x:v>42.731490425743</x:v>
      </x:c>
      <x:c r="T470" s="46" t="n">
        <x:f>INDEX('Locations'!$E$6:$E$453,MATCH(B470,'Locations'!$A$6:$A$453,0))</x:f>
        <x:v>-73.6686707297378</x:v>
      </x:c>
      <x:c r="U470" s="46" t="n">
        <x:f>INDEX('Locations'!$D$6:$D$453,MATCH(C470,'Locations'!$A$6:$A$453,0))</x:f>
        <x:v>42.7315846858193</x:v>
      </x:c>
      <x:c r="V470" s="66" t="n">
        <x:f>INDEX('Locations'!$E$6:$E$453,MATCH(C470,'Locations'!$A$6:$A$453,0))</x:f>
        <x:v>-73.6688967421542</x:v>
      </x:c>
      <x:c r="W470" s="44"/>
    </x:row>
    <x:row r="471" ht="23" customHeight="1">
      <x:c r="A471" s="24" t="s">
        <x:v>1073</x:v>
      </x:c>
      <x:c r="B471" s="53" t="s">
        <x:v>504</x:v>
      </x:c>
      <x:c r="C471" s="53" t="s">
        <x:v>506</x:v>
      </x:c>
      <x:c r="D471" s="53" t="s">
        <x:v>606</x:v>
      </x:c>
      <x:c r="E471" s="67" t="n">
        <x:f>2*6371000*ASIN(SQRT(MIN(1,SIN(RADIANS(U471-S471)/2)^2+COS(RADIANS(S471))*COS(RADIANS(U471))*SIN(RADIANS(V471-T471)/2)^2)))</x:f>
        <x:v>50.872476149611835</x:v>
      </x:c>
      <x:c r="F471" s="48" t="s">
        <x:v>67</x:v>
      </x:c>
      <x:c r="G471" s="48" t="s">
        <x:v>66</x:v>
      </x:c>
      <x:c r="H471" s="48" t="s">
        <x:v>66</x:v>
      </x:c>
      <x:c r="I471" s="48" t="s">
        <x:v>66</x:v>
      </x:c>
      <x:c r="J471" s="48" t="s">
        <x:v>66</x:v>
      </x:c>
      <x:c r="K471" s="64"/>
      <x:c r="L471" s="64"/>
      <x:c r="M471" s="50"/>
      <x:c r="N471" s="49"/>
      <x:c r="O471" s="50"/>
      <x:c r="P471" s="50"/>
      <x:c r="Q471" s="32">
        <x:v>467</x:v>
      </x:c>
      <x:c r="R471" s="68"/>
      <x:c r="S471" s="54" t="n">
        <x:f>INDEX('Locations'!$D$6:$D$453,MATCH(B471,'Locations'!$A$6:$A$453,0))</x:f>
        <x:v>42.731490425743</x:v>
      </x:c>
      <x:c r="T471" s="54" t="n">
        <x:f>INDEX('Locations'!$E$6:$E$453,MATCH(B471,'Locations'!$A$6:$A$453,0))</x:f>
        <x:v>-73.6686707297378</x:v>
      </x:c>
      <x:c r="U471" s="54" t="n">
        <x:f>INDEX('Locations'!$D$6:$D$453,MATCH(C471,'Locations'!$A$6:$A$453,0))</x:f>
        <x:v>42.7311202825166</x:v>
      </x:c>
      <x:c r="V471" s="69" t="n">
        <x:f>INDEX('Locations'!$E$6:$E$453,MATCH(C471,'Locations'!$A$6:$A$453,0))</x:f>
        <x:v>-73.6690368061869</x:v>
      </x:c>
      <x:c r="W471" s="44"/>
    </x:row>
    <x:row r="472" ht="23" customHeight="1">
      <x:c r="A472" s="21" t="s">
        <x:v>1074</x:v>
      </x:c>
      <x:c r="B472" s="45" t="s">
        <x:v>168</x:v>
      </x:c>
      <x:c r="C472" s="45" t="s">
        <x:v>507</x:v>
      </x:c>
      <x:c r="D472" s="45" t="s">
        <x:v>606</x:v>
      </x:c>
      <x:c r="E472" s="63" t="n">
        <x:f>2*6371000*ASIN(SQRT(MIN(1,SIN(RADIANS(U472-S472)/2)^2+COS(RADIANS(S472))*COS(RADIANS(U472))*SIN(RADIANS(V472-T472)/2)^2)))</x:f>
        <x:v>27.308356257047926</x:v>
      </x:c>
      <x:c r="F472" s="48" t="s">
        <x:v>67</x:v>
      </x:c>
      <x:c r="G472" s="48" t="s">
        <x:v>66</x:v>
      </x:c>
      <x:c r="H472" s="48" t="s">
        <x:v>66</x:v>
      </x:c>
      <x:c r="I472" s="48" t="s">
        <x:v>66</x:v>
      </x:c>
      <x:c r="J472" s="48" t="s">
        <x:v>66</x:v>
      </x:c>
      <x:c r="K472" s="64"/>
      <x:c r="L472" s="64"/>
      <x:c r="M472" s="50"/>
      <x:c r="N472" s="49"/>
      <x:c r="O472" s="50"/>
      <x:c r="P472" s="50"/>
      <x:c r="Q472" s="30">
        <x:v>468</x:v>
      </x:c>
      <x:c r="R472" s="65"/>
      <x:c r="S472" s="46" t="n">
        <x:f>INDEX('Locations'!$D$6:$D$453,MATCH(B472,'Locations'!$A$6:$A$453,0))</x:f>
        <x:v>42.7310122669798</x:v>
      </x:c>
      <x:c r="T472" s="46" t="n">
        <x:f>INDEX('Locations'!$E$6:$E$453,MATCH(B472,'Locations'!$A$6:$A$453,0))</x:f>
        <x:v>-73.6694188616615</x:v>
      </x:c>
      <x:c r="U472" s="46" t="n">
        <x:f>INDEX('Locations'!$D$6:$D$453,MATCH(C472,'Locations'!$A$6:$A$453,0))</x:f>
        <x:v>42.7312421309079</x:v>
      </x:c>
      <x:c r="V472" s="66" t="n">
        <x:f>INDEX('Locations'!$E$6:$E$453,MATCH(C472,'Locations'!$A$6:$A$453,0))</x:f>
        <x:v>-73.6695365801217</x:v>
      </x:c>
      <x:c r="W472" s="44"/>
    </x:row>
    <x:row r="473" ht="23" customHeight="1">
      <x:c r="A473" s="24" t="s">
        <x:v>1075</x:v>
      </x:c>
      <x:c r="B473" s="53" t="s">
        <x:v>506</x:v>
      </x:c>
      <x:c r="C473" s="53" t="s">
        <x:v>507</x:v>
      </x:c>
      <x:c r="D473" s="53" t="s">
        <x:v>606</x:v>
      </x:c>
      <x:c r="E473" s="67" t="n">
        <x:f>2*6371000*ASIN(SQRT(MIN(1,SIN(RADIANS(U473-S473)/2)^2+COS(RADIANS(S473))*COS(RADIANS(U473))*SIN(RADIANS(V473-T473)/2)^2)))</x:f>
        <x:v>43.01021015689489</x:v>
      </x:c>
      <x:c r="F473" s="48" t="s">
        <x:v>67</x:v>
      </x:c>
      <x:c r="G473" s="48" t="s">
        <x:v>66</x:v>
      </x:c>
      <x:c r="H473" s="48" t="s">
        <x:v>66</x:v>
      </x:c>
      <x:c r="I473" s="48" t="s">
        <x:v>66</x:v>
      </x:c>
      <x:c r="J473" s="48" t="s">
        <x:v>66</x:v>
      </x:c>
      <x:c r="K473" s="64"/>
      <x:c r="L473" s="64"/>
      <x:c r="M473" s="50"/>
      <x:c r="N473" s="49"/>
      <x:c r="O473" s="50"/>
      <x:c r="P473" s="50"/>
      <x:c r="Q473" s="32">
        <x:v>469</x:v>
      </x:c>
      <x:c r="R473" s="68"/>
      <x:c r="S473" s="54" t="n">
        <x:f>INDEX('Locations'!$D$6:$D$453,MATCH(B473,'Locations'!$A$6:$A$453,0))</x:f>
        <x:v>42.7311202825166</x:v>
      </x:c>
      <x:c r="T473" s="54" t="n">
        <x:f>INDEX('Locations'!$E$6:$E$453,MATCH(B473,'Locations'!$A$6:$A$453,0))</x:f>
        <x:v>-73.6690368061869</x:v>
      </x:c>
      <x:c r="U473" s="54" t="n">
        <x:f>INDEX('Locations'!$D$6:$D$453,MATCH(C473,'Locations'!$A$6:$A$453,0))</x:f>
        <x:v>42.7312421309079</x:v>
      </x:c>
      <x:c r="V473" s="69" t="n">
        <x:f>INDEX('Locations'!$E$6:$E$453,MATCH(C473,'Locations'!$A$6:$A$453,0))</x:f>
        <x:v>-73.6695365801217</x:v>
      </x:c>
      <x:c r="W473" s="44"/>
    </x:row>
    <x:row r="474" ht="23" customHeight="1">
      <x:c r="A474" s="21" t="s">
        <x:v>1076</x:v>
      </x:c>
      <x:c r="B474" s="45" t="s">
        <x:v>508</x:v>
      </x:c>
      <x:c r="C474" s="45" t="s">
        <x:v>507</x:v>
      </x:c>
      <x:c r="D474" s="45" t="s">
        <x:v>606</x:v>
      </x:c>
      <x:c r="E474" s="63" t="n">
        <x:f>2*6371000*ASIN(SQRT(MIN(1,SIN(RADIANS(U474-S474)/2)^2+COS(RADIANS(S474))*COS(RADIANS(U474))*SIN(RADIANS(V474-T474)/2)^2)))</x:f>
        <x:v>48.90099159040311</x:v>
      </x:c>
      <x:c r="F474" s="48" t="s">
        <x:v>67</x:v>
      </x:c>
      <x:c r="G474" s="48" t="s">
        <x:v>66</x:v>
      </x:c>
      <x:c r="H474" s="48" t="s">
        <x:v>66</x:v>
      </x:c>
      <x:c r="I474" s="48" t="s">
        <x:v>66</x:v>
      </x:c>
      <x:c r="J474" s="48" t="s">
        <x:v>66</x:v>
      </x:c>
      <x:c r="K474" s="64"/>
      <x:c r="L474" s="64"/>
      <x:c r="M474" s="50"/>
      <x:c r="N474" s="49"/>
      <x:c r="O474" s="50"/>
      <x:c r="P474" s="50"/>
      <x:c r="Q474" s="30">
        <x:v>470</x:v>
      </x:c>
      <x:c r="R474" s="65"/>
      <x:c r="S474" s="46" t="n">
        <x:f>INDEX('Locations'!$D$6:$D$453,MATCH(B474,'Locations'!$A$6:$A$453,0))</x:f>
        <x:v>42.7312766163017</x:v>
      </x:c>
      <x:c r="T474" s="46" t="n">
        <x:f>INDEX('Locations'!$E$6:$E$453,MATCH(B474,'Locations'!$A$6:$A$453,0))</x:f>
        <x:v>-73.6701334438975</x:v>
      </x:c>
      <x:c r="U474" s="46" t="n">
        <x:f>INDEX('Locations'!$D$6:$D$453,MATCH(C474,'Locations'!$A$6:$A$453,0))</x:f>
        <x:v>42.7312421309079</x:v>
      </x:c>
      <x:c r="V474" s="66" t="n">
        <x:f>INDEX('Locations'!$E$6:$E$453,MATCH(C474,'Locations'!$A$6:$A$453,0))</x:f>
        <x:v>-73.6695365801217</x:v>
      </x:c>
      <x:c r="W474" s="44"/>
    </x:row>
    <x:row r="475" ht="23" customHeight="1">
      <x:c r="A475" s="24" t="s">
        <x:v>1077</x:v>
      </x:c>
      <x:c r="B475" s="53" t="s">
        <x:v>509</x:v>
      </x:c>
      <x:c r="C475" s="53" t="s">
        <x:v>508</x:v>
      </x:c>
      <x:c r="D475" s="53" t="s">
        <x:v>606</x:v>
      </x:c>
      <x:c r="E475" s="67" t="n">
        <x:f>2*6371000*ASIN(SQRT(MIN(1,SIN(RADIANS(U475-S475)/2)^2+COS(RADIANS(S475))*COS(RADIANS(U475))*SIN(RADIANS(V475-T475)/2)^2)))</x:f>
        <x:v>47.73068390431538</x:v>
      </x:c>
      <x:c r="F475" s="48" t="s">
        <x:v>67</x:v>
      </x:c>
      <x:c r="G475" s="48" t="s">
        <x:v>66</x:v>
      </x:c>
      <x:c r="H475" s="48" t="s">
        <x:v>66</x:v>
      </x:c>
      <x:c r="I475" s="48" t="s">
        <x:v>66</x:v>
      </x:c>
      <x:c r="J475" s="48" t="s">
        <x:v>66</x:v>
      </x:c>
      <x:c r="K475" s="64"/>
      <x:c r="L475" s="64"/>
      <x:c r="M475" s="50"/>
      <x:c r="N475" s="49"/>
      <x:c r="O475" s="50"/>
      <x:c r="P475" s="50"/>
      <x:c r="Q475" s="32">
        <x:v>471</x:v>
      </x:c>
      <x:c r="R475" s="68"/>
      <x:c r="S475" s="54" t="n">
        <x:f>INDEX('Locations'!$D$6:$D$453,MATCH(B475,'Locations'!$A$6:$A$453,0))</x:f>
        <x:v>42.7308489974191</x:v>
      </x:c>
      <x:c r="T475" s="54" t="n">
        <x:f>INDEX('Locations'!$E$6:$E$453,MATCH(B475,'Locations'!$A$6:$A$453,0))</x:f>
        <x:v>-73.670184376273</x:v>
      </x:c>
      <x:c r="U475" s="54" t="n">
        <x:f>INDEX('Locations'!$D$6:$D$453,MATCH(C475,'Locations'!$A$6:$A$453,0))</x:f>
        <x:v>42.7312766163017</x:v>
      </x:c>
      <x:c r="V475" s="69" t="n">
        <x:f>INDEX('Locations'!$E$6:$E$453,MATCH(C475,'Locations'!$A$6:$A$453,0))</x:f>
        <x:v>-73.6701334438975</x:v>
      </x:c>
      <x:c r="W475" s="44"/>
    </x:row>
    <x:row r="476" ht="23" customHeight="1">
      <x:c r="A476" s="21" t="s">
        <x:v>1078</x:v>
      </x:c>
      <x:c r="B476" s="45" t="s">
        <x:v>484</x:v>
      </x:c>
      <x:c r="C476" s="45" t="s">
        <x:v>509</x:v>
      </x:c>
      <x:c r="D476" s="45" t="s">
        <x:v>606</x:v>
      </x:c>
      <x:c r="E476" s="63" t="n">
        <x:f>2*6371000*ASIN(SQRT(MIN(1,SIN(RADIANS(U476-S476)/2)^2+COS(RADIANS(S476))*COS(RADIANS(U476))*SIN(RADIANS(V476-T476)/2)^2)))</x:f>
        <x:v>33.15148556065891</x:v>
      </x:c>
      <x:c r="F476" s="48" t="s">
        <x:v>67</x:v>
      </x:c>
      <x:c r="G476" s="48" t="s">
        <x:v>66</x:v>
      </x:c>
      <x:c r="H476" s="48" t="s">
        <x:v>66</x:v>
      </x:c>
      <x:c r="I476" s="48" t="s">
        <x:v>66</x:v>
      </x:c>
      <x:c r="J476" s="48" t="s">
        <x:v>66</x:v>
      </x:c>
      <x:c r="K476" s="64"/>
      <x:c r="L476" s="64"/>
      <x:c r="M476" s="50"/>
      <x:c r="N476" s="49"/>
      <x:c r="O476" s="50"/>
      <x:c r="P476" s="50"/>
      <x:c r="Q476" s="30">
        <x:v>472</x:v>
      </x:c>
      <x:c r="R476" s="65"/>
      <x:c r="S476" s="46" t="n">
        <x:f>INDEX('Locations'!$D$6:$D$453,MATCH(B476,'Locations'!$A$6:$A$453,0))</x:f>
        <x:v>42.7308512964453</x:v>
      </x:c>
      <x:c r="T476" s="46" t="n">
        <x:f>INDEX('Locations'!$E$6:$E$453,MATCH(B476,'Locations'!$A$6:$A$453,0))</x:f>
        <x:v>-73.6705902436405</x:v>
      </x:c>
      <x:c r="U476" s="46" t="n">
        <x:f>INDEX('Locations'!$D$6:$D$453,MATCH(C476,'Locations'!$A$6:$A$453,0))</x:f>
        <x:v>42.7308489974191</x:v>
      </x:c>
      <x:c r="V476" s="66" t="n">
        <x:f>INDEX('Locations'!$E$6:$E$453,MATCH(C476,'Locations'!$A$6:$A$453,0))</x:f>
        <x:v>-73.670184376273</x:v>
      </x:c>
      <x:c r="W476" s="44"/>
    </x:row>
    <x:row r="477" ht="23" customHeight="1">
      <x:c r="A477" s="24" t="s">
        <x:v>1079</x:v>
      </x:c>
      <x:c r="B477" s="53" t="s">
        <x:v>506</x:v>
      </x:c>
      <x:c r="C477" s="53" t="s">
        <x:v>510</x:v>
      </x:c>
      <x:c r="D477" s="53" t="s">
        <x:v>606</x:v>
      </x:c>
      <x:c r="E477" s="67" t="n">
        <x:f>2*6371000*ASIN(SQRT(MIN(1,SIN(RADIANS(U477-S477)/2)^2+COS(RADIANS(S477))*COS(RADIANS(U477))*SIN(RADIANS(V477-T477)/2)^2)))</x:f>
        <x:v>24.778609077580196</x:v>
      </x:c>
      <x:c r="F477" s="48" t="s">
        <x:v>67</x:v>
      </x:c>
      <x:c r="G477" s="48" t="s">
        <x:v>66</x:v>
      </x:c>
      <x:c r="H477" s="48" t="s">
        <x:v>66</x:v>
      </x:c>
      <x:c r="I477" s="48" t="s">
        <x:v>66</x:v>
      </x:c>
      <x:c r="J477" s="48" t="s">
        <x:v>66</x:v>
      </x:c>
      <x:c r="K477" s="64"/>
      <x:c r="L477" s="64"/>
      <x:c r="M477" s="50"/>
      <x:c r="N477" s="49"/>
      <x:c r="O477" s="50"/>
      <x:c r="P477" s="50"/>
      <x:c r="Q477" s="32">
        <x:v>473</x:v>
      </x:c>
      <x:c r="R477" s="68"/>
      <x:c r="S477" s="54" t="n">
        <x:f>INDEX('Locations'!$D$6:$D$453,MATCH(B477,'Locations'!$A$6:$A$453,0))</x:f>
        <x:v>42.7311202825166</x:v>
      </x:c>
      <x:c r="T477" s="54" t="n">
        <x:f>INDEX('Locations'!$E$6:$E$453,MATCH(B477,'Locations'!$A$6:$A$453,0))</x:f>
        <x:v>-73.6690368061869</x:v>
      </x:c>
      <x:c r="U477" s="54" t="n">
        <x:f>INDEX('Locations'!$D$6:$D$453,MATCH(C477,'Locations'!$A$6:$A$453,0))</x:f>
        <x:v>42.7309087721016</x:v>
      </x:c>
      <x:c r="V477" s="69" t="n">
        <x:f>INDEX('Locations'!$E$6:$E$453,MATCH(C477,'Locations'!$A$6:$A$453,0))</x:f>
        <x:v>-73.669132304391</x:v>
      </x:c>
      <x:c r="W477" s="44"/>
    </x:row>
    <x:row r="478" ht="23" customHeight="1">
      <x:c r="A478" s="21" t="s">
        <x:v>1080</x:v>
      </x:c>
      <x:c r="B478" s="45" t="s">
        <x:v>511</x:v>
      </x:c>
      <x:c r="C478" s="45" t="s">
        <x:v>510</x:v>
      </x:c>
      <x:c r="D478" s="45" t="s">
        <x:v>606</x:v>
      </x:c>
      <x:c r="E478" s="63" t="n">
        <x:f>2*6371000*ASIN(SQRT(MIN(1,SIN(RADIANS(U478-S478)/2)^2+COS(RADIANS(S478))*COS(RADIANS(U478))*SIN(RADIANS(V478-T478)/2)^2)))</x:f>
        <x:v>61.664201565077704</x:v>
      </x:c>
      <x:c r="F478" s="48" t="s">
        <x:v>67</x:v>
      </x:c>
      <x:c r="G478" s="48" t="s">
        <x:v>66</x:v>
      </x:c>
      <x:c r="H478" s="48" t="s">
        <x:v>66</x:v>
      </x:c>
      <x:c r="I478" s="48" t="s">
        <x:v>66</x:v>
      </x:c>
      <x:c r="J478" s="48" t="s">
        <x:v>66</x:v>
      </x:c>
      <x:c r="K478" s="64"/>
      <x:c r="L478" s="64"/>
      <x:c r="M478" s="50"/>
      <x:c r="N478" s="49"/>
      <x:c r="O478" s="50"/>
      <x:c r="P478" s="50"/>
      <x:c r="Q478" s="30">
        <x:v>474</x:v>
      </x:c>
      <x:c r="R478" s="65"/>
      <x:c r="S478" s="46" t="n">
        <x:f>INDEX('Locations'!$D$6:$D$453,MATCH(B478,'Locations'!$A$6:$A$453,0))</x:f>
        <x:v>42.7305294327702</x:v>
      </x:c>
      <x:c r="T478" s="46" t="n">
        <x:f>INDEX('Locations'!$E$6:$E$453,MATCH(B478,'Locations'!$A$6:$A$453,0))</x:f>
        <x:v>-73.6685815980806</x:v>
      </x:c>
      <x:c r="U478" s="46" t="n">
        <x:f>INDEX('Locations'!$D$6:$D$453,MATCH(C478,'Locations'!$A$6:$A$453,0))</x:f>
        <x:v>42.7309087721016</x:v>
      </x:c>
      <x:c r="V478" s="66" t="n">
        <x:f>INDEX('Locations'!$E$6:$E$453,MATCH(C478,'Locations'!$A$6:$A$453,0))</x:f>
        <x:v>-73.669132304391</x:v>
      </x:c>
      <x:c r="W478" s="44"/>
    </x:row>
    <x:row r="479" ht="23" customHeight="1">
      <x:c r="A479" s="24" t="s">
        <x:v>1081</x:v>
      </x:c>
      <x:c r="B479" s="53" t="s">
        <x:v>513</x:v>
      </x:c>
      <x:c r="C479" s="53" t="s">
        <x:v>512</x:v>
      </x:c>
      <x:c r="D479" s="53" t="s">
        <x:v>606</x:v>
      </x:c>
      <x:c r="E479" s="67" t="n">
        <x:f>2*6371000*ASIN(SQRT(MIN(1,SIN(RADIANS(U479-S479)/2)^2+COS(RADIANS(S479))*COS(RADIANS(U479))*SIN(RADIANS(V479-T479)/2)^2)))</x:f>
        <x:v>63.23640262316819</x:v>
      </x:c>
      <x:c r="F479" s="48" t="s">
        <x:v>67</x:v>
      </x:c>
      <x:c r="G479" s="48" t="s">
        <x:v>66</x:v>
      </x:c>
      <x:c r="H479" s="48" t="s">
        <x:v>66</x:v>
      </x:c>
      <x:c r="I479" s="48" t="s">
        <x:v>66</x:v>
      </x:c>
      <x:c r="J479" s="48" t="s">
        <x:v>66</x:v>
      </x:c>
      <x:c r="K479" s="64"/>
      <x:c r="L479" s="64"/>
      <x:c r="M479" s="50"/>
      <x:c r="N479" s="49"/>
      <x:c r="O479" s="50"/>
      <x:c r="P479" s="50"/>
      <x:c r="Q479" s="32">
        <x:v>475</x:v>
      </x:c>
      <x:c r="R479" s="68"/>
      <x:c r="S479" s="54" t="n">
        <x:f>INDEX('Locations'!$D$6:$D$453,MATCH(B479,'Locations'!$A$6:$A$453,0))</x:f>
        <x:v>42.7312536260392</x:v>
      </x:c>
      <x:c r="T479" s="54" t="n">
        <x:f>INDEX('Locations'!$E$6:$E$453,MATCH(B479,'Locations'!$A$6:$A$453,0))</x:f>
        <x:v>-73.6680834157824</x:v>
      </x:c>
      <x:c r="U479" s="54" t="n">
        <x:f>INDEX('Locations'!$D$6:$D$453,MATCH(C479,'Locations'!$A$6:$A$453,0))</x:f>
        <x:v>42.7307076073047</x:v>
      </x:c>
      <x:c r="V479" s="69" t="n">
        <x:f>INDEX('Locations'!$E$6:$E$453,MATCH(C479,'Locations'!$A$6:$A$453,0))</x:f>
        <x:v>-73.6682998783784</x:v>
      </x:c>
      <x:c r="W479" s="44"/>
    </x:row>
    <x:row r="480" ht="23" customHeight="1">
      <x:c r="A480" s="21" t="s">
        <x:v>1082</x:v>
      </x:c>
      <x:c r="B480" s="45" t="s">
        <x:v>511</x:v>
      </x:c>
      <x:c r="C480" s="45" t="s">
        <x:v>512</x:v>
      </x:c>
      <x:c r="D480" s="45" t="s">
        <x:v>606</x:v>
      </x:c>
      <x:c r="E480" s="63" t="n">
        <x:f>2*6371000*ASIN(SQRT(MIN(1,SIN(RADIANS(U480-S480)/2)^2+COS(RADIANS(S480))*COS(RADIANS(U480))*SIN(RADIANS(V480-T480)/2)^2)))</x:f>
        <x:v>30.364444662883447</x:v>
      </x:c>
      <x:c r="F480" s="48" t="s">
        <x:v>67</x:v>
      </x:c>
      <x:c r="G480" s="48" t="s">
        <x:v>66</x:v>
      </x:c>
      <x:c r="H480" s="48" t="s">
        <x:v>66</x:v>
      </x:c>
      <x:c r="I480" s="48" t="s">
        <x:v>66</x:v>
      </x:c>
      <x:c r="J480" s="48" t="s">
        <x:v>66</x:v>
      </x:c>
      <x:c r="K480" s="64"/>
      <x:c r="L480" s="64"/>
      <x:c r="M480" s="50"/>
      <x:c r="N480" s="49"/>
      <x:c r="O480" s="50"/>
      <x:c r="P480" s="50"/>
      <x:c r="Q480" s="30">
        <x:v>476</x:v>
      </x:c>
      <x:c r="R480" s="65"/>
      <x:c r="S480" s="46" t="n">
        <x:f>INDEX('Locations'!$D$6:$D$453,MATCH(B480,'Locations'!$A$6:$A$453,0))</x:f>
        <x:v>42.7305294327702</x:v>
      </x:c>
      <x:c r="T480" s="46" t="n">
        <x:f>INDEX('Locations'!$E$6:$E$453,MATCH(B480,'Locations'!$A$6:$A$453,0))</x:f>
        <x:v>-73.6685815980806</x:v>
      </x:c>
      <x:c r="U480" s="46" t="n">
        <x:f>INDEX('Locations'!$D$6:$D$453,MATCH(C480,'Locations'!$A$6:$A$453,0))</x:f>
        <x:v>42.7307076073047</x:v>
      </x:c>
      <x:c r="V480" s="66" t="n">
        <x:f>INDEX('Locations'!$E$6:$E$453,MATCH(C480,'Locations'!$A$6:$A$453,0))</x:f>
        <x:v>-73.6682998783784</x:v>
      </x:c>
      <x:c r="W480" s="44"/>
    </x:row>
    <x:row r="481" ht="23" customHeight="1">
      <x:c r="A481" s="24" t="s">
        <x:v>1083</x:v>
      </x:c>
      <x:c r="B481" s="53" t="s">
        <x:v>504</x:v>
      </x:c>
      <x:c r="C481" s="53" t="s">
        <x:v>514</x:v>
      </x:c>
      <x:c r="D481" s="53" t="s">
        <x:v>606</x:v>
      </x:c>
      <x:c r="E481" s="67" t="n">
        <x:f>2*6371000*ASIN(SQRT(MIN(1,SIN(RADIANS(U481-S481)/2)^2+COS(RADIANS(S481))*COS(RADIANS(U481))*SIN(RADIANS(V481-T481)/2)^2)))</x:f>
        <x:v>86.1568948526909</x:v>
      </x:c>
      <x:c r="F481" s="48" t="s">
        <x:v>67</x:v>
      </x:c>
      <x:c r="G481" s="48" t="s">
        <x:v>66</x:v>
      </x:c>
      <x:c r="H481" s="48" t="s">
        <x:v>66</x:v>
      </x:c>
      <x:c r="I481" s="48" t="s">
        <x:v>66</x:v>
      </x:c>
      <x:c r="J481" s="48" t="s">
        <x:v>66</x:v>
      </x:c>
      <x:c r="K481" s="64"/>
      <x:c r="L481" s="64"/>
      <x:c r="M481" s="50"/>
      <x:c r="N481" s="49"/>
      <x:c r="O481" s="50"/>
      <x:c r="P481" s="50"/>
      <x:c r="Q481" s="32">
        <x:v>477</x:v>
      </x:c>
      <x:c r="R481" s="68"/>
      <x:c r="S481" s="54" t="n">
        <x:f>INDEX('Locations'!$D$6:$D$453,MATCH(B481,'Locations'!$A$6:$A$453,0))</x:f>
        <x:v>42.731490425743</x:v>
      </x:c>
      <x:c r="T481" s="54" t="n">
        <x:f>INDEX('Locations'!$E$6:$E$453,MATCH(B481,'Locations'!$A$6:$A$453,0))</x:f>
        <x:v>-73.6686707297378</x:v>
      </x:c>
      <x:c r="U481" s="54" t="n">
        <x:f>INDEX('Locations'!$D$6:$D$453,MATCH(C481,'Locations'!$A$6:$A$453,0))</x:f>
        <x:v>42.7321801336182</x:v>
      </x:c>
      <x:c r="V481" s="69" t="n">
        <x:f>INDEX('Locations'!$E$6:$E$453,MATCH(C481,'Locations'!$A$6:$A$453,0))</x:f>
        <x:v>-73.6681900554437</x:v>
      </x:c>
      <x:c r="W481" s="44"/>
    </x:row>
    <x:row r="482" ht="23" customHeight="1">
      <x:c r="A482" s="21" t="s">
        <x:v>1084</x:v>
      </x:c>
      <x:c r="B482" s="45" t="s">
        <x:v>515</x:v>
      </x:c>
      <x:c r="C482" s="45" t="s">
        <x:v>514</x:v>
      </x:c>
      <x:c r="D482" s="45" t="s">
        <x:v>606</x:v>
      </x:c>
      <x:c r="E482" s="63" t="n">
        <x:f>2*6371000*ASIN(SQRT(MIN(1,SIN(RADIANS(U482-S482)/2)^2+COS(RADIANS(S482))*COS(RADIANS(U482))*SIN(RADIANS(V482-T482)/2)^2)))</x:f>
        <x:v>22.42494775169531</x:v>
      </x:c>
      <x:c r="F482" s="48" t="s">
        <x:v>67</x:v>
      </x:c>
      <x:c r="G482" s="48" t="s">
        <x:v>66</x:v>
      </x:c>
      <x:c r="H482" s="48" t="s">
        <x:v>66</x:v>
      </x:c>
      <x:c r="I482" s="48" t="s">
        <x:v>66</x:v>
      </x:c>
      <x:c r="J482" s="48" t="s">
        <x:v>66</x:v>
      </x:c>
      <x:c r="K482" s="64"/>
      <x:c r="L482" s="64"/>
      <x:c r="M482" s="50"/>
      <x:c r="N482" s="49"/>
      <x:c r="O482" s="50"/>
      <x:c r="P482" s="50"/>
      <x:c r="Q482" s="30">
        <x:v>478</x:v>
      </x:c>
      <x:c r="R482" s="65"/>
      <x:c r="S482" s="46" t="n">
        <x:f>INDEX('Locations'!$D$6:$D$453,MATCH(B482,'Locations'!$A$6:$A$453,0))</x:f>
        <x:v>42.7323778498757</x:v>
      </x:c>
      <x:c r="T482" s="46" t="n">
        <x:f>INDEX('Locations'!$E$6:$E$453,MATCH(B482,'Locations'!$A$6:$A$453,0))</x:f>
        <x:v>-73.6681359397947</x:v>
      </x:c>
      <x:c r="U482" s="46" t="n">
        <x:f>INDEX('Locations'!$D$6:$D$453,MATCH(C482,'Locations'!$A$6:$A$453,0))</x:f>
        <x:v>42.7321801336182</x:v>
      </x:c>
      <x:c r="V482" s="66" t="n">
        <x:f>INDEX('Locations'!$E$6:$E$453,MATCH(C482,'Locations'!$A$6:$A$453,0))</x:f>
        <x:v>-73.6681900554437</x:v>
      </x:c>
      <x:c r="W482" s="44"/>
    </x:row>
    <x:row r="483" ht="23" customHeight="1">
      <x:c r="A483" s="24" t="s">
        <x:v>1085</x:v>
      </x:c>
      <x:c r="B483" s="53" t="s">
        <x:v>118</x:v>
      </x:c>
      <x:c r="C483" s="53" t="s">
        <x:v>515</x:v>
      </x:c>
      <x:c r="D483" s="53" t="s">
        <x:v>606</x:v>
      </x:c>
      <x:c r="E483" s="67" t="n">
        <x:f>2*6371000*ASIN(SQRT(MIN(1,SIN(RADIANS(U483-S483)/2)^2+COS(RADIANS(S483))*COS(RADIANS(U483))*SIN(RADIANS(V483-T483)/2)^2)))</x:f>
        <x:v>41.8445972705325</x:v>
      </x:c>
      <x:c r="F483" s="48" t="s">
        <x:v>67</x:v>
      </x:c>
      <x:c r="G483" s="48" t="s">
        <x:v>66</x:v>
      </x:c>
      <x:c r="H483" s="48" t="s">
        <x:v>66</x:v>
      </x:c>
      <x:c r="I483" s="48" t="s">
        <x:v>66</x:v>
      </x:c>
      <x:c r="J483" s="48" t="s">
        <x:v>66</x:v>
      </x:c>
      <x:c r="K483" s="64"/>
      <x:c r="L483" s="64"/>
      <x:c r="M483" s="50"/>
      <x:c r="N483" s="49"/>
      <x:c r="O483" s="50"/>
      <x:c r="P483" s="50"/>
      <x:c r="Q483" s="32">
        <x:v>479</x:v>
      </x:c>
      <x:c r="R483" s="68"/>
      <x:c r="S483" s="54" t="n">
        <x:f>INDEX('Locations'!$D$6:$D$453,MATCH(B483,'Locations'!$A$6:$A$453,0))</x:f>
        <x:v>42.732367962673</x:v>
      </x:c>
      <x:c r="T483" s="54" t="n">
        <x:f>INDEX('Locations'!$E$6:$E$453,MATCH(B483,'Locations'!$A$6:$A$453,0))</x:f>
        <x:v>-73.6676237933532</x:v>
      </x:c>
      <x:c r="U483" s="54" t="n">
        <x:f>INDEX('Locations'!$D$6:$D$453,MATCH(C483,'Locations'!$A$6:$A$453,0))</x:f>
        <x:v>42.7323778498757</x:v>
      </x:c>
      <x:c r="V483" s="69" t="n">
        <x:f>INDEX('Locations'!$E$6:$E$453,MATCH(C483,'Locations'!$A$6:$A$453,0))</x:f>
        <x:v>-73.6681359397947</x:v>
      </x:c>
      <x:c r="W483" s="44"/>
    </x:row>
    <x:row r="484" ht="23" customHeight="1">
      <x:c r="A484" s="21" t="s">
        <x:v>1086</x:v>
      </x:c>
      <x:c r="B484" s="45" t="s">
        <x:v>516</x:v>
      </x:c>
      <x:c r="C484" s="45" t="s">
        <x:v>515</x:v>
      </x:c>
      <x:c r="D484" s="45" t="s">
        <x:v>606</x:v>
      </x:c>
      <x:c r="E484" s="63" t="n">
        <x:f>2*6371000*ASIN(SQRT(MIN(1,SIN(RADIANS(U484-S484)/2)^2+COS(RADIANS(S484))*COS(RADIANS(U484))*SIN(RADIANS(V484-T484)/2)^2)))</x:f>
        <x:v>31.40198604541073</x:v>
      </x:c>
      <x:c r="F484" s="48" t="s">
        <x:v>67</x:v>
      </x:c>
      <x:c r="G484" s="48" t="s">
        <x:v>66</x:v>
      </x:c>
      <x:c r="H484" s="48" t="s">
        <x:v>66</x:v>
      </x:c>
      <x:c r="I484" s="48" t="s">
        <x:v>66</x:v>
      </x:c>
      <x:c r="J484" s="48" t="s">
        <x:v>66</x:v>
      </x:c>
      <x:c r="K484" s="64"/>
      <x:c r="L484" s="64"/>
      <x:c r="M484" s="50"/>
      <x:c r="N484" s="49"/>
      <x:c r="O484" s="50"/>
      <x:c r="P484" s="50"/>
      <x:c r="Q484" s="30">
        <x:v>480</x:v>
      </x:c>
      <x:c r="R484" s="65"/>
      <x:c r="S484" s="46" t="n">
        <x:f>INDEX('Locations'!$D$6:$D$453,MATCH(B484,'Locations'!$A$6:$A$453,0))</x:f>
        <x:v>42.732426129427</x:v>
      </x:c>
      <x:c r="T484" s="46" t="n">
        <x:f>INDEX('Locations'!$E$6:$E$453,MATCH(B484,'Locations'!$A$6:$A$453,0))</x:f>
        <x:v>-73.6685147493377</x:v>
      </x:c>
      <x:c r="U484" s="46" t="n">
        <x:f>INDEX('Locations'!$D$6:$D$453,MATCH(C484,'Locations'!$A$6:$A$453,0))</x:f>
        <x:v>42.7323778498757</x:v>
      </x:c>
      <x:c r="V484" s="66" t="n">
        <x:f>INDEX('Locations'!$E$6:$E$453,MATCH(C484,'Locations'!$A$6:$A$453,0))</x:f>
        <x:v>-73.6681359397947</x:v>
      </x:c>
      <x:c r="W484" s="44"/>
    </x:row>
    <x:row r="485" ht="23" customHeight="1">
      <x:c r="A485" s="24" t="s">
        <x:v>1087</x:v>
      </x:c>
      <x:c r="B485" s="53" t="s">
        <x:v>500</x:v>
      </x:c>
      <x:c r="C485" s="53" t="s">
        <x:v>516</x:v>
      </x:c>
      <x:c r="D485" s="53" t="s">
        <x:v>606</x:v>
      </x:c>
      <x:c r="E485" s="67" t="n">
        <x:f>2*6371000*ASIN(SQRT(MIN(1,SIN(RADIANS(U485-S485)/2)^2+COS(RADIANS(S485))*COS(RADIANS(U485))*SIN(RADIANS(V485-T485)/2)^2)))</x:f>
        <x:v>15.433035349688815</x:v>
      </x:c>
      <x:c r="F485" s="48" t="s">
        <x:v>67</x:v>
      </x:c>
      <x:c r="G485" s="48" t="s">
        <x:v>66</x:v>
      </x:c>
      <x:c r="H485" s="48" t="s">
        <x:v>66</x:v>
      </x:c>
      <x:c r="I485" s="48" t="s">
        <x:v>66</x:v>
      </x:c>
      <x:c r="J485" s="48" t="s">
        <x:v>66</x:v>
      </x:c>
      <x:c r="K485" s="64"/>
      <x:c r="L485" s="64"/>
      <x:c r="M485" s="50"/>
      <x:c r="N485" s="49"/>
      <x:c r="O485" s="50"/>
      <x:c r="P485" s="50"/>
      <x:c r="Q485" s="32">
        <x:v>481</x:v>
      </x:c>
      <x:c r="R485" s="68"/>
      <x:c r="S485" s="54" t="n">
        <x:f>INDEX('Locations'!$D$6:$D$453,MATCH(B485,'Locations'!$A$6:$A$453,0))</x:f>
        <x:v>42.732315776167</x:v>
      </x:c>
      <x:c r="T485" s="54" t="n">
        <x:f>INDEX('Locations'!$E$6:$E$453,MATCH(B485,'Locations'!$A$6:$A$453,0))</x:f>
        <x:v>-73.6686293471826</x:v>
      </x:c>
      <x:c r="U485" s="54" t="n">
        <x:f>INDEX('Locations'!$D$6:$D$453,MATCH(C485,'Locations'!$A$6:$A$453,0))</x:f>
        <x:v>42.732426129427</x:v>
      </x:c>
      <x:c r="V485" s="69" t="n">
        <x:f>INDEX('Locations'!$E$6:$E$453,MATCH(C485,'Locations'!$A$6:$A$453,0))</x:f>
        <x:v>-73.6685147493377</x:v>
      </x:c>
      <x:c r="W485" s="44"/>
    </x:row>
    <x:row r="486" ht="23" customHeight="1">
      <x:c r="A486" s="21" t="s">
        <x:v>1088</x:v>
      </x:c>
      <x:c r="B486" s="45" t="s">
        <x:v>513</x:v>
      </x:c>
      <x:c r="C486" s="45" t="s">
        <x:v>517</x:v>
      </x:c>
      <x:c r="D486" s="45" t="s">
        <x:v>606</x:v>
      </x:c>
      <x:c r="E486" s="63" t="n">
        <x:f>2*6371000*ASIN(SQRT(MIN(1,SIN(RADIANS(U486-S486)/2)^2+COS(RADIANS(S486))*COS(RADIANS(U486))*SIN(RADIANS(V486-T486)/2)^2)))</x:f>
        <x:v>96.49263588952995</x:v>
      </x:c>
      <x:c r="F486" s="48" t="s">
        <x:v>67</x:v>
      </x:c>
      <x:c r="G486" s="48" t="s">
        <x:v>66</x:v>
      </x:c>
      <x:c r="H486" s="48" t="s">
        <x:v>66</x:v>
      </x:c>
      <x:c r="I486" s="48" t="s">
        <x:v>66</x:v>
      </x:c>
      <x:c r="J486" s="48" t="s">
        <x:v>66</x:v>
      </x:c>
      <x:c r="K486" s="64"/>
      <x:c r="L486" s="64"/>
      <x:c r="M486" s="50"/>
      <x:c r="N486" s="49"/>
      <x:c r="O486" s="50"/>
      <x:c r="P486" s="50"/>
      <x:c r="Q486" s="30">
        <x:v>482</x:v>
      </x:c>
      <x:c r="R486" s="65"/>
      <x:c r="S486" s="46" t="n">
        <x:f>INDEX('Locations'!$D$6:$D$453,MATCH(B486,'Locations'!$A$6:$A$453,0))</x:f>
        <x:v>42.7312536260392</x:v>
      </x:c>
      <x:c r="T486" s="46" t="n">
        <x:f>INDEX('Locations'!$E$6:$E$453,MATCH(B486,'Locations'!$A$6:$A$453,0))</x:f>
        <x:v>-73.6680834157824</x:v>
      </x:c>
      <x:c r="U486" s="46" t="n">
        <x:f>INDEX('Locations'!$D$6:$D$453,MATCH(C486,'Locations'!$A$6:$A$453,0))</x:f>
        <x:v>42.7308432498534</x:v>
      </x:c>
      <x:c r="V486" s="66" t="n">
        <x:f>INDEX('Locations'!$E$6:$E$453,MATCH(C486,'Locations'!$A$6:$A$453,0))</x:f>
        <x:v>-73.6670424853576</x:v>
      </x:c>
      <x:c r="W486" s="44"/>
    </x:row>
    <x:row r="487" ht="23" customHeight="1">
      <x:c r="A487" s="24" t="s">
        <x:v>1089</x:v>
      </x:c>
      <x:c r="B487" s="53" t="s">
        <x:v>518</x:v>
      </x:c>
      <x:c r="C487" s="53" t="s">
        <x:v>517</x:v>
      </x:c>
      <x:c r="D487" s="53" t="s">
        <x:v>606</x:v>
      </x:c>
      <x:c r="E487" s="67" t="n">
        <x:f>2*6371000*ASIN(SQRT(MIN(1,SIN(RADIANS(U487-S487)/2)^2+COS(RADIANS(S487))*COS(RADIANS(U487))*SIN(RADIANS(V487-T487)/2)^2)))</x:f>
        <x:v>125.41301511569282</x:v>
      </x:c>
      <x:c r="F487" s="48" t="s">
        <x:v>67</x:v>
      </x:c>
      <x:c r="G487" s="48" t="s">
        <x:v>66</x:v>
      </x:c>
      <x:c r="H487" s="48" t="s">
        <x:v>66</x:v>
      </x:c>
      <x:c r="I487" s="48" t="s">
        <x:v>66</x:v>
      </x:c>
      <x:c r="J487" s="48" t="s">
        <x:v>66</x:v>
      </x:c>
      <x:c r="K487" s="64"/>
      <x:c r="L487" s="64"/>
      <x:c r="M487" s="50"/>
      <x:c r="N487" s="49"/>
      <x:c r="O487" s="50"/>
      <x:c r="P487" s="50"/>
      <x:c r="Q487" s="32">
        <x:v>483</x:v>
      </x:c>
      <x:c r="R487" s="68"/>
      <x:c r="S487" s="54" t="n">
        <x:f>INDEX('Locations'!$D$6:$D$453,MATCH(B487,'Locations'!$A$6:$A$453,0))</x:f>
        <x:v>42.7297650065419</x:v>
      </x:c>
      <x:c r="T487" s="54" t="n">
        <x:f>INDEX('Locations'!$E$6:$E$453,MATCH(B487,'Locations'!$A$6:$A$453,0))</x:f>
        <x:v>-73.6674929185536</x:v>
      </x:c>
      <x:c r="U487" s="54" t="n">
        <x:f>INDEX('Locations'!$D$6:$D$453,MATCH(C487,'Locations'!$A$6:$A$453,0))</x:f>
        <x:v>42.7308432498534</x:v>
      </x:c>
      <x:c r="V487" s="69" t="n">
        <x:f>INDEX('Locations'!$E$6:$E$453,MATCH(C487,'Locations'!$A$6:$A$453,0))</x:f>
        <x:v>-73.6670424853576</x:v>
      </x:c>
      <x:c r="W487" s="44"/>
    </x:row>
    <x:row r="488" ht="23" customHeight="1">
      <x:c r="A488" s="21" t="s">
        <x:v>1090</x:v>
      </x:c>
      <x:c r="B488" s="45" t="s">
        <x:v>519</x:v>
      </x:c>
      <x:c r="C488" s="45" t="s">
        <x:v>518</x:v>
      </x:c>
      <x:c r="D488" s="45" t="s">
        <x:v>606</x:v>
      </x:c>
      <x:c r="E488" s="63" t="n">
        <x:f>2*6371000*ASIN(SQRT(MIN(1,SIN(RADIANS(U488-S488)/2)^2+COS(RADIANS(S488))*COS(RADIANS(U488))*SIN(RADIANS(V488-T488)/2)^2)))</x:f>
        <x:v>96.15431197618547</x:v>
      </x:c>
      <x:c r="F488" s="48" t="s">
        <x:v>67</x:v>
      </x:c>
      <x:c r="G488" s="48" t="s">
        <x:v>66</x:v>
      </x:c>
      <x:c r="H488" s="48" t="s">
        <x:v>66</x:v>
      </x:c>
      <x:c r="I488" s="48" t="s">
        <x:v>66</x:v>
      </x:c>
      <x:c r="J488" s="48" t="s">
        <x:v>66</x:v>
      </x:c>
      <x:c r="K488" s="64"/>
      <x:c r="L488" s="64"/>
      <x:c r="M488" s="50"/>
      <x:c r="N488" s="49"/>
      <x:c r="O488" s="50"/>
      <x:c r="P488" s="50"/>
      <x:c r="Q488" s="30">
        <x:v>484</x:v>
      </x:c>
      <x:c r="R488" s="65"/>
      <x:c r="S488" s="46" t="n">
        <x:f>INDEX('Locations'!$D$6:$D$453,MATCH(B488,'Locations'!$A$6:$A$453,0))</x:f>
        <x:v>42.7290189725236</x:v>
      </x:c>
      <x:c r="T488" s="46" t="n">
        <x:f>INDEX('Locations'!$E$6:$E$453,MATCH(B488,'Locations'!$A$6:$A$453,0))</x:f>
        <x:v>-73.6680881906926</x:v>
      </x:c>
      <x:c r="U488" s="46" t="n">
        <x:f>INDEX('Locations'!$D$6:$D$453,MATCH(C488,'Locations'!$A$6:$A$453,0))</x:f>
        <x:v>42.7297650065419</x:v>
      </x:c>
      <x:c r="V488" s="66" t="n">
        <x:f>INDEX('Locations'!$E$6:$E$453,MATCH(C488,'Locations'!$A$6:$A$453,0))</x:f>
        <x:v>-73.6674929185536</x:v>
      </x:c>
      <x:c r="W488" s="44"/>
    </x:row>
    <x:row r="489" ht="23" customHeight="1">
      <x:c r="A489" s="24" t="s">
        <x:v>1091</x:v>
      </x:c>
      <x:c r="B489" s="53" t="s">
        <x:v>519</x:v>
      </x:c>
      <x:c r="C489" s="53" t="s">
        <x:v>520</x:v>
      </x:c>
      <x:c r="D489" s="53" t="s">
        <x:v>606</x:v>
      </x:c>
      <x:c r="E489" s="67" t="n">
        <x:f>2*6371000*ASIN(SQRT(MIN(1,SIN(RADIANS(U489-S489)/2)^2+COS(RADIANS(S489))*COS(RADIANS(U489))*SIN(RADIANS(V489-T489)/2)^2)))</x:f>
        <x:v>14.82712321389507</x:v>
      </x:c>
      <x:c r="F489" s="48" t="s">
        <x:v>67</x:v>
      </x:c>
      <x:c r="G489" s="48" t="s">
        <x:v>66</x:v>
      </x:c>
      <x:c r="H489" s="48" t="s">
        <x:v>66</x:v>
      </x:c>
      <x:c r="I489" s="48" t="s">
        <x:v>66</x:v>
      </x:c>
      <x:c r="J489" s="48" t="s">
        <x:v>66</x:v>
      </x:c>
      <x:c r="K489" s="64"/>
      <x:c r="L489" s="64"/>
      <x:c r="M489" s="50"/>
      <x:c r="N489" s="49"/>
      <x:c r="O489" s="50"/>
      <x:c r="P489" s="50"/>
      <x:c r="Q489" s="32">
        <x:v>485</x:v>
      </x:c>
      <x:c r="R489" s="68"/>
      <x:c r="S489" s="54" t="n">
        <x:f>INDEX('Locations'!$D$6:$D$453,MATCH(B489,'Locations'!$A$6:$A$453,0))</x:f>
        <x:v>42.7290189725236</x:v>
      </x:c>
      <x:c r="T489" s="54" t="n">
        <x:f>INDEX('Locations'!$E$6:$E$453,MATCH(B489,'Locations'!$A$6:$A$453,0))</x:f>
        <x:v>-73.6680881906926</x:v>
      </x:c>
      <x:c r="U489" s="54" t="n">
        <x:f>INDEX('Locations'!$D$6:$D$453,MATCH(C489,'Locations'!$A$6:$A$453,0))</x:f>
        <x:v>42.728885629001</x:v>
      </x:c>
      <x:c r="V489" s="69" t="n">
        <x:f>INDEX('Locations'!$E$6:$E$453,MATCH(C489,'Locations'!$A$6:$A$453,0))</x:f>
        <x:v>-73.6680881906926</x:v>
      </x:c>
      <x:c r="W489" s="44"/>
    </x:row>
    <x:row r="490" ht="23" customHeight="1">
      <x:c r="A490" s="21" t="s">
        <x:v>1092</x:v>
      </x:c>
      <x:c r="B490" s="45" t="s">
        <x:v>126</x:v>
      </x:c>
      <x:c r="C490" s="45" t="s">
        <x:v>520</x:v>
      </x:c>
      <x:c r="D490" s="45" t="s">
        <x:v>606</x:v>
      </x:c>
      <x:c r="E490" s="63" t="n">
        <x:f>2*6371000*ASIN(SQRT(MIN(1,SIN(RADIANS(U490-S490)/2)^2+COS(RADIANS(S490))*COS(RADIANS(U490))*SIN(RADIANS(V490-T490)/2)^2)))</x:f>
        <x:v>14.21038586514373</x:v>
      </x:c>
      <x:c r="F490" s="48" t="s">
        <x:v>67</x:v>
      </x:c>
      <x:c r="G490" s="48" t="s">
        <x:v>66</x:v>
      </x:c>
      <x:c r="H490" s="48" t="s">
        <x:v>66</x:v>
      </x:c>
      <x:c r="I490" s="48" t="s">
        <x:v>66</x:v>
      </x:c>
      <x:c r="J490" s="48" t="s">
        <x:v>66</x:v>
      </x:c>
      <x:c r="K490" s="64"/>
      <x:c r="L490" s="64"/>
      <x:c r="M490" s="50"/>
      <x:c r="N490" s="49"/>
      <x:c r="O490" s="50"/>
      <x:c r="P490" s="50"/>
      <x:c r="Q490" s="30">
        <x:v>486</x:v>
      </x:c>
      <x:c r="R490" s="65"/>
      <x:c r="S490" s="46" t="n">
        <x:f>INDEX('Locations'!$D$6:$D$453,MATCH(B490,'Locations'!$A$6:$A$453,0))</x:f>
        <x:v>42.7288083242615</x:v>
      </x:c>
      <x:c r="T490" s="46" t="n">
        <x:f>INDEX('Locations'!$E$6:$E$453,MATCH(B490,'Locations'!$A$6:$A$453,0))</x:f>
        <x:v>-73.6679496547526</x:v>
      </x:c>
      <x:c r="U490" s="46" t="n">
        <x:f>INDEX('Locations'!$D$6:$D$453,MATCH(C490,'Locations'!$A$6:$A$453,0))</x:f>
        <x:v>42.728885629001</x:v>
      </x:c>
      <x:c r="V490" s="66" t="n">
        <x:f>INDEX('Locations'!$E$6:$E$453,MATCH(C490,'Locations'!$A$6:$A$453,0))</x:f>
        <x:v>-73.6680881906926</x:v>
      </x:c>
      <x:c r="W490" s="44"/>
    </x:row>
    <x:row r="491" ht="23" customHeight="1">
      <x:c r="A491" s="24" t="s">
        <x:v>1093</x:v>
      </x:c>
      <x:c r="B491" s="53" t="s">
        <x:v>517</x:v>
      </x:c>
      <x:c r="C491" s="53" t="s">
        <x:v>521</x:v>
      </x:c>
      <x:c r="D491" s="53" t="s">
        <x:v>606</x:v>
      </x:c>
      <x:c r="E491" s="67" t="n">
        <x:f>2*6371000*ASIN(SQRT(MIN(1,SIN(RADIANS(U491-S491)/2)^2+COS(RADIANS(S491))*COS(RADIANS(U491))*SIN(RADIANS(V491-T491)/2)^2)))</x:f>
        <x:v>20.45274069278552</x:v>
      </x:c>
      <x:c r="F491" s="48" t="s">
        <x:v>67</x:v>
      </x:c>
      <x:c r="G491" s="48" t="s">
        <x:v>66</x:v>
      </x:c>
      <x:c r="H491" s="48" t="s">
        <x:v>66</x:v>
      </x:c>
      <x:c r="I491" s="48" t="s">
        <x:v>66</x:v>
      </x:c>
      <x:c r="J491" s="48" t="s">
        <x:v>66</x:v>
      </x:c>
      <x:c r="K491" s="64"/>
      <x:c r="L491" s="64"/>
      <x:c r="M491" s="50"/>
      <x:c r="N491" s="49"/>
      <x:c r="O491" s="50"/>
      <x:c r="P491" s="50"/>
      <x:c r="Q491" s="32">
        <x:v>487</x:v>
      </x:c>
      <x:c r="R491" s="68"/>
      <x:c r="S491" s="54" t="n">
        <x:f>INDEX('Locations'!$D$6:$D$453,MATCH(B491,'Locations'!$A$6:$A$453,0))</x:f>
        <x:v>42.7308432498534</x:v>
      </x:c>
      <x:c r="T491" s="54" t="n">
        <x:f>INDEX('Locations'!$E$6:$E$453,MATCH(B491,'Locations'!$A$6:$A$453,0))</x:f>
        <x:v>-73.6670424853576</x:v>
      </x:c>
      <x:c r="U491" s="54" t="n">
        <x:f>INDEX('Locations'!$D$6:$D$453,MATCH(C491,'Locations'!$A$6:$A$453,0))</x:f>
        <x:v>42.7309271643116</x:v>
      </x:c>
      <x:c r="V491" s="69" t="n">
        <x:f>INDEX('Locations'!$E$6:$E$453,MATCH(C491,'Locations'!$A$6:$A$453,0))</x:f>
        <x:v>-73.6668196562146</x:v>
      </x:c>
      <x:c r="W491" s="44"/>
    </x:row>
    <x:row r="492" ht="23" customHeight="1">
      <x:c r="A492" s="21" t="s">
        <x:v>1094</x:v>
      </x:c>
      <x:c r="B492" s="45" t="s">
        <x:v>522</x:v>
      </x:c>
      <x:c r="C492" s="45" t="s">
        <x:v>521</x:v>
      </x:c>
      <x:c r="D492" s="45" t="s">
        <x:v>606</x:v>
      </x:c>
      <x:c r="E492" s="63" t="n">
        <x:f>2*6371000*ASIN(SQRT(MIN(1,SIN(RADIANS(U492-S492)/2)^2+COS(RADIANS(S492))*COS(RADIANS(U492))*SIN(RADIANS(V492-T492)/2)^2)))</x:f>
        <x:v>41.68480299846424</x:v>
      </x:c>
      <x:c r="F492" s="48" t="s">
        <x:v>67</x:v>
      </x:c>
      <x:c r="G492" s="48" t="s">
        <x:v>66</x:v>
      </x:c>
      <x:c r="H492" s="48" t="s">
        <x:v>66</x:v>
      </x:c>
      <x:c r="I492" s="48" t="s">
        <x:v>66</x:v>
      </x:c>
      <x:c r="J492" s="48" t="s">
        <x:v>66</x:v>
      </x:c>
      <x:c r="K492" s="64"/>
      <x:c r="L492" s="64"/>
      <x:c r="M492" s="50"/>
      <x:c r="N492" s="49"/>
      <x:c r="O492" s="50"/>
      <x:c r="P492" s="50"/>
      <x:c r="Q492" s="30">
        <x:v>488</x:v>
      </x:c>
      <x:c r="R492" s="65"/>
      <x:c r="S492" s="46" t="n">
        <x:f>INDEX('Locations'!$D$6:$D$453,MATCH(B492,'Locations'!$A$6:$A$453,0))</x:f>
        <x:v>42.7307363451328</x:v>
      </x:c>
      <x:c r="T492" s="46" t="n">
        <x:f>INDEX('Locations'!$E$6:$E$453,MATCH(B492,'Locations'!$A$6:$A$453,0))</x:f>
        <x:v>-73.6663803644757</x:v>
      </x:c>
      <x:c r="U492" s="46" t="n">
        <x:f>INDEX('Locations'!$D$6:$D$453,MATCH(C492,'Locations'!$A$6:$A$453,0))</x:f>
        <x:v>42.7309271643116</x:v>
      </x:c>
      <x:c r="V492" s="66" t="n">
        <x:f>INDEX('Locations'!$E$6:$E$453,MATCH(C492,'Locations'!$A$6:$A$453,0))</x:f>
        <x:v>-73.6668196562146</x:v>
      </x:c>
      <x:c r="W492" s="44"/>
    </x:row>
    <x:row r="493" ht="23" customHeight="1">
      <x:c r="A493" s="24" t="s">
        <x:v>1095</x:v>
      </x:c>
      <x:c r="B493" s="53" t="s">
        <x:v>523</x:v>
      </x:c>
      <x:c r="C493" s="53" t="s">
        <x:v>522</x:v>
      </x:c>
      <x:c r="D493" s="53" t="s">
        <x:v>606</x:v>
      </x:c>
      <x:c r="E493" s="67" t="n">
        <x:f>2*6371000*ASIN(SQRT(MIN(1,SIN(RADIANS(U493-S493)/2)^2+COS(RADIANS(S493))*COS(RADIANS(U493))*SIN(RADIANS(V493-T493)/2)^2)))</x:f>
        <x:v>23.803777862815867</x:v>
      </x:c>
      <x:c r="F493" s="48" t="s">
        <x:v>67</x:v>
      </x:c>
      <x:c r="G493" s="48" t="s">
        <x:v>66</x:v>
      </x:c>
      <x:c r="H493" s="48" t="s">
        <x:v>66</x:v>
      </x:c>
      <x:c r="I493" s="48" t="s">
        <x:v>66</x:v>
      </x:c>
      <x:c r="J493" s="48" t="s">
        <x:v>66</x:v>
      </x:c>
      <x:c r="K493" s="64"/>
      <x:c r="L493" s="64"/>
      <x:c r="M493" s="50"/>
      <x:c r="N493" s="49"/>
      <x:c r="O493" s="50"/>
      <x:c r="P493" s="50"/>
      <x:c r="Q493" s="32">
        <x:v>489</x:v>
      </x:c>
      <x:c r="R493" s="68"/>
      <x:c r="S493" s="54" t="n">
        <x:f>INDEX('Locations'!$D$6:$D$453,MATCH(B493,'Locations'!$A$6:$A$453,0))</x:f>
        <x:v>42.7305236852046</x:v>
      </x:c>
      <x:c r="T493" s="54" t="n">
        <x:f>INDEX('Locations'!$E$6:$E$453,MATCH(B493,'Locations'!$A$6:$A$453,0))</x:f>
        <x:v>-73.6664137888472</x:v>
      </x:c>
      <x:c r="U493" s="54" t="n">
        <x:f>INDEX('Locations'!$D$6:$D$453,MATCH(C493,'Locations'!$A$6:$A$453,0))</x:f>
        <x:v>42.7307363451328</x:v>
      </x:c>
      <x:c r="V493" s="69" t="n">
        <x:f>INDEX('Locations'!$E$6:$E$453,MATCH(C493,'Locations'!$A$6:$A$453,0))</x:f>
        <x:v>-73.6663803644757</x:v>
      </x:c>
      <x:c r="W493" s="44"/>
    </x:row>
    <x:row r="494" ht="23" customHeight="1">
      <x:c r="A494" s="21" t="s">
        <x:v>1096</x:v>
      </x:c>
      <x:c r="B494" s="45" t="s">
        <x:v>521</x:v>
      </x:c>
      <x:c r="C494" s="45" t="s">
        <x:v>524</x:v>
      </x:c>
      <x:c r="D494" s="45" t="s">
        <x:v>606</x:v>
      </x:c>
      <x:c r="E494" s="63" t="n">
        <x:f>2*6371000*ASIN(SQRT(MIN(1,SIN(RADIANS(U494-S494)/2)^2+COS(RADIANS(S494))*COS(RADIANS(U494))*SIN(RADIANS(V494-T494)/2)^2)))</x:f>
        <x:v>68.07784243590962</x:v>
      </x:c>
      <x:c r="F494" s="48" t="s">
        <x:v>67</x:v>
      </x:c>
      <x:c r="G494" s="48" t="s">
        <x:v>66</x:v>
      </x:c>
      <x:c r="H494" s="48" t="s">
        <x:v>66</x:v>
      </x:c>
      <x:c r="I494" s="48" t="s">
        <x:v>66</x:v>
      </x:c>
      <x:c r="J494" s="48" t="s">
        <x:v>66</x:v>
      </x:c>
      <x:c r="K494" s="64"/>
      <x:c r="L494" s="64"/>
      <x:c r="M494" s="50"/>
      <x:c r="N494" s="49"/>
      <x:c r="O494" s="50"/>
      <x:c r="P494" s="50"/>
      <x:c r="Q494" s="30">
        <x:v>490</x:v>
      </x:c>
      <x:c r="R494" s="65"/>
      <x:c r="S494" s="46" t="n">
        <x:f>INDEX('Locations'!$D$6:$D$453,MATCH(B494,'Locations'!$A$6:$A$453,0))</x:f>
        <x:v>42.7309271643116</x:v>
      </x:c>
      <x:c r="T494" s="46" t="n">
        <x:f>INDEX('Locations'!$E$6:$E$453,MATCH(B494,'Locations'!$A$6:$A$453,0))</x:f>
        <x:v>-73.6668196562146</x:v>
      </x:c>
      <x:c r="U494" s="46" t="n">
        <x:f>INDEX('Locations'!$D$6:$D$453,MATCH(C494,'Locations'!$A$6:$A$453,0))</x:f>
        <x:v>42.7314180064161</x:v>
      </x:c>
      <x:c r="V494" s="66" t="n">
        <x:f>INDEX('Locations'!$E$6:$E$453,MATCH(C494,'Locations'!$A$6:$A$453,0))</x:f>
        <x:v>-73.6663214739165</x:v>
      </x:c>
      <x:c r="W494" s="44"/>
    </x:row>
    <x:row r="495" ht="23" customHeight="1">
      <x:c r="A495" s="24" t="s">
        <x:v>1097</x:v>
      </x:c>
      <x:c r="B495" s="53" t="s">
        <x:v>504</x:v>
      </x:c>
      <x:c r="C495" s="53" t="s">
        <x:v>526</x:v>
      </x:c>
      <x:c r="D495" s="53" t="s">
        <x:v>606</x:v>
      </x:c>
      <x:c r="E495" s="67" t="n">
        <x:f>2*6371000*ASIN(SQRT(MIN(1,SIN(RADIANS(U495-S495)/2)^2+COS(RADIANS(S495))*COS(RADIANS(U495))*SIN(RADIANS(V495-T495)/2)^2)))</x:f>
        <x:v>35.09062090387115</x:v>
      </x:c>
      <x:c r="F495" s="48" t="s">
        <x:v>67</x:v>
      </x:c>
      <x:c r="G495" s="48" t="s">
        <x:v>66</x:v>
      </x:c>
      <x:c r="H495" s="48" t="s">
        <x:v>66</x:v>
      </x:c>
      <x:c r="I495" s="48" t="s">
        <x:v>66</x:v>
      </x:c>
      <x:c r="J495" s="48" t="s">
        <x:v>66</x:v>
      </x:c>
      <x:c r="K495" s="64"/>
      <x:c r="L495" s="64"/>
      <x:c r="M495" s="50"/>
      <x:c r="N495" s="49"/>
      <x:c r="O495" s="50"/>
      <x:c r="P495" s="50"/>
      <x:c r="Q495" s="32">
        <x:v>491</x:v>
      </x:c>
      <x:c r="R495" s="68"/>
      <x:c r="S495" s="54" t="n">
        <x:f>INDEX('Locations'!$D$6:$D$453,MATCH(B495,'Locations'!$A$6:$A$453,0))</x:f>
        <x:v>42.731490425743</x:v>
      </x:c>
      <x:c r="T495" s="54" t="n">
        <x:f>INDEX('Locations'!$E$6:$E$453,MATCH(B495,'Locations'!$A$6:$A$453,0))</x:f>
        <x:v>-73.6686707297378</x:v>
      </x:c>
      <x:c r="U495" s="54" t="n">
        <x:f>INDEX('Locations'!$D$6:$D$453,MATCH(C495,'Locations'!$A$6:$A$453,0))</x:f>
        <x:v>42.7313605307598</x:v>
      </x:c>
      <x:c r="V495" s="69" t="n">
        <x:f>INDEX('Locations'!$E$6:$E$453,MATCH(C495,'Locations'!$A$6:$A$453,0))</x:f>
        <x:v>-73.6682791871009</x:v>
      </x:c>
      <x:c r="W495" s="44"/>
    </x:row>
    <x:row r="496" ht="23" customHeight="1">
      <x:c r="A496" s="21" t="s">
        <x:v>1098</x:v>
      </x:c>
      <x:c r="B496" s="45" t="s">
        <x:v>513</x:v>
      </x:c>
      <x:c r="C496" s="45" t="s">
        <x:v>526</x:v>
      </x:c>
      <x:c r="D496" s="45" t="s">
        <x:v>606</x:v>
      </x:c>
      <x:c r="E496" s="63" t="n">
        <x:f>2*6371000*ASIN(SQRT(MIN(1,SIN(RADIANS(U496-S496)/2)^2+COS(RADIANS(S496))*COS(RADIANS(U496))*SIN(RADIANS(V496-T496)/2)^2)))</x:f>
        <x:v>19.92463438299956</x:v>
      </x:c>
      <x:c r="F496" s="48" t="s">
        <x:v>67</x:v>
      </x:c>
      <x:c r="G496" s="48" t="s">
        <x:v>66</x:v>
      </x:c>
      <x:c r="H496" s="48" t="s">
        <x:v>66</x:v>
      </x:c>
      <x:c r="I496" s="48" t="s">
        <x:v>66</x:v>
      </x:c>
      <x:c r="J496" s="48" t="s">
        <x:v>66</x:v>
      </x:c>
      <x:c r="K496" s="64"/>
      <x:c r="L496" s="64"/>
      <x:c r="M496" s="50"/>
      <x:c r="N496" s="49"/>
      <x:c r="O496" s="50"/>
      <x:c r="P496" s="50"/>
      <x:c r="Q496" s="30">
        <x:v>492</x:v>
      </x:c>
      <x:c r="R496" s="65"/>
      <x:c r="S496" s="46" t="n">
        <x:f>INDEX('Locations'!$D$6:$D$453,MATCH(B496,'Locations'!$A$6:$A$453,0))</x:f>
        <x:v>42.7312536260392</x:v>
      </x:c>
      <x:c r="T496" s="46" t="n">
        <x:f>INDEX('Locations'!$E$6:$E$453,MATCH(B496,'Locations'!$A$6:$A$453,0))</x:f>
        <x:v>-73.6680834157824</x:v>
      </x:c>
      <x:c r="U496" s="46" t="n">
        <x:f>INDEX('Locations'!$D$6:$D$453,MATCH(C496,'Locations'!$A$6:$A$453,0))</x:f>
        <x:v>42.7313605307598</x:v>
      </x:c>
      <x:c r="V496" s="66" t="n">
        <x:f>INDEX('Locations'!$E$6:$E$453,MATCH(C496,'Locations'!$A$6:$A$453,0))</x:f>
        <x:v>-73.6682791871009</x:v>
      </x:c>
      <x:c r="W496" s="44"/>
    </x:row>
    <x:row r="497" ht="23" customHeight="1">
      <x:c r="A497" s="24" t="s">
        <x:v>1099</x:v>
      </x:c>
      <x:c r="B497" s="53" t="s">
        <x:v>521</x:v>
      </x:c>
      <x:c r="C497" s="53" t="s">
        <x:v>529</x:v>
      </x:c>
      <x:c r="D497" s="53" t="s">
        <x:v>606</x:v>
      </x:c>
      <x:c r="E497" s="67" t="n">
        <x:f>2*6371000*ASIN(SQRT(MIN(1,SIN(RADIANS(U497-S497)/2)^2+COS(RADIANS(S497))*COS(RADIANS(U497))*SIN(RADIANS(V497-T497)/2)^2)))</x:f>
        <x:v>44.027445324080595</x:v>
      </x:c>
      <x:c r="F497" s="48" t="s">
        <x:v>67</x:v>
      </x:c>
      <x:c r="G497" s="48" t="s">
        <x:v>66</x:v>
      </x:c>
      <x:c r="H497" s="48" t="s">
        <x:v>66</x:v>
      </x:c>
      <x:c r="I497" s="48" t="s">
        <x:v>66</x:v>
      </x:c>
      <x:c r="J497" s="48" t="s">
        <x:v>66</x:v>
      </x:c>
      <x:c r="K497" s="64"/>
      <x:c r="L497" s="64"/>
      <x:c r="M497" s="50"/>
      <x:c r="N497" s="49"/>
      <x:c r="O497" s="50"/>
      <x:c r="P497" s="50"/>
      <x:c r="Q497" s="32">
        <x:v>493</x:v>
      </x:c>
      <x:c r="R497" s="68"/>
      <x:c r="S497" s="54" t="n">
        <x:f>INDEX('Locations'!$D$6:$D$453,MATCH(B497,'Locations'!$A$6:$A$453,0))</x:f>
        <x:v>42.7309271643116</x:v>
      </x:c>
      <x:c r="T497" s="54" t="n">
        <x:f>INDEX('Locations'!$E$6:$E$453,MATCH(B497,'Locations'!$A$6:$A$453,0))</x:f>
        <x:v>-73.6668196562146</x:v>
      </x:c>
      <x:c r="U497" s="54" t="n">
        <x:f>INDEX('Locations'!$D$6:$D$453,MATCH(C497,'Locations'!$A$6:$A$453,0))</x:f>
        <x:v>42.7313168492611</x:v>
      </x:c>
      <x:c r="V497" s="69" t="n">
        <x:f>INDEX('Locations'!$E$6:$E$453,MATCH(C497,'Locations'!$A$6:$A$453,0))</x:f>
        <x:v>-73.6669151544188</x:v>
      </x:c>
      <x:c r="W497" s="44"/>
    </x:row>
    <x:row r="498" ht="23" customHeight="1">
      <x:c r="A498" s="21" t="s">
        <x:v>1100</x:v>
      </x:c>
      <x:c r="B498" s="45" t="s">
        <x:v>527</x:v>
      </x:c>
      <x:c r="C498" s="45" t="s">
        <x:v>528</x:v>
      </x:c>
      <x:c r="D498" s="45" t="s">
        <x:v>606</x:v>
      </x:c>
      <x:c r="E498" s="63" t="n">
        <x:f>2*6371000*ASIN(SQRT(MIN(1,SIN(RADIANS(U498-S498)/2)^2+COS(RADIANS(S498))*COS(RADIANS(U498))*SIN(RADIANS(V498-T498)/2)^2)))</x:f>
        <x:v>70.5892574575407</x:v>
      </x:c>
      <x:c r="F498" s="48" t="s">
        <x:v>67</x:v>
      </x:c>
      <x:c r="G498" s="48" t="s">
        <x:v>66</x:v>
      </x:c>
      <x:c r="H498" s="48" t="s">
        <x:v>66</x:v>
      </x:c>
      <x:c r="I498" s="48" t="s">
        <x:v>66</x:v>
      </x:c>
      <x:c r="J498" s="48" t="s">
        <x:v>66</x:v>
      </x:c>
      <x:c r="K498" s="64"/>
      <x:c r="L498" s="64"/>
      <x:c r="M498" s="50"/>
      <x:c r="N498" s="49"/>
      <x:c r="O498" s="50"/>
      <x:c r="P498" s="50"/>
      <x:c r="Q498" s="30">
        <x:v>494</x:v>
      </x:c>
      <x:c r="R498" s="65"/>
      <x:c r="S498" s="46" t="n">
        <x:f>INDEX('Locations'!$D$6:$D$453,MATCH(B498,'Locations'!$A$6:$A$453,0))</x:f>
        <x:v>42.7313030551036</x:v>
      </x:c>
      <x:c r="T498" s="46" t="n">
        <x:f>INDEX('Locations'!$E$6:$E$453,MATCH(B498,'Locations'!$A$6:$A$453,0))</x:f>
        <x:v>-73.6678160208109</x:v>
      </x:c>
      <x:c r="U498" s="46" t="n">
        <x:f>INDEX('Locations'!$D$6:$D$453,MATCH(C498,'Locations'!$A$6:$A$453,0))</x:f>
        <x:v>42.7318053923393</x:v>
      </x:c>
      <x:c r="V498" s="66" t="n">
        <x:f>INDEX('Locations'!$E$6:$E$453,MATCH(C498,'Locations'!$A$6:$A$453,0))</x:f>
        <x:v>-73.6672875974148</x:v>
      </x:c>
      <x:c r="W498" s="44"/>
    </x:row>
    <x:row r="499" ht="23" customHeight="1">
      <x:c r="A499" s="24" t="s">
        <x:v>1101</x:v>
      </x:c>
      <x:c r="B499" s="53" t="s">
        <x:v>513</x:v>
      </x:c>
      <x:c r="C499" s="53" t="s">
        <x:v>527</x:v>
      </x:c>
      <x:c r="D499" s="53" t="s">
        <x:v>606</x:v>
      </x:c>
      <x:c r="E499" s="67" t="n">
        <x:f>2*6371000*ASIN(SQRT(MIN(1,SIN(RADIANS(U499-S499)/2)^2+COS(RADIANS(S499))*COS(RADIANS(U499))*SIN(RADIANS(V499-T499)/2)^2)))</x:f>
        <x:v>22.521151980289865</x:v>
      </x:c>
      <x:c r="F499" s="48" t="s">
        <x:v>67</x:v>
      </x:c>
      <x:c r="G499" s="48" t="s">
        <x:v>66</x:v>
      </x:c>
      <x:c r="H499" s="48" t="s">
        <x:v>66</x:v>
      </x:c>
      <x:c r="I499" s="48" t="s">
        <x:v>66</x:v>
      </x:c>
      <x:c r="J499" s="48" t="s">
        <x:v>66</x:v>
      </x:c>
      <x:c r="K499" s="64"/>
      <x:c r="L499" s="64"/>
      <x:c r="M499" s="50"/>
      <x:c r="N499" s="49"/>
      <x:c r="O499" s="50"/>
      <x:c r="P499" s="50"/>
      <x:c r="Q499" s="32">
        <x:v>495</x:v>
      </x:c>
      <x:c r="R499" s="68"/>
      <x:c r="S499" s="54" t="n">
        <x:f>INDEX('Locations'!$D$6:$D$453,MATCH(B499,'Locations'!$A$6:$A$453,0))</x:f>
        <x:v>42.7312536260392</x:v>
      </x:c>
      <x:c r="T499" s="54" t="n">
        <x:f>INDEX('Locations'!$E$6:$E$453,MATCH(B499,'Locations'!$A$6:$A$453,0))</x:f>
        <x:v>-73.6680834157824</x:v>
      </x:c>
      <x:c r="U499" s="54" t="n">
        <x:f>INDEX('Locations'!$D$6:$D$453,MATCH(C499,'Locations'!$A$6:$A$453,0))</x:f>
        <x:v>42.7313030551036</x:v>
      </x:c>
      <x:c r="V499" s="69" t="n">
        <x:f>INDEX('Locations'!$E$6:$E$453,MATCH(C499,'Locations'!$A$6:$A$453,0))</x:f>
        <x:v>-73.6678160208109</x:v>
      </x:c>
      <x:c r="W499" s="44"/>
    </x:row>
    <x:row r="500" ht="23" customHeight="1">
      <x:c r="A500" s="21" t="s">
        <x:v>1102</x:v>
      </x:c>
      <x:c r="B500" s="45" t="s">
        <x:v>525</x:v>
      </x:c>
      <x:c r="C500" s="45" t="s">
        <x:v>528</x:v>
      </x:c>
      <x:c r="D500" s="45" t="s">
        <x:v>606</x:v>
      </x:c>
      <x:c r="E500" s="63" t="n">
        <x:f>2*6371000*ASIN(SQRT(MIN(1,SIN(RADIANS(U500-S500)/2)^2+COS(RADIANS(S500))*COS(RADIANS(U500))*SIN(RADIANS(V500-T500)/2)^2)))</x:f>
        <x:v>42.727812868491576</x:v>
      </x:c>
      <x:c r="F500" s="48" t="s">
        <x:v>67</x:v>
      </x:c>
      <x:c r="G500" s="48" t="s">
        <x:v>66</x:v>
      </x:c>
      <x:c r="H500" s="48" t="s">
        <x:v>66</x:v>
      </x:c>
      <x:c r="I500" s="48" t="s">
        <x:v>66</x:v>
      </x:c>
      <x:c r="J500" s="48" t="s">
        <x:v>66</x:v>
      </x:c>
      <x:c r="K500" s="64"/>
      <x:c r="L500" s="64"/>
      <x:c r="M500" s="50"/>
      <x:c r="N500" s="49"/>
      <x:c r="O500" s="50"/>
      <x:c r="P500" s="50"/>
      <x:c r="Q500" s="30">
        <x:v>496</x:v>
      </x:c>
      <x:c r="R500" s="65"/>
      <x:c r="S500" s="46" t="n">
        <x:f>INDEX('Locations'!$D$6:$D$453,MATCH(B500,'Locations'!$A$6:$A$453,0))</x:f>
        <x:v>42.7320008095706</x:v>
      </x:c>
      <x:c r="T500" s="46" t="n">
        <x:f>INDEX('Locations'!$E$6:$E$453,MATCH(B500,'Locations'!$A$6:$A$453,0))</x:f>
        <x:v>-73.6677380306109</x:v>
      </x:c>
      <x:c r="U500" s="46" t="n">
        <x:f>INDEX('Locations'!$D$6:$D$453,MATCH(C500,'Locations'!$A$6:$A$453,0))</x:f>
        <x:v>42.7318053923393</x:v>
      </x:c>
      <x:c r="V500" s="66" t="n">
        <x:f>INDEX('Locations'!$E$6:$E$453,MATCH(C500,'Locations'!$A$6:$A$453,0))</x:f>
        <x:v>-73.6672875974148</x:v>
      </x:c>
      <x:c r="W500" s="44"/>
    </x:row>
    <x:row r="501" ht="23" customHeight="1">
      <x:c r="A501" s="24" t="s">
        <x:v>1103</x:v>
      </x:c>
      <x:c r="B501" s="53" t="s">
        <x:v>525</x:v>
      </x:c>
      <x:c r="C501" s="53" t="s">
        <x:v>526</x:v>
      </x:c>
      <x:c r="D501" s="53" t="s">
        <x:v>606</x:v>
      </x:c>
      <x:c r="E501" s="67" t="n">
        <x:f>2*6371000*ASIN(SQRT(MIN(1,SIN(RADIANS(U501-S501)/2)^2+COS(RADIANS(S501))*COS(RADIANS(U501))*SIN(RADIANS(V501-T501)/2)^2)))</x:f>
        <x:v>83.80025170550842</x:v>
      </x:c>
      <x:c r="F501" s="48" t="s">
        <x:v>67</x:v>
      </x:c>
      <x:c r="G501" s="48" t="s">
        <x:v>66</x:v>
      </x:c>
      <x:c r="H501" s="48" t="s">
        <x:v>66</x:v>
      </x:c>
      <x:c r="I501" s="48" t="s">
        <x:v>66</x:v>
      </x:c>
      <x:c r="J501" s="48" t="s">
        <x:v>66</x:v>
      </x:c>
      <x:c r="K501" s="64"/>
      <x:c r="L501" s="64"/>
      <x:c r="M501" s="50"/>
      <x:c r="N501" s="49"/>
      <x:c r="O501" s="50"/>
      <x:c r="P501" s="50"/>
      <x:c r="Q501" s="32">
        <x:v>497</x:v>
      </x:c>
      <x:c r="R501" s="68"/>
      <x:c r="S501" s="54" t="n">
        <x:f>INDEX('Locations'!$D$6:$D$453,MATCH(B501,'Locations'!$A$6:$A$453,0))</x:f>
        <x:v>42.7320008095706</x:v>
      </x:c>
      <x:c r="T501" s="54" t="n">
        <x:f>INDEX('Locations'!$E$6:$E$453,MATCH(B501,'Locations'!$A$6:$A$453,0))</x:f>
        <x:v>-73.6677380306109</x:v>
      </x:c>
      <x:c r="U501" s="54" t="n">
        <x:f>INDEX('Locations'!$D$6:$D$453,MATCH(C501,'Locations'!$A$6:$A$453,0))</x:f>
        <x:v>42.7313605307598</x:v>
      </x:c>
      <x:c r="V501" s="69" t="n">
        <x:f>INDEX('Locations'!$E$6:$E$453,MATCH(C501,'Locations'!$A$6:$A$453,0))</x:f>
        <x:v>-73.6682791871009</x:v>
      </x:c>
      <x:c r="W501" s="44"/>
    </x:row>
    <x:row r="502" ht="23" customHeight="1">
      <x:c r="A502" s="21" t="s">
        <x:v>1104</x:v>
      </x:c>
      <x:c r="B502" s="45" t="s">
        <x:v>530</x:v>
      </x:c>
      <x:c r="C502" s="45" t="s">
        <x:v>515</x:v>
      </x:c>
      <x:c r="D502" s="45" t="s">
        <x:v>606</x:v>
      </x:c>
      <x:c r="E502" s="63" t="n">
        <x:f>2*6371000*ASIN(SQRT(MIN(1,SIN(RADIANS(U502-S502)/2)^2+COS(RADIANS(S502))*COS(RADIANS(U502))*SIN(RADIANS(V502-T502)/2)^2)))</x:f>
        <x:v>166.0453100260725</x:v>
      </x:c>
      <x:c r="F502" s="48" t="s">
        <x:v>67</x:v>
      </x:c>
      <x:c r="G502" s="48" t="s">
        <x:v>66</x:v>
      </x:c>
      <x:c r="H502" s="48" t="s">
        <x:v>66</x:v>
      </x:c>
      <x:c r="I502" s="48" t="s">
        <x:v>66</x:v>
      </x:c>
      <x:c r="J502" s="48" t="s">
        <x:v>66</x:v>
      </x:c>
      <x:c r="K502" s="64"/>
      <x:c r="L502" s="64"/>
      <x:c r="M502" s="50"/>
      <x:c r="N502" s="49"/>
      <x:c r="O502" s="50"/>
      <x:c r="P502" s="50"/>
      <x:c r="Q502" s="30">
        <x:v>498</x:v>
      </x:c>
      <x:c r="R502" s="65"/>
      <x:c r="S502" s="46" t="n">
        <x:f>INDEX('Locations'!$D$6:$D$453,MATCH(B502,'Locations'!$A$6:$A$453,0))</x:f>
        <x:v>42.7338342830055</x:v>
      </x:c>
      <x:c r="T502" s="46" t="n">
        <x:f>INDEX('Locations'!$E$6:$E$453,MATCH(B502,'Locations'!$A$6:$A$453,0))</x:f>
        <x:v>-73.6676870982354</x:v>
      </x:c>
      <x:c r="U502" s="46" t="n">
        <x:f>INDEX('Locations'!$D$6:$D$453,MATCH(C502,'Locations'!$A$6:$A$453,0))</x:f>
        <x:v>42.7323778498757</x:v>
      </x:c>
      <x:c r="V502" s="66" t="n">
        <x:f>INDEX('Locations'!$E$6:$E$453,MATCH(C502,'Locations'!$A$6:$A$453,0))</x:f>
        <x:v>-73.6681359397947</x:v>
      </x:c>
      <x:c r="W502" s="44"/>
    </x:row>
    <x:row r="503" ht="23" customHeight="1">
      <x:c r="A503" s="24" t="s">
        <x:v>1105</x:v>
      </x:c>
      <x:c r="B503" s="53" t="s">
        <x:v>531</x:v>
      </x:c>
      <x:c r="C503" s="53" t="s">
        <x:v>534</x:v>
      </x:c>
      <x:c r="D503" s="53" t="s">
        <x:v>606</x:v>
      </x:c>
      <x:c r="E503" s="67" t="n">
        <x:f>2*6371000*ASIN(SQRT(MIN(1,SIN(RADIANS(U503-S503)/2)^2+COS(RADIANS(S503))*COS(RADIANS(U503))*SIN(RADIANS(V503-T503)/2)^2)))</x:f>
        <x:v>86.47399857686997</x:v>
      </x:c>
      <x:c r="F503" s="48" t="s">
        <x:v>67</x:v>
      </x:c>
      <x:c r="G503" s="48" t="s">
        <x:v>66</x:v>
      </x:c>
      <x:c r="H503" s="48" t="s">
        <x:v>66</x:v>
      </x:c>
      <x:c r="I503" s="48" t="s">
        <x:v>66</x:v>
      </x:c>
      <x:c r="J503" s="48" t="s">
        <x:v>66</x:v>
      </x:c>
      <x:c r="K503" s="64"/>
      <x:c r="L503" s="64"/>
      <x:c r="M503" s="50"/>
      <x:c r="N503" s="49"/>
      <x:c r="O503" s="50"/>
      <x:c r="P503" s="50"/>
      <x:c r="Q503" s="32">
        <x:v>499</x:v>
      </x:c>
      <x:c r="R503" s="68"/>
      <x:c r="S503" s="54" t="n">
        <x:f>INDEX('Locations'!$D$6:$D$453,MATCH(B503,'Locations'!$A$6:$A$453,0))</x:f>
        <x:v>42.7337515180605</x:v>
      </x:c>
      <x:c r="T503" s="54" t="n">
        <x:f>INDEX('Locations'!$E$6:$E$453,MATCH(B503,'Locations'!$A$6:$A$453,0))</x:f>
        <x:v>-73.6671968741209</x:v>
      </x:c>
      <x:c r="U503" s="54" t="n">
        <x:f>INDEX('Locations'!$D$6:$D$453,MATCH(C503,'Locations'!$A$6:$A$453,0))</x:f>
        <x:v>42.7336032308673</x:v>
      </x:c>
      <x:c r="V503" s="69" t="n">
        <x:f>INDEX('Locations'!$E$6:$E$453,MATCH(C503,'Locations'!$A$6:$A$453,0))</x:f>
        <x:v>-73.6661575353328</x:v>
      </x:c>
      <x:c r="W503" s="44"/>
    </x:row>
    <x:row r="504" ht="23" customHeight="1">
      <x:c r="A504" s="21" t="s">
        <x:v>1106</x:v>
      </x:c>
      <x:c r="B504" s="45" t="s">
        <x:v>530</x:v>
      </x:c>
      <x:c r="C504" s="45" t="s">
        <x:v>531</x:v>
      </x:c>
      <x:c r="D504" s="45" t="s">
        <x:v>606</x:v>
      </x:c>
      <x:c r="E504" s="63" t="n">
        <x:f>2*6371000*ASIN(SQRT(MIN(1,SIN(RADIANS(U504-S504)/2)^2+COS(RADIANS(S504))*COS(RADIANS(U504))*SIN(RADIANS(V504-T504)/2)^2)))</x:f>
        <x:v>41.0827676659147</x:v>
      </x:c>
      <x:c r="F504" s="48" t="s">
        <x:v>67</x:v>
      </x:c>
      <x:c r="G504" s="48" t="s">
        <x:v>66</x:v>
      </x:c>
      <x:c r="H504" s="48" t="s">
        <x:v>66</x:v>
      </x:c>
      <x:c r="I504" s="48" t="s">
        <x:v>66</x:v>
      </x:c>
      <x:c r="J504" s="48" t="s">
        <x:v>66</x:v>
      </x:c>
      <x:c r="K504" s="64"/>
      <x:c r="L504" s="64"/>
      <x:c r="M504" s="50"/>
      <x:c r="N504" s="49"/>
      <x:c r="O504" s="50"/>
      <x:c r="P504" s="50"/>
      <x:c r="Q504" s="30">
        <x:v>500</x:v>
      </x:c>
      <x:c r="R504" s="65"/>
      <x:c r="S504" s="46" t="n">
        <x:f>INDEX('Locations'!$D$6:$D$453,MATCH(B504,'Locations'!$A$6:$A$453,0))</x:f>
        <x:v>42.7338342830055</x:v>
      </x:c>
      <x:c r="T504" s="46" t="n">
        <x:f>INDEX('Locations'!$E$6:$E$453,MATCH(B504,'Locations'!$A$6:$A$453,0))</x:f>
        <x:v>-73.6676870982354</x:v>
      </x:c>
      <x:c r="U504" s="46" t="n">
        <x:f>INDEX('Locations'!$D$6:$D$453,MATCH(C504,'Locations'!$A$6:$A$453,0))</x:f>
        <x:v>42.7337515180605</x:v>
      </x:c>
      <x:c r="V504" s="66" t="n">
        <x:f>INDEX('Locations'!$E$6:$E$453,MATCH(C504,'Locations'!$A$6:$A$453,0))</x:f>
        <x:v>-73.6671968741209</x:v>
      </x:c>
      <x:c r="W504" s="44"/>
    </x:row>
    <x:row r="505" ht="23" customHeight="1">
      <x:c r="A505" s="24" t="s">
        <x:v>1107</x:v>
      </x:c>
      <x:c r="B505" s="53" t="s">
        <x:v>534</x:v>
      </x:c>
      <x:c r="C505" s="53" t="s">
        <x:v>533</x:v>
      </x:c>
      <x:c r="D505" s="53" t="s">
        <x:v>606</x:v>
      </x:c>
      <x:c r="E505" s="67" t="n">
        <x:f>2*6371000*ASIN(SQRT(MIN(1,SIN(RADIANS(U505-S505)/2)^2+COS(RADIANS(S505))*COS(RADIANS(U505))*SIN(RADIANS(V505-T505)/2)^2)))</x:f>
        <x:v>123.35007521168109</x:v>
      </x:c>
      <x:c r="F505" s="48" t="s">
        <x:v>67</x:v>
      </x:c>
      <x:c r="G505" s="48" t="s">
        <x:v>66</x:v>
      </x:c>
      <x:c r="H505" s="48" t="s">
        <x:v>66</x:v>
      </x:c>
      <x:c r="I505" s="48" t="s">
        <x:v>66</x:v>
      </x:c>
      <x:c r="J505" s="48" t="s">
        <x:v>66</x:v>
      </x:c>
      <x:c r="K505" s="64"/>
      <x:c r="L505" s="64"/>
      <x:c r="M505" s="50"/>
      <x:c r="N505" s="49"/>
      <x:c r="O505" s="50"/>
      <x:c r="P505" s="50"/>
      <x:c r="Q505" s="32">
        <x:v>501</x:v>
      </x:c>
      <x:c r="R505" s="68"/>
      <x:c r="S505" s="54" t="n">
        <x:f>INDEX('Locations'!$D$6:$D$453,MATCH(B505,'Locations'!$A$6:$A$453,0))</x:f>
        <x:v>42.7336032308673</x:v>
      </x:c>
      <x:c r="T505" s="54" t="n">
        <x:f>INDEX('Locations'!$E$6:$E$453,MATCH(B505,'Locations'!$A$6:$A$453,0))</x:f>
        <x:v>-73.6661575353328</x:v>
      </x:c>
      <x:c r="U505" s="54" t="n">
        <x:f>INDEX('Locations'!$D$6:$D$453,MATCH(C505,'Locations'!$A$6:$A$453,0))</x:f>
        <x:v>42.7325249875558</x:v>
      </x:c>
      <x:c r="V505" s="69" t="n">
        <x:f>INDEX('Locations'!$E$6:$E$453,MATCH(C505,'Locations'!$A$6:$A$453,0))</x:f>
        <x:v>-73.6665124703247</x:v>
      </x:c>
      <x:c r="W505" s="44"/>
    </x:row>
    <x:row r="506" ht="23" customHeight="1">
      <x:c r="A506" s="21" t="s">
        <x:v>1108</x:v>
      </x:c>
      <x:c r="B506" s="45" t="s">
        <x:v>532</x:v>
      </x:c>
      <x:c r="C506" s="45" t="s">
        <x:v>533</x:v>
      </x:c>
      <x:c r="D506" s="45" t="s">
        <x:v>606</x:v>
      </x:c>
      <x:c r="E506" s="63" t="n">
        <x:f>2*6371000*ASIN(SQRT(MIN(1,SIN(RADIANS(U506-S506)/2)^2+COS(RADIANS(S506))*COS(RADIANS(U506))*SIN(RADIANS(V506-T506)/2)^2)))</x:f>
        <x:v>79.05288382887628</x:v>
      </x:c>
      <x:c r="F506" s="48" t="s">
        <x:v>67</x:v>
      </x:c>
      <x:c r="G506" s="48" t="s">
        <x:v>66</x:v>
      </x:c>
      <x:c r="H506" s="48" t="s">
        <x:v>66</x:v>
      </x:c>
      <x:c r="I506" s="48" t="s">
        <x:v>66</x:v>
      </x:c>
      <x:c r="J506" s="48" t="s">
        <x:v>66</x:v>
      </x:c>
      <x:c r="K506" s="64"/>
      <x:c r="L506" s="64"/>
      <x:c r="M506" s="50"/>
      <x:c r="N506" s="49"/>
      <x:c r="O506" s="50"/>
      <x:c r="P506" s="50"/>
      <x:c r="Q506" s="30">
        <x:v>502</x:v>
      </x:c>
      <x:c r="R506" s="65"/>
      <x:c r="S506" s="46" t="n">
        <x:f>INDEX('Locations'!$D$6:$D$453,MATCH(B506,'Locations'!$A$6:$A$453,0))</x:f>
        <x:v>42.7326824708539</x:v>
      </x:c>
      <x:c r="T506" s="46" t="n">
        <x:f>INDEX('Locations'!$E$6:$E$453,MATCH(B506,'Locations'!$A$6:$A$453,0))</x:f>
        <x:v>-73.6674563109087</x:v>
      </x:c>
      <x:c r="U506" s="46" t="n">
        <x:f>INDEX('Locations'!$D$6:$D$453,MATCH(C506,'Locations'!$A$6:$A$453,0))</x:f>
        <x:v>42.7325249875558</x:v>
      </x:c>
      <x:c r="V506" s="66" t="n">
        <x:f>INDEX('Locations'!$E$6:$E$453,MATCH(C506,'Locations'!$A$6:$A$453,0))</x:f>
        <x:v>-73.6665124703247</x:v>
      </x:c>
      <x:c r="W506" s="44"/>
    </x:row>
    <x:row r="507" ht="23" customHeight="1">
      <x:c r="A507" s="24" t="s">
        <x:v>1109</x:v>
      </x:c>
      <x:c r="B507" s="53" t="s">
        <x:v>194</x:v>
      </x:c>
      <x:c r="C507" s="53" t="s">
        <x:v>532</x:v>
      </x:c>
      <x:c r="D507" s="53" t="s">
        <x:v>606</x:v>
      </x:c>
      <x:c r="E507" s="67" t="n">
        <x:f>2*6371000*ASIN(SQRT(MIN(1,SIN(RADIANS(U507-S507)/2)^2+COS(RADIANS(S507))*COS(RADIANS(U507))*SIN(RADIANS(V507-T507)/2)^2)))</x:f>
        <x:v>57.90122962873443</x:v>
      </x:c>
      <x:c r="F507" s="48" t="s">
        <x:v>67</x:v>
      </x:c>
      <x:c r="G507" s="48" t="s">
        <x:v>66</x:v>
      </x:c>
      <x:c r="H507" s="48" t="s">
        <x:v>66</x:v>
      </x:c>
      <x:c r="I507" s="48" t="s">
        <x:v>66</x:v>
      </x:c>
      <x:c r="J507" s="48" t="s">
        <x:v>66</x:v>
      </x:c>
      <x:c r="K507" s="64"/>
      <x:c r="L507" s="64"/>
      <x:c r="M507" s="50"/>
      <x:c r="N507" s="49"/>
      <x:c r="O507" s="50"/>
      <x:c r="P507" s="50"/>
      <x:c r="Q507" s="32">
        <x:v>503</x:v>
      </x:c>
      <x:c r="R507" s="68"/>
      <x:c r="S507" s="54" t="n">
        <x:f>INDEX('Locations'!$D$6:$D$453,MATCH(B507,'Locations'!$A$6:$A$453,0))</x:f>
        <x:v>42.7330440756996</x:v>
      </x:c>
      <x:c r="T507" s="54" t="n">
        <x:f>INDEX('Locations'!$E$6:$E$453,MATCH(B507,'Locations'!$A$6:$A$453,0))</x:f>
        <x:v>-73.6669462049943</x:v>
      </x:c>
      <x:c r="U507" s="54" t="n">
        <x:f>INDEX('Locations'!$D$6:$D$453,MATCH(C507,'Locations'!$A$6:$A$453,0))</x:f>
        <x:v>42.7326824708539</x:v>
      </x:c>
      <x:c r="V507" s="69" t="n">
        <x:f>INDEX('Locations'!$E$6:$E$453,MATCH(C507,'Locations'!$A$6:$A$453,0))</x:f>
        <x:v>-73.6674563109087</x:v>
      </x:c>
      <x:c r="W507" s="44"/>
    </x:row>
    <x:row r="508" ht="23" customHeight="1">
      <x:c r="A508" s="21" t="s">
        <x:v>1110</x:v>
      </x:c>
      <x:c r="B508" s="45" t="s">
        <x:v>194</x:v>
      </x:c>
      <x:c r="C508" s="45" t="s">
        <x:v>531</x:v>
      </x:c>
      <x:c r="D508" s="45" t="s">
        <x:v>606</x:v>
      </x:c>
      <x:c r="E508" s="63" t="n">
        <x:f>2*6371000*ASIN(SQRT(MIN(1,SIN(RADIANS(U508-S508)/2)^2+COS(RADIANS(S508))*COS(RADIANS(U508))*SIN(RADIANS(V508-T508)/2)^2)))</x:f>
        <x:v>81.28458197047279</x:v>
      </x:c>
      <x:c r="F508" s="48" t="s">
        <x:v>67</x:v>
      </x:c>
      <x:c r="G508" s="48" t="s">
        <x:v>66</x:v>
      </x:c>
      <x:c r="H508" s="48" t="s">
        <x:v>66</x:v>
      </x:c>
      <x:c r="I508" s="48" t="s">
        <x:v>66</x:v>
      </x:c>
      <x:c r="J508" s="48" t="s">
        <x:v>66</x:v>
      </x:c>
      <x:c r="K508" s="64"/>
      <x:c r="L508" s="64"/>
      <x:c r="M508" s="50"/>
      <x:c r="N508" s="49"/>
      <x:c r="O508" s="50"/>
      <x:c r="P508" s="50"/>
      <x:c r="Q508" s="30">
        <x:v>504</x:v>
      </x:c>
      <x:c r="R508" s="65"/>
      <x:c r="S508" s="46" t="n">
        <x:f>INDEX('Locations'!$D$6:$D$453,MATCH(B508,'Locations'!$A$6:$A$453,0))</x:f>
        <x:v>42.7330440756996</x:v>
      </x:c>
      <x:c r="T508" s="46" t="n">
        <x:f>INDEX('Locations'!$E$6:$E$453,MATCH(B508,'Locations'!$A$6:$A$453,0))</x:f>
        <x:v>-73.6669462049943</x:v>
      </x:c>
      <x:c r="U508" s="46" t="n">
        <x:f>INDEX('Locations'!$D$6:$D$453,MATCH(C508,'Locations'!$A$6:$A$453,0))</x:f>
        <x:v>42.7337515180605</x:v>
      </x:c>
      <x:c r="V508" s="66" t="n">
        <x:f>INDEX('Locations'!$E$6:$E$453,MATCH(C508,'Locations'!$A$6:$A$453,0))</x:f>
        <x:v>-73.6671968741209</x:v>
      </x:c>
      <x:c r="W508" s="44"/>
    </x:row>
    <x:row r="509" ht="23" customHeight="1">
      <x:c r="A509" s="24" t="s">
        <x:v>1111</x:v>
      </x:c>
      <x:c r="B509" s="53" t="s">
        <x:v>532</x:v>
      </x:c>
      <x:c r="C509" s="53" t="s">
        <x:v>531</x:v>
      </x:c>
      <x:c r="D509" s="53" t="s">
        <x:v>606</x:v>
      </x:c>
      <x:c r="E509" s="67" t="n">
        <x:f>2*6371000*ASIN(SQRT(MIN(1,SIN(RADIANS(U509-S509)/2)^2+COS(RADIANS(S509))*COS(RADIANS(U509))*SIN(RADIANS(V509-T509)/2)^2)))</x:f>
        <x:v>120.74641409374401</x:v>
      </x:c>
      <x:c r="F509" s="48" t="s">
        <x:v>67</x:v>
      </x:c>
      <x:c r="G509" s="48" t="s">
        <x:v>66</x:v>
      </x:c>
      <x:c r="H509" s="48" t="s">
        <x:v>66</x:v>
      </x:c>
      <x:c r="I509" s="48" t="s">
        <x:v>66</x:v>
      </x:c>
      <x:c r="J509" s="48" t="s">
        <x:v>66</x:v>
      </x:c>
      <x:c r="K509" s="64"/>
      <x:c r="L509" s="64"/>
      <x:c r="M509" s="50"/>
      <x:c r="N509" s="49"/>
      <x:c r="O509" s="50"/>
      <x:c r="P509" s="50"/>
      <x:c r="Q509" s="32">
        <x:v>505</x:v>
      </x:c>
      <x:c r="R509" s="68"/>
      <x:c r="S509" s="54" t="n">
        <x:f>INDEX('Locations'!$D$6:$D$453,MATCH(B509,'Locations'!$A$6:$A$453,0))</x:f>
        <x:v>42.7326824708539</x:v>
      </x:c>
      <x:c r="T509" s="54" t="n">
        <x:f>INDEX('Locations'!$E$6:$E$453,MATCH(B509,'Locations'!$A$6:$A$453,0))</x:f>
        <x:v>-73.6674563109087</x:v>
      </x:c>
      <x:c r="U509" s="54" t="n">
        <x:f>INDEX('Locations'!$D$6:$D$453,MATCH(C509,'Locations'!$A$6:$A$453,0))</x:f>
        <x:v>42.7337515180605</x:v>
      </x:c>
      <x:c r="V509" s="69" t="n">
        <x:f>INDEX('Locations'!$E$6:$E$453,MATCH(C509,'Locations'!$A$6:$A$453,0))</x:f>
        <x:v>-73.6671968741209</x:v>
      </x:c>
      <x:c r="W509" s="44"/>
    </x:row>
    <x:row r="510" ht="23" customHeight="1">
      <x:c r="A510" s="21" t="s">
        <x:v>1112</x:v>
      </x:c>
      <x:c r="B510" s="45" t="s">
        <x:v>534</x:v>
      </x:c>
      <x:c r="C510" s="45" t="s">
        <x:v>194</x:v>
      </x:c>
      <x:c r="D510" s="45" t="s">
        <x:v>606</x:v>
      </x:c>
      <x:c r="E510" s="63" t="n">
        <x:f>2*6371000*ASIN(SQRT(MIN(1,SIN(RADIANS(U510-S510)/2)^2+COS(RADIANS(S510))*COS(RADIANS(U510))*SIN(RADIANS(V510-T510)/2)^2)))</x:f>
        <x:v>89.5264644928945</x:v>
      </x:c>
      <x:c r="F510" s="48" t="s">
        <x:v>67</x:v>
      </x:c>
      <x:c r="G510" s="48" t="s">
        <x:v>66</x:v>
      </x:c>
      <x:c r="H510" s="48" t="s">
        <x:v>66</x:v>
      </x:c>
      <x:c r="I510" s="48" t="s">
        <x:v>66</x:v>
      </x:c>
      <x:c r="J510" s="48" t="s">
        <x:v>66</x:v>
      </x:c>
      <x:c r="K510" s="64"/>
      <x:c r="L510" s="64"/>
      <x:c r="M510" s="50"/>
      <x:c r="N510" s="49"/>
      <x:c r="O510" s="50"/>
      <x:c r="P510" s="50"/>
      <x:c r="Q510" s="30">
        <x:v>506</x:v>
      </x:c>
      <x:c r="R510" s="65"/>
      <x:c r="S510" s="46" t="n">
        <x:f>INDEX('Locations'!$D$6:$D$453,MATCH(B510,'Locations'!$A$6:$A$453,0))</x:f>
        <x:v>42.7336032308673</x:v>
      </x:c>
      <x:c r="T510" s="46" t="n">
        <x:f>INDEX('Locations'!$E$6:$E$453,MATCH(B510,'Locations'!$A$6:$A$453,0))</x:f>
        <x:v>-73.6661575353328</x:v>
      </x:c>
      <x:c r="U510" s="46" t="n">
        <x:f>INDEX('Locations'!$D$6:$D$453,MATCH(C510,'Locations'!$A$6:$A$453,0))</x:f>
        <x:v>42.7330440756996</x:v>
      </x:c>
      <x:c r="V510" s="66" t="n">
        <x:f>INDEX('Locations'!$E$6:$E$453,MATCH(C510,'Locations'!$A$6:$A$453,0))</x:f>
        <x:v>-73.6669462049943</x:v>
      </x:c>
      <x:c r="W510" s="44"/>
    </x:row>
    <x:row r="511" ht="23" customHeight="1">
      <x:c r="A511" s="24" t="s">
        <x:v>1113</x:v>
      </x:c>
      <x:c r="B511" s="53" t="s">
        <x:v>533</x:v>
      </x:c>
      <x:c r="C511" s="53" t="s">
        <x:v>194</x:v>
      </x:c>
      <x:c r="D511" s="53" t="s">
        <x:v>606</x:v>
      </x:c>
      <x:c r="E511" s="67" t="n">
        <x:f>2*6371000*ASIN(SQRT(MIN(1,SIN(RADIANS(U511-S511)/2)^2+COS(RADIANS(S511))*COS(RADIANS(U511))*SIN(RADIANS(V511-T511)/2)^2)))</x:f>
        <x:v>67.72417552029086</x:v>
      </x:c>
      <x:c r="F511" s="48" t="s">
        <x:v>67</x:v>
      </x:c>
      <x:c r="G511" s="48" t="s">
        <x:v>66</x:v>
      </x:c>
      <x:c r="H511" s="48" t="s">
        <x:v>66</x:v>
      </x:c>
      <x:c r="I511" s="48" t="s">
        <x:v>66</x:v>
      </x:c>
      <x:c r="J511" s="48" t="s">
        <x:v>66</x:v>
      </x:c>
      <x:c r="K511" s="64"/>
      <x:c r="L511" s="64"/>
      <x:c r="M511" s="50"/>
      <x:c r="N511" s="49"/>
      <x:c r="O511" s="50"/>
      <x:c r="P511" s="50"/>
      <x:c r="Q511" s="32">
        <x:v>507</x:v>
      </x:c>
      <x:c r="R511" s="68"/>
      <x:c r="S511" s="54" t="n">
        <x:f>INDEX('Locations'!$D$6:$D$453,MATCH(B511,'Locations'!$A$6:$A$453,0))</x:f>
        <x:v>42.7325249875558</x:v>
      </x:c>
      <x:c r="T511" s="54" t="n">
        <x:f>INDEX('Locations'!$E$6:$E$453,MATCH(B511,'Locations'!$A$6:$A$453,0))</x:f>
        <x:v>-73.6665124703247</x:v>
      </x:c>
      <x:c r="U511" s="54" t="n">
        <x:f>INDEX('Locations'!$D$6:$D$453,MATCH(C511,'Locations'!$A$6:$A$453,0))</x:f>
        <x:v>42.7330440756996</x:v>
      </x:c>
      <x:c r="V511" s="69" t="n">
        <x:f>INDEX('Locations'!$E$6:$E$453,MATCH(C511,'Locations'!$A$6:$A$453,0))</x:f>
        <x:v>-73.6669462049943</x:v>
      </x:c>
      <x:c r="W511" s="44"/>
    </x:row>
    <x:row r="512" ht="23" customHeight="1">
      <x:c r="A512" s="21" t="s">
        <x:v>1114</x:v>
      </x:c>
      <x:c r="B512" s="45" t="s">
        <x:v>533</x:v>
      </x:c>
      <x:c r="C512" s="45" t="s">
        <x:v>535</x:v>
      </x:c>
      <x:c r="D512" s="45" t="s">
        <x:v>606</x:v>
      </x:c>
      <x:c r="E512" s="63" t="n">
        <x:f>2*6371000*ASIN(SQRT(MIN(1,SIN(RADIANS(U512-S512)/2)^2+COS(RADIANS(S512))*COS(RADIANS(U512))*SIN(RADIANS(V512-T512)/2)^2)))</x:f>
        <x:v>99.92569601670027</x:v>
      </x:c>
      <x:c r="F512" s="48" t="s">
        <x:v>67</x:v>
      </x:c>
      <x:c r="G512" s="48" t="s">
        <x:v>66</x:v>
      </x:c>
      <x:c r="H512" s="48" t="s">
        <x:v>66</x:v>
      </x:c>
      <x:c r="I512" s="48" t="s">
        <x:v>66</x:v>
      </x:c>
      <x:c r="J512" s="48" t="s">
        <x:v>66</x:v>
      </x:c>
      <x:c r="K512" s="64"/>
      <x:c r="L512" s="64"/>
      <x:c r="M512" s="50"/>
      <x:c r="N512" s="49"/>
      <x:c r="O512" s="50"/>
      <x:c r="P512" s="50"/>
      <x:c r="Q512" s="30">
        <x:v>508</x:v>
      </x:c>
      <x:c r="R512" s="65"/>
      <x:c r="S512" s="46" t="n">
        <x:f>INDEX('Locations'!$D$6:$D$453,MATCH(B512,'Locations'!$A$6:$A$453,0))</x:f>
        <x:v>42.7325249875558</x:v>
      </x:c>
      <x:c r="T512" s="46" t="n">
        <x:f>INDEX('Locations'!$E$6:$E$453,MATCH(B512,'Locations'!$A$6:$A$453,0))</x:f>
        <x:v>-73.6665124703247</x:v>
      </x:c>
      <x:c r="U512" s="46" t="n">
        <x:f>INDEX('Locations'!$D$6:$D$453,MATCH(C512,'Locations'!$A$6:$A$453,0))</x:f>
        <x:v>42.7316502080674</x:v>
      </x:c>
      <x:c r="V512" s="66" t="n">
        <x:f>INDEX('Locations'!$E$6:$E$453,MATCH(C512,'Locations'!$A$6:$A$453,0))</x:f>
        <x:v>-73.6667925983901</x:v>
      </x:c>
      <x:c r="W512" s="44"/>
    </x:row>
    <x:row r="513" ht="23" customHeight="1">
      <x:c r="A513" s="24" t="s">
        <x:v>1115</x:v>
      </x:c>
      <x:c r="B513" s="53" t="s">
        <x:v>524</x:v>
      </x:c>
      <x:c r="C513" s="53" t="s">
        <x:v>535</x:v>
      </x:c>
      <x:c r="D513" s="53" t="s">
        <x:v>606</x:v>
      </x:c>
      <x:c r="E513" s="67" t="n">
        <x:f>2*6371000*ASIN(SQRT(MIN(1,SIN(RADIANS(U513-S513)/2)^2+COS(RADIANS(S513))*COS(RADIANS(U513))*SIN(RADIANS(V513-T513)/2)^2)))</x:f>
        <x:v>46.339793888193874</x:v>
      </x:c>
      <x:c r="F513" s="48" t="s">
        <x:v>67</x:v>
      </x:c>
      <x:c r="G513" s="48" t="s">
        <x:v>66</x:v>
      </x:c>
      <x:c r="H513" s="48" t="s">
        <x:v>66</x:v>
      </x:c>
      <x:c r="I513" s="48" t="s">
        <x:v>66</x:v>
      </x:c>
      <x:c r="J513" s="48" t="s">
        <x:v>66</x:v>
      </x:c>
      <x:c r="K513" s="64"/>
      <x:c r="L513" s="64"/>
      <x:c r="M513" s="50"/>
      <x:c r="N513" s="49"/>
      <x:c r="O513" s="50"/>
      <x:c r="P513" s="50"/>
      <x:c r="Q513" s="32">
        <x:v>509</x:v>
      </x:c>
      <x:c r="R513" s="68"/>
      <x:c r="S513" s="54" t="n">
        <x:f>INDEX('Locations'!$D$6:$D$453,MATCH(B513,'Locations'!$A$6:$A$453,0))</x:f>
        <x:v>42.7314180064161</x:v>
      </x:c>
      <x:c r="T513" s="54" t="n">
        <x:f>INDEX('Locations'!$E$6:$E$453,MATCH(B513,'Locations'!$A$6:$A$453,0))</x:f>
        <x:v>-73.6663214739165</x:v>
      </x:c>
      <x:c r="U513" s="54" t="n">
        <x:f>INDEX('Locations'!$D$6:$D$453,MATCH(C513,'Locations'!$A$6:$A$453,0))</x:f>
        <x:v>42.7316502080674</x:v>
      </x:c>
      <x:c r="V513" s="69" t="n">
        <x:f>INDEX('Locations'!$E$6:$E$453,MATCH(C513,'Locations'!$A$6:$A$453,0))</x:f>
        <x:v>-73.6667925983901</x:v>
      </x:c>
      <x:c r="W513" s="44"/>
    </x:row>
    <x:row r="514" ht="23" customHeight="1">
      <x:c r="A514" s="21" t="s">
        <x:v>1116</x:v>
      </x:c>
      <x:c r="B514" s="45" t="s">
        <x:v>528</x:v>
      </x:c>
      <x:c r="C514" s="45" t="s">
        <x:v>535</x:v>
      </x:c>
      <x:c r="D514" s="45" t="s">
        <x:v>606</x:v>
      </x:c>
      <x:c r="E514" s="63" t="n">
        <x:f>2*6371000*ASIN(SQRT(MIN(1,SIN(RADIANS(U514-S514)/2)^2+COS(RADIANS(S514))*COS(RADIANS(U514))*SIN(RADIANS(V514-T514)/2)^2)))</x:f>
        <x:v>43.95847186406599</x:v>
      </x:c>
      <x:c r="F514" s="48" t="s">
        <x:v>67</x:v>
      </x:c>
      <x:c r="G514" s="48" t="s">
        <x:v>66</x:v>
      </x:c>
      <x:c r="H514" s="48" t="s">
        <x:v>66</x:v>
      </x:c>
      <x:c r="I514" s="48" t="s">
        <x:v>66</x:v>
      </x:c>
      <x:c r="J514" s="48" t="s">
        <x:v>66</x:v>
      </x:c>
      <x:c r="K514" s="64"/>
      <x:c r="L514" s="64"/>
      <x:c r="M514" s="50"/>
      <x:c r="N514" s="49"/>
      <x:c r="O514" s="50"/>
      <x:c r="P514" s="50"/>
      <x:c r="Q514" s="30">
        <x:v>510</x:v>
      </x:c>
      <x:c r="R514" s="65"/>
      <x:c r="S514" s="46" t="n">
        <x:f>INDEX('Locations'!$D$6:$D$453,MATCH(B514,'Locations'!$A$6:$A$453,0))</x:f>
        <x:v>42.7318053923393</x:v>
      </x:c>
      <x:c r="T514" s="46" t="n">
        <x:f>INDEX('Locations'!$E$6:$E$453,MATCH(B514,'Locations'!$A$6:$A$453,0))</x:f>
        <x:v>-73.6672875974148</x:v>
      </x:c>
      <x:c r="U514" s="46" t="n">
        <x:f>INDEX('Locations'!$D$6:$D$453,MATCH(C514,'Locations'!$A$6:$A$453,0))</x:f>
        <x:v>42.7316502080674</x:v>
      </x:c>
      <x:c r="V514" s="66" t="n">
        <x:f>INDEX('Locations'!$E$6:$E$453,MATCH(C514,'Locations'!$A$6:$A$453,0))</x:f>
        <x:v>-73.6667925983901</x:v>
      </x:c>
      <x:c r="W514" s="44"/>
    </x:row>
    <x:row r="515" ht="23" customHeight="1">
      <x:c r="A515" s="24" t="s">
        <x:v>1117</x:v>
      </x:c>
      <x:c r="B515" s="53" t="s">
        <x:v>537</x:v>
      </x:c>
      <x:c r="C515" s="53" t="s">
        <x:v>536</x:v>
      </x:c>
      <x:c r="D515" s="53" t="s">
        <x:v>606</x:v>
      </x:c>
      <x:c r="E515" s="67" t="n">
        <x:f>2*6371000*ASIN(SQRT(MIN(1,SIN(RADIANS(U515-S515)/2)^2+COS(RADIANS(S515))*COS(RADIANS(U515))*SIN(RADIANS(V515-T515)/2)^2)))</x:f>
        <x:v>101.71135853507218</x:v>
      </x:c>
      <x:c r="F515" s="48" t="s">
        <x:v>67</x:v>
      </x:c>
      <x:c r="G515" s="48" t="s">
        <x:v>66</x:v>
      </x:c>
      <x:c r="H515" s="48" t="s">
        <x:v>66</x:v>
      </x:c>
      <x:c r="I515" s="48" t="s">
        <x:v>66</x:v>
      </x:c>
      <x:c r="J515" s="48" t="s">
        <x:v>66</x:v>
      </x:c>
      <x:c r="K515" s="64"/>
      <x:c r="L515" s="64"/>
      <x:c r="M515" s="50"/>
      <x:c r="N515" s="49"/>
      <x:c r="O515" s="50"/>
      <x:c r="P515" s="50"/>
      <x:c r="Q515" s="32">
        <x:v>511</x:v>
      </x:c>
      <x:c r="R515" s="68"/>
      <x:c r="S515" s="54" t="n">
        <x:f>INDEX('Locations'!$D$6:$D$453,MATCH(B515,'Locations'!$A$6:$A$453,0))</x:f>
        <x:v>42.7328284590208</x:v>
      </x:c>
      <x:c r="T515" s="54" t="n">
        <x:f>INDEX('Locations'!$E$6:$E$453,MATCH(B515,'Locations'!$A$6:$A$453,0))</x:f>
        <x:v>-73.6647616699159</x:v>
      </x:c>
      <x:c r="U515" s="54" t="n">
        <x:f>INDEX('Locations'!$D$6:$D$453,MATCH(C515,'Locations'!$A$6:$A$453,0))</x:f>
        <x:v>42.7321502462769</x:v>
      </x:c>
      <x:c r="V515" s="69" t="n">
        <x:f>INDEX('Locations'!$E$6:$E$453,MATCH(C515,'Locations'!$A$6:$A$453,0))</x:f>
        <x:v>-73.665597279202</x:v>
      </x:c>
      <x:c r="W515" s="44"/>
    </x:row>
    <x:row r="516" ht="23" customHeight="1">
      <x:c r="A516" s="21" t="s">
        <x:v>1118</x:v>
      </x:c>
      <x:c r="B516" s="45" t="s">
        <x:v>524</x:v>
      </x:c>
      <x:c r="C516" s="45" t="s">
        <x:v>536</x:v>
      </x:c>
      <x:c r="D516" s="45" t="s">
        <x:v>606</x:v>
      </x:c>
      <x:c r="E516" s="63" t="n">
        <x:f>2*6371000*ASIN(SQRT(MIN(1,SIN(RADIANS(U516-S516)/2)^2+COS(RADIANS(S516))*COS(RADIANS(U516))*SIN(RADIANS(V516-T516)/2)^2)))</x:f>
        <x:v>100.63876052596528</x:v>
      </x:c>
      <x:c r="F516" s="48" t="s">
        <x:v>67</x:v>
      </x:c>
      <x:c r="G516" s="48" t="s">
        <x:v>66</x:v>
      </x:c>
      <x:c r="H516" s="48" t="s">
        <x:v>66</x:v>
      </x:c>
      <x:c r="I516" s="48" t="s">
        <x:v>66</x:v>
      </x:c>
      <x:c r="J516" s="48" t="s">
        <x:v>66</x:v>
      </x:c>
      <x:c r="K516" s="64"/>
      <x:c r="L516" s="64"/>
      <x:c r="M516" s="50"/>
      <x:c r="N516" s="49"/>
      <x:c r="O516" s="50"/>
      <x:c r="P516" s="50"/>
      <x:c r="Q516" s="30">
        <x:v>512</x:v>
      </x:c>
      <x:c r="R516" s="65"/>
      <x:c r="S516" s="46" t="n">
        <x:f>INDEX('Locations'!$D$6:$D$453,MATCH(B516,'Locations'!$A$6:$A$453,0))</x:f>
        <x:v>42.7314180064161</x:v>
      </x:c>
      <x:c r="T516" s="46" t="n">
        <x:f>INDEX('Locations'!$E$6:$E$453,MATCH(B516,'Locations'!$A$6:$A$453,0))</x:f>
        <x:v>-73.6663214739165</x:v>
      </x:c>
      <x:c r="U516" s="46" t="n">
        <x:f>INDEX('Locations'!$D$6:$D$453,MATCH(C516,'Locations'!$A$6:$A$453,0))</x:f>
        <x:v>42.7321502462769</x:v>
      </x:c>
      <x:c r="V516" s="66" t="n">
        <x:f>INDEX('Locations'!$E$6:$E$453,MATCH(C516,'Locations'!$A$6:$A$453,0))</x:f>
        <x:v>-73.665597279202</x:v>
      </x:c>
      <x:c r="W516" s="44"/>
    </x:row>
    <x:row r="517" ht="23" customHeight="1">
      <x:c r="A517" s="24" t="s">
        <x:v>1119</x:v>
      </x:c>
      <x:c r="B517" s="53" t="s">
        <x:v>533</x:v>
      </x:c>
      <x:c r="C517" s="53" t="s">
        <x:v>542</x:v>
      </x:c>
      <x:c r="D517" s="53" t="s">
        <x:v>606</x:v>
      </x:c>
      <x:c r="E517" s="67" t="n">
        <x:f>2*6371000*ASIN(SQRT(MIN(1,SIN(RADIANS(U517-S517)/2)^2+COS(RADIANS(S517))*COS(RADIANS(U517))*SIN(RADIANS(V517-T517)/2)^2)))</x:f>
        <x:v>22.091150150120235</x:v>
      </x:c>
      <x:c r="F517" s="48" t="s">
        <x:v>67</x:v>
      </x:c>
      <x:c r="G517" s="48" t="s">
        <x:v>66</x:v>
      </x:c>
      <x:c r="H517" s="48" t="s">
        <x:v>66</x:v>
      </x:c>
      <x:c r="I517" s="48" t="s">
        <x:v>66</x:v>
      </x:c>
      <x:c r="J517" s="48" t="s">
        <x:v>66</x:v>
      </x:c>
      <x:c r="K517" s="64"/>
      <x:c r="L517" s="64"/>
      <x:c r="M517" s="50"/>
      <x:c r="N517" s="49"/>
      <x:c r="O517" s="50"/>
      <x:c r="P517" s="50"/>
      <x:c r="Q517" s="32">
        <x:v>513</x:v>
      </x:c>
      <x:c r="R517" s="68"/>
      <x:c r="S517" s="54" t="n">
        <x:f>INDEX('Locations'!$D$6:$D$453,MATCH(B517,'Locations'!$A$6:$A$453,0))</x:f>
        <x:v>42.7325249875558</x:v>
      </x:c>
      <x:c r="T517" s="54" t="n">
        <x:f>INDEX('Locations'!$E$6:$E$453,MATCH(B517,'Locations'!$A$6:$A$453,0))</x:f>
        <x:v>-73.6665124703247</x:v>
      </x:c>
      <x:c r="U517" s="54" t="n">
        <x:f>INDEX('Locations'!$D$6:$D$453,MATCH(C517,'Locations'!$A$6:$A$453,0))</x:f>
        <x:v>42.7324951002145</x:v>
      </x:c>
      <x:c r="V517" s="69" t="n">
        <x:f>INDEX('Locations'!$E$6:$E$453,MATCH(C517,'Locations'!$A$6:$A$453,0))</x:f>
        <x:v>-73.6662450753532</x:v>
      </x:c>
      <x:c r="W517" s="44"/>
    </x:row>
    <x:row r="518" ht="23" customHeight="1">
      <x:c r="A518" s="21" t="s">
        <x:v>1120</x:v>
      </x:c>
      <x:c r="B518" s="45" t="s">
        <x:v>541</x:v>
      </x:c>
      <x:c r="C518" s="45" t="s">
        <x:v>542</x:v>
      </x:c>
      <x:c r="D518" s="45" t="s">
        <x:v>606</x:v>
      </x:c>
      <x:c r="E518" s="63" t="n">
        <x:f>2*6371000*ASIN(SQRT(MIN(1,SIN(RADIANS(U518-S518)/2)^2+COS(RADIANS(S518))*COS(RADIANS(U518))*SIN(RADIANS(V518-T518)/2)^2)))</x:f>
        <x:v>61.77101261474249</x:v>
      </x:c>
      <x:c r="F518" s="48" t="s">
        <x:v>67</x:v>
      </x:c>
      <x:c r="G518" s="48" t="s">
        <x:v>66</x:v>
      </x:c>
      <x:c r="H518" s="48" t="s">
        <x:v>66</x:v>
      </x:c>
      <x:c r="I518" s="48" t="s">
        <x:v>66</x:v>
      </x:c>
      <x:c r="J518" s="48" t="s">
        <x:v>66</x:v>
      </x:c>
      <x:c r="K518" s="64"/>
      <x:c r="L518" s="64"/>
      <x:c r="M518" s="50"/>
      <x:c r="N518" s="49"/>
      <x:c r="O518" s="50"/>
      <x:c r="P518" s="50"/>
      <x:c r="Q518" s="30">
        <x:v>514</x:v>
      </x:c>
      <x:c r="R518" s="65"/>
      <x:c r="S518" s="46" t="n">
        <x:f>INDEX('Locations'!$D$6:$D$453,MATCH(B518,'Locations'!$A$6:$A$453,0))</x:f>
        <x:v>42.7330376704096</x:v>
      </x:c>
      <x:c r="T518" s="46" t="n">
        <x:f>INDEX('Locations'!$E$6:$E$453,MATCH(B518,'Locations'!$A$6:$A$453,0))</x:f>
        <x:v>-73.6660827284062</x:v>
      </x:c>
      <x:c r="U518" s="46" t="n">
        <x:f>INDEX('Locations'!$D$6:$D$453,MATCH(C518,'Locations'!$A$6:$A$453,0))</x:f>
        <x:v>42.7324951002145</x:v>
      </x:c>
      <x:c r="V518" s="66" t="n">
        <x:f>INDEX('Locations'!$E$6:$E$453,MATCH(C518,'Locations'!$A$6:$A$453,0))</x:f>
        <x:v>-73.6662450753532</x:v>
      </x:c>
      <x:c r="W518" s="44"/>
    </x:row>
    <x:row r="519" ht="23" customHeight="1">
      <x:c r="A519" s="24" t="s">
        <x:v>1121</x:v>
      </x:c>
      <x:c r="B519" s="53" t="s">
        <x:v>540</x:v>
      </x:c>
      <x:c r="C519" s="53" t="s">
        <x:v>541</x:v>
      </x:c>
      <x:c r="D519" s="53" t="s">
        <x:v>606</x:v>
      </x:c>
      <x:c r="E519" s="67" t="n">
        <x:f>2*6371000*ASIN(SQRT(MIN(1,SIN(RADIANS(U519-S519)/2)^2+COS(RADIANS(S519))*COS(RADIANS(U519))*SIN(RADIANS(V519-T519)/2)^2)))</x:f>
        <x:v>9.962140137840164</x:v>
      </x:c>
      <x:c r="F519" s="48" t="s">
        <x:v>67</x:v>
      </x:c>
      <x:c r="G519" s="48" t="s">
        <x:v>66</x:v>
      </x:c>
      <x:c r="H519" s="48" t="s">
        <x:v>66</x:v>
      </x:c>
      <x:c r="I519" s="48" t="s">
        <x:v>66</x:v>
      </x:c>
      <x:c r="J519" s="48" t="s">
        <x:v>66</x:v>
      </x:c>
      <x:c r="K519" s="64"/>
      <x:c r="L519" s="64"/>
      <x:c r="M519" s="50"/>
      <x:c r="N519" s="49"/>
      <x:c r="O519" s="50"/>
      <x:c r="P519" s="50"/>
      <x:c r="Q519" s="32">
        <x:v>515</x:v>
      </x:c>
      <x:c r="R519" s="68"/>
      <x:c r="S519" s="54" t="n">
        <x:f>INDEX('Locations'!$D$6:$D$453,MATCH(B519,'Locations'!$A$6:$A$453,0))</x:f>
        <x:v>42.7330491655409</x:v>
      </x:c>
      <x:c r="T519" s="54" t="n">
        <x:f>INDEX('Locations'!$E$6:$E$453,MATCH(B519,'Locations'!$A$6:$A$453,0))</x:f>
        <x:v>-73.6659617640143</x:v>
      </x:c>
      <x:c r="U519" s="54" t="n">
        <x:f>INDEX('Locations'!$D$6:$D$453,MATCH(C519,'Locations'!$A$6:$A$453,0))</x:f>
        <x:v>42.7330376704096</x:v>
      </x:c>
      <x:c r="V519" s="69" t="n">
        <x:f>INDEX('Locations'!$E$6:$E$453,MATCH(C519,'Locations'!$A$6:$A$453,0))</x:f>
        <x:v>-73.6660827284062</x:v>
      </x:c>
      <x:c r="W519" s="44"/>
    </x:row>
    <x:row r="520" ht="23" customHeight="1">
      <x:c r="A520" s="21" t="s">
        <x:v>1122</x:v>
      </x:c>
      <x:c r="B520" s="45" t="s">
        <x:v>539</x:v>
      </x:c>
      <x:c r="C520" s="45" t="s">
        <x:v>540</x:v>
      </x:c>
      <x:c r="D520" s="45" t="s">
        <x:v>606</x:v>
      </x:c>
      <x:c r="E520" s="63" t="n">
        <x:f>2*6371000*ASIN(SQRT(MIN(1,SIN(RADIANS(U520-S520)/2)^2+COS(RADIANS(S520))*COS(RADIANS(U520))*SIN(RADIANS(V520-T520)/2)^2)))</x:f>
        <x:v>22.730587149554594</x:v>
      </x:c>
      <x:c r="F520" s="48" t="s">
        <x:v>67</x:v>
      </x:c>
      <x:c r="G520" s="48" t="s">
        <x:v>66</x:v>
      </x:c>
      <x:c r="H520" s="48" t="s">
        <x:v>66</x:v>
      </x:c>
      <x:c r="I520" s="48" t="s">
        <x:v>66</x:v>
      </x:c>
      <x:c r="J520" s="48" t="s">
        <x:v>66</x:v>
      </x:c>
      <x:c r="K520" s="64"/>
      <x:c r="L520" s="64"/>
      <x:c r="M520" s="50"/>
      <x:c r="N520" s="49"/>
      <x:c r="O520" s="50"/>
      <x:c r="P520" s="50"/>
      <x:c r="Q520" s="30">
        <x:v>516</x:v>
      </x:c>
      <x:c r="R520" s="65"/>
      <x:c r="S520" s="46" t="n">
        <x:f>INDEX('Locations'!$D$6:$D$453,MATCH(B520,'Locations'!$A$6:$A$453,0))</x:f>
        <x:v>42.7330123811209</x:v>
      </x:c>
      <x:c r="T520" s="46" t="n">
        <x:f>INDEX('Locations'!$E$6:$E$453,MATCH(B520,'Locations'!$A$6:$A$453,0))</x:f>
        <x:v>-73.6656880024959</x:v>
      </x:c>
      <x:c r="U520" s="46" t="n">
        <x:f>INDEX('Locations'!$D$6:$D$453,MATCH(C520,'Locations'!$A$6:$A$453,0))</x:f>
        <x:v>42.7330491655409</x:v>
      </x:c>
      <x:c r="V520" s="66" t="n">
        <x:f>INDEX('Locations'!$E$6:$E$453,MATCH(C520,'Locations'!$A$6:$A$453,0))</x:f>
        <x:v>-73.6659617640143</x:v>
      </x:c>
      <x:c r="W520" s="44"/>
    </x:row>
    <x:row r="521" ht="23" customHeight="1">
      <x:c r="A521" s="24" t="s">
        <x:v>1123</x:v>
      </x:c>
      <x:c r="B521" s="53" t="s">
        <x:v>538</x:v>
      </x:c>
      <x:c r="C521" s="53" t="s">
        <x:v>539</x:v>
      </x:c>
      <x:c r="D521" s="53" t="s">
        <x:v>606</x:v>
      </x:c>
      <x:c r="E521" s="67" t="n">
        <x:f>2*6371000*ASIN(SQRT(MIN(1,SIN(RADIANS(U521-S521)/2)^2+COS(RADIANS(S521))*COS(RADIANS(U521))*SIN(RADIANS(V521-T521)/2)^2)))</x:f>
        <x:v>29.39536723228302</x:v>
      </x:c>
      <x:c r="F521" s="48" t="s">
        <x:v>67</x:v>
      </x:c>
      <x:c r="G521" s="48" t="s">
        <x:v>66</x:v>
      </x:c>
      <x:c r="H521" s="48" t="s">
        <x:v>66</x:v>
      </x:c>
      <x:c r="I521" s="48" t="s">
        <x:v>66</x:v>
      </x:c>
      <x:c r="J521" s="48" t="s">
        <x:v>66</x:v>
      </x:c>
      <x:c r="K521" s="64"/>
      <x:c r="L521" s="64"/>
      <x:c r="M521" s="50"/>
      <x:c r="N521" s="49"/>
      <x:c r="O521" s="50"/>
      <x:c r="P521" s="50"/>
      <x:c r="Q521" s="32">
        <x:v>517</x:v>
      </x:c>
      <x:c r="R521" s="68"/>
      <x:c r="S521" s="54" t="n">
        <x:f>INDEX('Locations'!$D$6:$D$453,MATCH(B521,'Locations'!$A$6:$A$453,0))</x:f>
        <x:v>42.7329204200709</x:v>
      </x:c>
      <x:c r="T521" s="54" t="n">
        <x:f>INDEX('Locations'!$E$6:$E$453,MATCH(B521,'Locations'!$A$6:$A$453,0))</x:f>
        <x:v>-73.665350575508</x:v>
      </x:c>
      <x:c r="U521" s="54" t="n">
        <x:f>INDEX('Locations'!$D$6:$D$453,MATCH(C521,'Locations'!$A$6:$A$453,0))</x:f>
        <x:v>42.7330123811209</x:v>
      </x:c>
      <x:c r="V521" s="69" t="n">
        <x:f>INDEX('Locations'!$E$6:$E$453,MATCH(C521,'Locations'!$A$6:$A$453,0))</x:f>
        <x:v>-73.6656880024959</x:v>
      </x:c>
      <x:c r="W521" s="44"/>
    </x:row>
    <x:row r="522" ht="23" customHeight="1">
      <x:c r="A522" s="21" t="s">
        <x:v>1124</x:v>
      </x:c>
      <x:c r="B522" s="45" t="s">
        <x:v>538</x:v>
      </x:c>
      <x:c r="C522" s="45" t="s">
        <x:v>537</x:v>
      </x:c>
      <x:c r="D522" s="45" t="s">
        <x:v>606</x:v>
      </x:c>
      <x:c r="E522" s="63" t="n">
        <x:f>2*6371000*ASIN(SQRT(MIN(1,SIN(RADIANS(U522-S522)/2)^2+COS(RADIANS(S522))*COS(RADIANS(U522))*SIN(RADIANS(V522-T522)/2)^2)))</x:f>
        <x:v>49.17409575487652</x:v>
      </x:c>
      <x:c r="F522" s="48" t="s">
        <x:v>67</x:v>
      </x:c>
      <x:c r="G522" s="48" t="s">
        <x:v>66</x:v>
      </x:c>
      <x:c r="H522" s="48" t="s">
        <x:v>66</x:v>
      </x:c>
      <x:c r="I522" s="48" t="s">
        <x:v>66</x:v>
      </x:c>
      <x:c r="J522" s="48" t="s">
        <x:v>66</x:v>
      </x:c>
      <x:c r="K522" s="64"/>
      <x:c r="L522" s="64"/>
      <x:c r="M522" s="50"/>
      <x:c r="N522" s="49"/>
      <x:c r="O522" s="50"/>
      <x:c r="P522" s="50"/>
      <x:c r="Q522" s="30">
        <x:v>518</x:v>
      </x:c>
      <x:c r="R522" s="65"/>
      <x:c r="S522" s="46" t="n">
        <x:f>INDEX('Locations'!$D$6:$D$453,MATCH(B522,'Locations'!$A$6:$A$453,0))</x:f>
        <x:v>42.7329204200709</x:v>
      </x:c>
      <x:c r="T522" s="46" t="n">
        <x:f>INDEX('Locations'!$E$6:$E$453,MATCH(B522,'Locations'!$A$6:$A$453,0))</x:f>
        <x:v>-73.665350575508</x:v>
      </x:c>
      <x:c r="U522" s="46" t="n">
        <x:f>INDEX('Locations'!$D$6:$D$453,MATCH(C522,'Locations'!$A$6:$A$453,0))</x:f>
        <x:v>42.7328284590208</x:v>
      </x:c>
      <x:c r="V522" s="66" t="n">
        <x:f>INDEX('Locations'!$E$6:$E$453,MATCH(C522,'Locations'!$A$6:$A$453,0))</x:f>
        <x:v>-73.6647616699159</x:v>
      </x:c>
      <x:c r="W522" s="44"/>
    </x:row>
    <x:row r="523" ht="23" customHeight="1">
      <x:c r="A523" s="24" t="s">
        <x:v>1125</x:v>
      </x:c>
      <x:c r="B523" s="53" t="s">
        <x:v>534</x:v>
      </x:c>
      <x:c r="C523" s="53" t="s">
        <x:v>543</x:v>
      </x:c>
      <x:c r="D523" s="53" t="s">
        <x:v>606</x:v>
      </x:c>
      <x:c r="E523" s="67" t="n">
        <x:f>2*6371000*ASIN(SQRT(MIN(1,SIN(RADIANS(U523-S523)/2)^2+COS(RADIANS(S523))*COS(RADIANS(U523))*SIN(RADIANS(V523-T523)/2)^2)))</x:f>
        <x:v>24.312312361452047</x:v>
      </x:c>
      <x:c r="F523" s="48" t="s">
        <x:v>67</x:v>
      </x:c>
      <x:c r="G523" s="48" t="s">
        <x:v>66</x:v>
      </x:c>
      <x:c r="H523" s="48" t="s">
        <x:v>66</x:v>
      </x:c>
      <x:c r="I523" s="48" t="s">
        <x:v>66</x:v>
      </x:c>
      <x:c r="J523" s="48" t="s">
        <x:v>66</x:v>
      </x:c>
      <x:c r="K523" s="64"/>
      <x:c r="L523" s="64"/>
      <x:c r="M523" s="50"/>
      <x:c r="N523" s="49"/>
      <x:c r="O523" s="50"/>
      <x:c r="P523" s="50"/>
      <x:c r="Q523" s="32">
        <x:v>519</x:v>
      </x:c>
      <x:c r="R523" s="68"/>
      <x:c r="S523" s="54" t="n">
        <x:f>INDEX('Locations'!$D$6:$D$453,MATCH(B523,'Locations'!$A$6:$A$453,0))</x:f>
        <x:v>42.7336032308673</x:v>
      </x:c>
      <x:c r="T523" s="54" t="n">
        <x:f>INDEX('Locations'!$E$6:$E$453,MATCH(B523,'Locations'!$A$6:$A$453,0))</x:f>
        <x:v>-73.6661575353328</x:v>
      </x:c>
      <x:c r="U523" s="54" t="n">
        <x:f>INDEX('Locations'!$D$6:$D$453,MATCH(C523,'Locations'!$A$6:$A$453,0))</x:f>
        <x:v>42.7335997823279</x:v>
      </x:c>
      <x:c r="V523" s="69" t="n">
        <x:f>INDEX('Locations'!$E$6:$E$453,MATCH(C523,'Locations'!$A$6:$A$453,0))</x:f>
        <x:v>-73.6658598992633</x:v>
      </x:c>
      <x:c r="W523" s="44"/>
    </x:row>
    <x:row r="524" ht="23" customHeight="1">
      <x:c r="A524" s="21" t="s">
        <x:v>1126</x:v>
      </x:c>
      <x:c r="B524" s="45" t="s">
        <x:v>540</x:v>
      </x:c>
      <x:c r="C524" s="45" t="s">
        <x:v>543</x:v>
      </x:c>
      <x:c r="D524" s="45" t="s">
        <x:v>606</x:v>
      </x:c>
      <x:c r="E524" s="63" t="n">
        <x:f>2*6371000*ASIN(SQRT(MIN(1,SIN(RADIANS(U524-S524)/2)^2+COS(RADIANS(S524))*COS(RADIANS(U524))*SIN(RADIANS(V524-T524)/2)^2)))</x:f>
        <x:v>61.788483735365446</x:v>
      </x:c>
      <x:c r="F524" s="48" t="s">
        <x:v>67</x:v>
      </x:c>
      <x:c r="G524" s="48" t="s">
        <x:v>66</x:v>
      </x:c>
      <x:c r="H524" s="48" t="s">
        <x:v>66</x:v>
      </x:c>
      <x:c r="I524" s="48" t="s">
        <x:v>66</x:v>
      </x:c>
      <x:c r="J524" s="48" t="s">
        <x:v>66</x:v>
      </x:c>
      <x:c r="K524" s="64"/>
      <x:c r="L524" s="64"/>
      <x:c r="M524" s="50"/>
      <x:c r="N524" s="49"/>
      <x:c r="O524" s="50"/>
      <x:c r="P524" s="50"/>
      <x:c r="Q524" s="30">
        <x:v>520</x:v>
      </x:c>
      <x:c r="R524" s="65"/>
      <x:c r="S524" s="46" t="n">
        <x:f>INDEX('Locations'!$D$6:$D$453,MATCH(B524,'Locations'!$A$6:$A$453,0))</x:f>
        <x:v>42.7330491655409</x:v>
      </x:c>
      <x:c r="T524" s="46" t="n">
        <x:f>INDEX('Locations'!$E$6:$E$453,MATCH(B524,'Locations'!$A$6:$A$453,0))</x:f>
        <x:v>-73.6659617640143</x:v>
      </x:c>
      <x:c r="U524" s="46" t="n">
        <x:f>INDEX('Locations'!$D$6:$D$453,MATCH(C524,'Locations'!$A$6:$A$453,0))</x:f>
        <x:v>42.7335997823279</x:v>
      </x:c>
      <x:c r="V524" s="66" t="n">
        <x:f>INDEX('Locations'!$E$6:$E$453,MATCH(C524,'Locations'!$A$6:$A$453,0))</x:f>
        <x:v>-73.6658598992633</x:v>
      </x:c>
      <x:c r="W524" s="44"/>
    </x:row>
    <x:row r="525" ht="23" customHeight="1">
      <x:c r="A525" s="24" t="s">
        <x:v>1127</x:v>
      </x:c>
      <x:c r="B525" s="53" t="s">
        <x:v>166</x:v>
      </x:c>
      <x:c r="C525" s="53" t="s">
        <x:v>544</x:v>
      </x:c>
      <x:c r="D525" s="53" t="s">
        <x:v>606</x:v>
      </x:c>
      <x:c r="E525" s="67" t="n">
        <x:f>2*6371000*ASIN(SQRT(MIN(1,SIN(RADIANS(U525-S525)/2)^2+COS(RADIANS(S525))*COS(RADIANS(U525))*SIN(RADIANS(V525-T525)/2)^2)))</x:f>
        <x:v>39.5489802080444</x:v>
      </x:c>
      <x:c r="F525" s="48" t="s">
        <x:v>67</x:v>
      </x:c>
      <x:c r="G525" s="48" t="s">
        <x:v>66</x:v>
      </x:c>
      <x:c r="H525" s="48" t="s">
        <x:v>66</x:v>
      </x:c>
      <x:c r="I525" s="48" t="s">
        <x:v>66</x:v>
      </x:c>
      <x:c r="J525" s="48" t="s">
        <x:v>66</x:v>
      </x:c>
      <x:c r="K525" s="64"/>
      <x:c r="L525" s="64"/>
      <x:c r="M525" s="50"/>
      <x:c r="N525" s="49"/>
      <x:c r="O525" s="50"/>
      <x:c r="P525" s="50"/>
      <x:c r="Q525" s="32">
        <x:v>521</x:v>
      </x:c>
      <x:c r="R525" s="68"/>
      <x:c r="S525" s="54" t="n">
        <x:f>INDEX('Locations'!$D$6:$D$453,MATCH(B525,'Locations'!$A$6:$A$453,0))</x:f>
        <x:v>42.734249293852</x:v>
      </x:c>
      <x:c r="T525" s="54" t="n">
        <x:f>INDEX('Locations'!$E$6:$E$453,MATCH(B525,'Locations'!$A$6:$A$453,0))</x:f>
        <x:v>-73.6631980548119</x:v>
      </x:c>
      <x:c r="U525" s="54" t="n">
        <x:f>INDEX('Locations'!$D$6:$D$453,MATCH(C525,'Locations'!$A$6:$A$453,0))</x:f>
        <x:v>42.7339273935686</x:v>
      </x:c>
      <x:c r="V525" s="69" t="n">
        <x:f>INDEX('Locations'!$E$6:$E$453,MATCH(C525,'Locations'!$A$6:$A$453,0))</x:f>
        <x:v>-73.6634040037808</x:v>
      </x:c>
      <x:c r="W525" s="44"/>
    </x:row>
    <x:row r="526" ht="23" customHeight="1">
      <x:c r="A526" s="21" t="s">
        <x:v>1128</x:v>
      </x:c>
      <x:c r="B526" s="45" t="s">
        <x:v>537</x:v>
      </x:c>
      <x:c r="C526" s="45" t="s">
        <x:v>544</x:v>
      </x:c>
      <x:c r="D526" s="45" t="s">
        <x:v>606</x:v>
      </x:c>
      <x:c r="E526" s="63" t="n">
        <x:f>2*6371000*ASIN(SQRT(MIN(1,SIN(RADIANS(U526-S526)/2)^2+COS(RADIANS(S526))*COS(RADIANS(U526))*SIN(RADIANS(V526-T526)/2)^2)))</x:f>
        <x:v>165.00851478492953</x:v>
      </x:c>
      <x:c r="F526" s="48" t="s">
        <x:v>67</x:v>
      </x:c>
      <x:c r="G526" s="48" t="s">
        <x:v>66</x:v>
      </x:c>
      <x:c r="H526" s="48" t="s">
        <x:v>66</x:v>
      </x:c>
      <x:c r="I526" s="48" t="s">
        <x:v>66</x:v>
      </x:c>
      <x:c r="J526" s="48" t="s">
        <x:v>66</x:v>
      </x:c>
      <x:c r="K526" s="64"/>
      <x:c r="L526" s="64"/>
      <x:c r="M526" s="50"/>
      <x:c r="N526" s="49"/>
      <x:c r="O526" s="50"/>
      <x:c r="P526" s="50"/>
      <x:c r="Q526" s="30">
        <x:v>522</x:v>
      </x:c>
      <x:c r="R526" s="65"/>
      <x:c r="S526" s="46" t="n">
        <x:f>INDEX('Locations'!$D$6:$D$453,MATCH(B526,'Locations'!$A$6:$A$453,0))</x:f>
        <x:v>42.7328284590208</x:v>
      </x:c>
      <x:c r="T526" s="46" t="n">
        <x:f>INDEX('Locations'!$E$6:$E$453,MATCH(B526,'Locations'!$A$6:$A$453,0))</x:f>
        <x:v>-73.6647616699159</x:v>
      </x:c>
      <x:c r="U526" s="46" t="n">
        <x:f>INDEX('Locations'!$D$6:$D$453,MATCH(C526,'Locations'!$A$6:$A$453,0))</x:f>
        <x:v>42.7339273935686</x:v>
      </x:c>
      <x:c r="V526" s="66" t="n">
        <x:f>INDEX('Locations'!$E$6:$E$453,MATCH(C526,'Locations'!$A$6:$A$453,0))</x:f>
        <x:v>-73.6634040037808</x:v>
      </x:c>
      <x:c r="W526" s="44"/>
    </x:row>
    <x:row r="527" ht="23" customHeight="1">
      <x:c r="A527" s="24" t="s">
        <x:v>1129</x:v>
      </x:c>
      <x:c r="B527" s="53" t="s">
        <x:v>192</x:v>
      </x:c>
      <x:c r="C527" s="53" t="s">
        <x:v>545</x:v>
      </x:c>
      <x:c r="D527" s="53" t="s">
        <x:v>606</x:v>
      </x:c>
      <x:c r="E527" s="67" t="n">
        <x:f>2*6371000*ASIN(SQRT(MIN(1,SIN(RADIANS(U527-S527)/2)^2+COS(RADIANS(S527))*COS(RADIANS(U527))*SIN(RADIANS(V527-T527)/2)^2)))</x:f>
        <x:v>39.07951720651176</x:v>
      </x:c>
      <x:c r="F527" s="48" t="s">
        <x:v>67</x:v>
      </x:c>
      <x:c r="G527" s="48" t="s">
        <x:v>66</x:v>
      </x:c>
      <x:c r="H527" s="48" t="s">
        <x:v>66</x:v>
      </x:c>
      <x:c r="I527" s="48" t="s">
        <x:v>66</x:v>
      </x:c>
      <x:c r="J527" s="48" t="s">
        <x:v>66</x:v>
      </x:c>
      <x:c r="K527" s="64"/>
      <x:c r="L527" s="64"/>
      <x:c r="M527" s="50"/>
      <x:c r="N527" s="49"/>
      <x:c r="O527" s="50"/>
      <x:c r="P527" s="50"/>
      <x:c r="Q527" s="32">
        <x:v>523</x:v>
      </x:c>
      <x:c r="R527" s="68"/>
      <x:c r="S527" s="54" t="n">
        <x:f>INDEX('Locations'!$D$6:$D$453,MATCH(B527,'Locations'!$A$6:$A$453,0))</x:f>
        <x:v>42.7337312515574</x:v>
      </x:c>
      <x:c r="T527" s="54" t="n">
        <x:f>INDEX('Locations'!$E$6:$E$453,MATCH(B527,'Locations'!$A$6:$A$453,0))</x:f>
        <x:v>-73.6649082730455</x:v>
      </x:c>
      <x:c r="U527" s="54" t="n">
        <x:f>INDEX('Locations'!$D$6:$D$453,MATCH(C527,'Locations'!$A$6:$A$453,0))</x:f>
        <x:v>42.7334032155835</x:v>
      </x:c>
      <x:c r="V527" s="69" t="n">
        <x:f>INDEX('Locations'!$E$6:$E$453,MATCH(C527,'Locations'!$A$6:$A$453,0))</x:f>
        <x:v>-73.665079997263</x:v>
      </x:c>
      <x:c r="W527" s="44"/>
    </x:row>
    <x:row r="528" ht="23" customHeight="1">
      <x:c r="A528" s="21" t="s">
        <x:v>1130</x:v>
      </x:c>
      <x:c r="B528" s="45" t="s">
        <x:v>539</x:v>
      </x:c>
      <x:c r="C528" s="45" t="s">
        <x:v>545</x:v>
      </x:c>
      <x:c r="D528" s="45" t="s">
        <x:v>606</x:v>
      </x:c>
      <x:c r="E528" s="63" t="n">
        <x:f>2*6371000*ASIN(SQRT(MIN(1,SIN(RADIANS(U528-S528)/2)^2+COS(RADIANS(S528))*COS(RADIANS(U528))*SIN(RADIANS(V528-T528)/2)^2)))</x:f>
        <x:v>65.98992802625781</x:v>
      </x:c>
      <x:c r="F528" s="48" t="s">
        <x:v>67</x:v>
      </x:c>
      <x:c r="G528" s="48" t="s">
        <x:v>66</x:v>
      </x:c>
      <x:c r="H528" s="48" t="s">
        <x:v>66</x:v>
      </x:c>
      <x:c r="I528" s="48" t="s">
        <x:v>66</x:v>
      </x:c>
      <x:c r="J528" s="48" t="s">
        <x:v>66</x:v>
      </x:c>
      <x:c r="K528" s="64"/>
      <x:c r="L528" s="64"/>
      <x:c r="M528" s="50"/>
      <x:c r="N528" s="49"/>
      <x:c r="O528" s="50"/>
      <x:c r="P528" s="50"/>
      <x:c r="Q528" s="30">
        <x:v>524</x:v>
      </x:c>
      <x:c r="R528" s="65"/>
      <x:c r="S528" s="46" t="n">
        <x:f>INDEX('Locations'!$D$6:$D$453,MATCH(B528,'Locations'!$A$6:$A$453,0))</x:f>
        <x:v>42.7330123811209</x:v>
      </x:c>
      <x:c r="T528" s="46" t="n">
        <x:f>INDEX('Locations'!$E$6:$E$453,MATCH(B528,'Locations'!$A$6:$A$453,0))</x:f>
        <x:v>-73.6656880024959</x:v>
      </x:c>
      <x:c r="U528" s="46" t="n">
        <x:f>INDEX('Locations'!$D$6:$D$453,MATCH(C528,'Locations'!$A$6:$A$453,0))</x:f>
        <x:v>42.7334032155835</x:v>
      </x:c>
      <x:c r="V528" s="66" t="n">
        <x:f>INDEX('Locations'!$E$6:$E$453,MATCH(C528,'Locations'!$A$6:$A$453,0))</x:f>
        <x:v>-73.665079997263</x:v>
      </x:c>
      <x:c r="W528" s="44"/>
    </x:row>
    <x:row r="529" ht="23" customHeight="1">
      <x:c r="A529" s="24" t="s">
        <x:v>1131</x:v>
      </x:c>
      <x:c r="B529" s="53" t="s">
        <x:v>548</x:v>
      </x:c>
      <x:c r="C529" s="53" t="s">
        <x:v>547</x:v>
      </x:c>
      <x:c r="D529" s="53" t="s">
        <x:v>606</x:v>
      </x:c>
      <x:c r="E529" s="67" t="n">
        <x:f>2*6371000*ASIN(SQRT(MIN(1,SIN(RADIANS(U529-S529)/2)^2+COS(RADIANS(S529))*COS(RADIANS(U529))*SIN(RADIANS(V529-T529)/2)^2)))</x:f>
        <x:v>44.21196257336786</x:v>
      </x:c>
      <x:c r="F529" s="48" t="s">
        <x:v>67</x:v>
      </x:c>
      <x:c r="G529" s="48" t="s">
        <x:v>66</x:v>
      </x:c>
      <x:c r="H529" s="48" t="s">
        <x:v>66</x:v>
      </x:c>
      <x:c r="I529" s="48" t="s">
        <x:v>66</x:v>
      </x:c>
      <x:c r="J529" s="48" t="s">
        <x:v>66</x:v>
      </x:c>
      <x:c r="K529" s="64"/>
      <x:c r="L529" s="64"/>
      <x:c r="M529" s="50"/>
      <x:c r="N529" s="49"/>
      <x:c r="O529" s="50"/>
      <x:c r="P529" s="50"/>
      <x:c r="Q529" s="32">
        <x:v>525</x:v>
      </x:c>
      <x:c r="R529" s="68"/>
      <x:c r="S529" s="54" t="n">
        <x:f>INDEX('Locations'!$D$6:$D$453,MATCH(B529,'Locations'!$A$6:$A$453,0))</x:f>
        <x:v>42.7346527363507</x:v>
      </x:c>
      <x:c r="T529" s="54" t="n">
        <x:f>INDEX('Locations'!$E$6:$E$453,MATCH(B529,'Locations'!$A$6:$A$453,0))</x:f>
        <x:v>-73.6643955934668</x:v>
      </x:c>
      <x:c r="U529" s="54" t="n">
        <x:f>INDEX('Locations'!$D$6:$D$453,MATCH(C529,'Locations'!$A$6:$A$453,0))</x:f>
        <x:v>42.734260752375</x:v>
      </x:c>
      <x:c r="V529" s="69" t="n">
        <x:f>INDEX('Locations'!$E$6:$E$453,MATCH(C529,'Locations'!$A$6:$A$453,0))</x:f>
        <x:v>-73.6644863167607</x:v>
      </x:c>
      <x:c r="W529" s="44"/>
    </x:row>
    <x:row r="530" ht="23" customHeight="1">
      <x:c r="A530" s="21" t="s">
        <x:v>1132</x:v>
      </x:c>
      <x:c r="B530" s="45" t="s">
        <x:v>192</x:v>
      </x:c>
      <x:c r="C530" s="45" t="s">
        <x:v>546</x:v>
      </x:c>
      <x:c r="D530" s="45" t="s">
        <x:v>606</x:v>
      </x:c>
      <x:c r="E530" s="63" t="n">
        <x:f>2*6371000*ASIN(SQRT(MIN(1,SIN(RADIANS(U530-S530)/2)^2+COS(RADIANS(S530))*COS(RADIANS(U530))*SIN(RADIANS(V530-T530)/2)^2)))</x:f>
        <x:v>22.65697830117615</x:v>
      </x:c>
      <x:c r="F530" s="48" t="s">
        <x:v>67</x:v>
      </x:c>
      <x:c r="G530" s="48" t="s">
        <x:v>66</x:v>
      </x:c>
      <x:c r="H530" s="48" t="s">
        <x:v>66</x:v>
      </x:c>
      <x:c r="I530" s="48" t="s">
        <x:v>66</x:v>
      </x:c>
      <x:c r="J530" s="48" t="s">
        <x:v>66</x:v>
      </x:c>
      <x:c r="K530" s="64"/>
      <x:c r="L530" s="64"/>
      <x:c r="M530" s="50"/>
      <x:c r="N530" s="49"/>
      <x:c r="O530" s="50"/>
      <x:c r="P530" s="50"/>
      <x:c r="Q530" s="30">
        <x:v>526</x:v>
      </x:c>
      <x:c r="R530" s="65"/>
      <x:c r="S530" s="46" t="n">
        <x:f>INDEX('Locations'!$D$6:$D$453,MATCH(B530,'Locations'!$A$6:$A$453,0))</x:f>
        <x:v>42.7337312515574</x:v>
      </x:c>
      <x:c r="T530" s="46" t="n">
        <x:f>INDEX('Locations'!$E$6:$E$453,MATCH(B530,'Locations'!$A$6:$A$453,0))</x:f>
        <x:v>-73.6649082730455</x:v>
      </x:c>
      <x:c r="U530" s="46" t="n">
        <x:f>INDEX('Locations'!$D$6:$D$453,MATCH(C530,'Locations'!$A$6:$A$453,0))</x:f>
        <x:v>42.7339319916211</x:v>
      </x:c>
      <x:c r="V530" s="66" t="n">
        <x:f>INDEX('Locations'!$E$6:$E$453,MATCH(C530,'Locations'!$A$6:$A$453,0))</x:f>
        <x:v>-73.6649558495976</x:v>
      </x:c>
      <x:c r="W530" s="44"/>
    </x:row>
    <x:row r="531" ht="23" customHeight="1">
      <x:c r="A531" s="24" t="s">
        <x:v>1133</x:v>
      </x:c>
      <x:c r="B531" s="53" t="s">
        <x:v>547</x:v>
      </x:c>
      <x:c r="C531" s="53" t="s">
        <x:v>546</x:v>
      </x:c>
      <x:c r="D531" s="53" t="s">
        <x:v>606</x:v>
      </x:c>
      <x:c r="E531" s="67" t="n">
        <x:f>2*6371000*ASIN(SQRT(MIN(1,SIN(RADIANS(U531-S531)/2)^2+COS(RADIANS(S531))*COS(RADIANS(U531))*SIN(RADIANS(V531-T531)/2)^2)))</x:f>
        <x:v>52.98105919652449</x:v>
      </x:c>
      <x:c r="F531" s="48" t="s">
        <x:v>67</x:v>
      </x:c>
      <x:c r="G531" s="48" t="s">
        <x:v>66</x:v>
      </x:c>
      <x:c r="H531" s="48" t="s">
        <x:v>66</x:v>
      </x:c>
      <x:c r="I531" s="48" t="s">
        <x:v>66</x:v>
      </x:c>
      <x:c r="J531" s="48" t="s">
        <x:v>66</x:v>
      </x:c>
      <x:c r="K531" s="64"/>
      <x:c r="L531" s="64"/>
      <x:c r="M531" s="50"/>
      <x:c r="N531" s="49"/>
      <x:c r="O531" s="50"/>
      <x:c r="P531" s="50"/>
      <x:c r="Q531" s="32">
        <x:v>527</x:v>
      </x:c>
      <x:c r="R531" s="68"/>
      <x:c r="S531" s="54" t="n">
        <x:f>INDEX('Locations'!$D$6:$D$453,MATCH(B531,'Locations'!$A$6:$A$453,0))</x:f>
        <x:v>42.734260752375</x:v>
      </x:c>
      <x:c r="T531" s="54" t="n">
        <x:f>INDEX('Locations'!$E$6:$E$453,MATCH(B531,'Locations'!$A$6:$A$453,0))</x:f>
        <x:v>-73.6644863167607</x:v>
      </x:c>
      <x:c r="U531" s="54" t="n">
        <x:f>INDEX('Locations'!$D$6:$D$453,MATCH(C531,'Locations'!$A$6:$A$453,0))</x:f>
        <x:v>42.7339319916211</x:v>
      </x:c>
      <x:c r="V531" s="69" t="n">
        <x:f>INDEX('Locations'!$E$6:$E$453,MATCH(C531,'Locations'!$A$6:$A$453,0))</x:f>
        <x:v>-73.6649558495976</x:v>
      </x:c>
      <x:c r="W531" s="44"/>
    </x:row>
    <x:row r="532" ht="23" customHeight="1">
      <x:c r="A532" s="21" t="s">
        <x:v>1134</x:v>
      </x:c>
      <x:c r="B532" s="45" t="s">
        <x:v>549</x:v>
      </x:c>
      <x:c r="C532" s="45" t="s">
        <x:v>166</x:v>
      </x:c>
      <x:c r="D532" s="45" t="s">
        <x:v>606</x:v>
      </x:c>
      <x:c r="E532" s="63" t="n">
        <x:f>2*6371000*ASIN(SQRT(MIN(1,SIN(RADIANS(U532-S532)/2)^2+COS(RADIANS(S532))*COS(RADIANS(U532))*SIN(RADIANS(V532-T532)/2)^2)))</x:f>
        <x:v>25.82985189144047</x:v>
      </x:c>
      <x:c r="F532" s="48" t="s">
        <x:v>67</x:v>
      </x:c>
      <x:c r="G532" s="48" t="s">
        <x:v>66</x:v>
      </x:c>
      <x:c r="H532" s="48" t="s">
        <x:v>66</x:v>
      </x:c>
      <x:c r="I532" s="48" t="s">
        <x:v>66</x:v>
      </x:c>
      <x:c r="J532" s="48" t="s">
        <x:v>66</x:v>
      </x:c>
      <x:c r="K532" s="64"/>
      <x:c r="L532" s="64"/>
      <x:c r="M532" s="50"/>
      <x:c r="N532" s="49"/>
      <x:c r="O532" s="50"/>
      <x:c r="P532" s="50"/>
      <x:c r="Q532" s="30">
        <x:v>528</x:v>
      </x:c>
      <x:c r="R532" s="65"/>
      <x:c r="S532" s="46" t="n">
        <x:f>INDEX('Locations'!$D$6:$D$453,MATCH(B532,'Locations'!$A$6:$A$453,0))</x:f>
        <x:v>42.734481458895</x:v>
      </x:c>
      <x:c r="T532" s="46" t="n">
        <x:f>INDEX('Locations'!$E$6:$E$453,MATCH(B532,'Locations'!$A$6:$A$453,0))</x:f>
        <x:v>-73.6631875411848</x:v>
      </x:c>
      <x:c r="U532" s="46" t="n">
        <x:f>INDEX('Locations'!$D$6:$D$453,MATCH(C532,'Locations'!$A$6:$A$453,0))</x:f>
        <x:v>42.734249293852</x:v>
      </x:c>
      <x:c r="V532" s="66" t="n">
        <x:f>INDEX('Locations'!$E$6:$E$453,MATCH(C532,'Locations'!$A$6:$A$453,0))</x:f>
        <x:v>-73.6631980548119</x:v>
      </x:c>
      <x:c r="W532" s="44"/>
    </x:row>
    <x:row r="533" ht="23" customHeight="1">
      <x:c r="A533" s="24" t="s">
        <x:v>1135</x:v>
      </x:c>
      <x:c r="B533" s="53" t="s">
        <x:v>548</x:v>
      </x:c>
      <x:c r="C533" s="53" t="s">
        <x:v>549</x:v>
      </x:c>
      <x:c r="D533" s="53" t="s">
        <x:v>606</x:v>
      </x:c>
      <x:c r="E533" s="67" t="n">
        <x:f>2*6371000*ASIN(SQRT(MIN(1,SIN(RADIANS(U533-S533)/2)^2+COS(RADIANS(S533))*COS(RADIANS(U533))*SIN(RADIANS(V533-T533)/2)^2)))</x:f>
        <x:v>100.48688787823696</x:v>
      </x:c>
      <x:c r="F533" s="48" t="s">
        <x:v>67</x:v>
      </x:c>
      <x:c r="G533" s="48" t="s">
        <x:v>66</x:v>
      </x:c>
      <x:c r="H533" s="48" t="s">
        <x:v>66</x:v>
      </x:c>
      <x:c r="I533" s="48" t="s">
        <x:v>66</x:v>
      </x:c>
      <x:c r="J533" s="48" t="s">
        <x:v>66</x:v>
      </x:c>
      <x:c r="K533" s="64"/>
      <x:c r="L533" s="64"/>
      <x:c r="M533" s="50"/>
      <x:c r="N533" s="49"/>
      <x:c r="O533" s="50"/>
      <x:c r="P533" s="50"/>
      <x:c r="Q533" s="32">
        <x:v>529</x:v>
      </x:c>
      <x:c r="R533" s="68"/>
      <x:c r="S533" s="54" t="n">
        <x:f>INDEX('Locations'!$D$6:$D$453,MATCH(B533,'Locations'!$A$6:$A$453,0))</x:f>
        <x:v>42.7346527363507</x:v>
      </x:c>
      <x:c r="T533" s="54" t="n">
        <x:f>INDEX('Locations'!$E$6:$E$453,MATCH(B533,'Locations'!$A$6:$A$453,0))</x:f>
        <x:v>-73.6643955934668</x:v>
      </x:c>
      <x:c r="U533" s="54" t="n">
        <x:f>INDEX('Locations'!$D$6:$D$453,MATCH(C533,'Locations'!$A$6:$A$453,0))</x:f>
        <x:v>42.734481458895</x:v>
      </x:c>
      <x:c r="V533" s="69" t="n">
        <x:f>INDEX('Locations'!$E$6:$E$453,MATCH(C533,'Locations'!$A$6:$A$453,0))</x:f>
        <x:v>-73.6631875411848</x:v>
      </x:c>
      <x:c r="W533" s="44"/>
    </x:row>
    <x:row r="534" ht="23" customHeight="1">
      <x:c r="A534" s="21" t="s">
        <x:v>1136</x:v>
      </x:c>
      <x:c r="B534" s="45" t="s">
        <x:v>550</x:v>
      </x:c>
      <x:c r="C534" s="45" t="s">
        <x:v>548</x:v>
      </x:c>
      <x:c r="D534" s="45" t="s">
        <x:v>606</x:v>
      </x:c>
      <x:c r="E534" s="63" t="n">
        <x:f>2*6371000*ASIN(SQRT(MIN(1,SIN(RADIANS(U534-S534)/2)^2+COS(RADIANS(S534))*COS(RADIANS(U534))*SIN(RADIANS(V534-T534)/2)^2)))</x:f>
        <x:v>104.31531923516535</x:v>
      </x:c>
      <x:c r="F534" s="48" t="s">
        <x:v>67</x:v>
      </x:c>
      <x:c r="G534" s="48" t="s">
        <x:v>66</x:v>
      </x:c>
      <x:c r="H534" s="48" t="s">
        <x:v>66</x:v>
      </x:c>
      <x:c r="I534" s="48" t="s">
        <x:v>66</x:v>
      </x:c>
      <x:c r="J534" s="48" t="s">
        <x:v>66</x:v>
      </x:c>
      <x:c r="K534" s="64"/>
      <x:c r="L534" s="64"/>
      <x:c r="M534" s="50"/>
      <x:c r="N534" s="49"/>
      <x:c r="O534" s="50"/>
      <x:c r="P534" s="50"/>
      <x:c r="Q534" s="30">
        <x:v>530</x:v>
      </x:c>
      <x:c r="R534" s="65"/>
      <x:c r="S534" s="46" t="n">
        <x:f>INDEX('Locations'!$D$6:$D$453,MATCH(B534,'Locations'!$A$6:$A$453,0))</x:f>
        <x:v>42.7355872905216</x:v>
      </x:c>
      <x:c r="T534" s="46" t="n">
        <x:f>INDEX('Locations'!$E$6:$E$453,MATCH(B534,'Locations'!$A$6:$A$453,0))</x:f>
        <x:v>-73.6642841788954</x:v>
      </x:c>
      <x:c r="U534" s="46" t="n">
        <x:f>INDEX('Locations'!$D$6:$D$453,MATCH(C534,'Locations'!$A$6:$A$453,0))</x:f>
        <x:v>42.7346527363507</x:v>
      </x:c>
      <x:c r="V534" s="66" t="n">
        <x:f>INDEX('Locations'!$E$6:$E$453,MATCH(C534,'Locations'!$A$6:$A$453,0))</x:f>
        <x:v>-73.6643955934668</x:v>
      </x:c>
      <x:c r="W534" s="44"/>
    </x:row>
    <x:row r="535" ht="23" customHeight="1">
      <x:c r="A535" s="24" t="s">
        <x:v>1137</x:v>
      </x:c>
      <x:c r="B535" s="53" t="s">
        <x:v>558</x:v>
      </x:c>
      <x:c r="C535" s="53" t="s">
        <x:v>92</x:v>
      </x:c>
      <x:c r="D535" s="53" t="s">
        <x:v>606</x:v>
      </x:c>
      <x:c r="E535" s="67" t="n">
        <x:f>2*6371000*ASIN(SQRT(MIN(1,SIN(RADIANS(U535-S535)/2)^2+COS(RADIANS(S535))*COS(RADIANS(U535))*SIN(RADIANS(V535-T535)/2)^2)))</x:f>
        <x:v>11.17472328276367</x:v>
      </x:c>
      <x:c r="F535" s="48" t="s">
        <x:v>67</x:v>
      </x:c>
      <x:c r="G535" s="48" t="s">
        <x:v>66</x:v>
      </x:c>
      <x:c r="H535" s="48" t="s">
        <x:v>66</x:v>
      </x:c>
      <x:c r="I535" s="48" t="s">
        <x:v>66</x:v>
      </x:c>
      <x:c r="J535" s="48" t="s">
        <x:v>66</x:v>
      </x:c>
      <x:c r="K535" s="64"/>
      <x:c r="L535" s="64"/>
      <x:c r="M535" s="50"/>
      <x:c r="N535" s="49"/>
      <x:c r="O535" s="50"/>
      <x:c r="P535" s="50"/>
      <x:c r="Q535" s="32">
        <x:v>531</x:v>
      </x:c>
      <x:c r="R535" s="68"/>
      <x:c r="S535" s="54" t="n">
        <x:f>INDEX('Locations'!$D$6:$D$453,MATCH(B535,'Locations'!$A$6:$A$453,0))</x:f>
        <x:v>42.7351010464696</x:v>
      </x:c>
      <x:c r="T535" s="54" t="n">
        <x:f>INDEX('Locations'!$E$6:$E$453,MATCH(B535,'Locations'!$A$6:$A$453,0))</x:f>
        <x:v>-73.6638974111687</x:v>
      </x:c>
      <x:c r="U535" s="54" t="n">
        <x:f>INDEX('Locations'!$D$6:$D$453,MATCH(C535,'Locations'!$A$6:$A$453,0))</x:f>
        <x:v>42.7350010602975</x:v>
      </x:c>
      <x:c r="V535" s="69" t="n">
        <x:f>INDEX('Locations'!$E$6:$E$453,MATCH(C535,'Locations'!$A$6:$A$453,0))</x:f>
        <x:v>-73.6639111850773</x:v>
      </x:c>
      <x:c r="W535" s="44"/>
    </x:row>
    <x:row r="536" ht="23" customHeight="1">
      <x:c r="A536" s="21" t="s">
        <x:v>1138</x:v>
      </x:c>
      <x:c r="B536" s="45" t="s">
        <x:v>549</x:v>
      </x:c>
      <x:c r="C536" s="45" t="s">
        <x:v>559</x:v>
      </x:c>
      <x:c r="D536" s="45" t="s">
        <x:v>606</x:v>
      </x:c>
      <x:c r="E536" s="63" t="n">
        <x:f>2*6371000*ASIN(SQRT(MIN(1,SIN(RADIANS(U536-S536)/2)^2+COS(RADIANS(S536))*COS(RADIANS(U536))*SIN(RADIANS(V536-T536)/2)^2)))</x:f>
        <x:v>104.7315451127676</x:v>
      </x:c>
      <x:c r="F536" s="48" t="s">
        <x:v>67</x:v>
      </x:c>
      <x:c r="G536" s="48" t="s">
        <x:v>66</x:v>
      </x:c>
      <x:c r="H536" s="48" t="s">
        <x:v>66</x:v>
      </x:c>
      <x:c r="I536" s="48" t="s">
        <x:v>66</x:v>
      </x:c>
      <x:c r="J536" s="48" t="s">
        <x:v>66</x:v>
      </x:c>
      <x:c r="K536" s="64"/>
      <x:c r="L536" s="64"/>
      <x:c r="M536" s="50"/>
      <x:c r="N536" s="49"/>
      <x:c r="O536" s="50"/>
      <x:c r="P536" s="50"/>
      <x:c r="Q536" s="30">
        <x:v>532</x:v>
      </x:c>
      <x:c r="R536" s="65"/>
      <x:c r="S536" s="46" t="n">
        <x:f>INDEX('Locations'!$D$6:$D$453,MATCH(B536,'Locations'!$A$6:$A$453,0))</x:f>
        <x:v>42.734481458895</x:v>
      </x:c>
      <x:c r="T536" s="46" t="n">
        <x:f>INDEX('Locations'!$E$6:$E$453,MATCH(B536,'Locations'!$A$6:$A$453,0))</x:f>
        <x:v>-73.6631875411848</x:v>
      </x:c>
      <x:c r="U536" s="46" t="n">
        <x:f>INDEX('Locations'!$D$6:$D$453,MATCH(C536,'Locations'!$A$6:$A$453,0))</x:f>
        <x:v>42.7354033684215</x:v>
      </x:c>
      <x:c r="V536" s="66" t="n">
        <x:f>INDEX('Locations'!$E$6:$E$453,MATCH(C536,'Locations'!$A$6:$A$453,0))</x:f>
        <x:v>-73.6629249211234</x:v>
      </x:c>
      <x:c r="W536" s="44"/>
    </x:row>
    <x:row r="537" ht="23" customHeight="1">
      <x:c r="A537" s="24" t="s">
        <x:v>1139</x:v>
      </x:c>
      <x:c r="B537" s="53" t="s">
        <x:v>557</x:v>
      </x:c>
      <x:c r="C537" s="53" t="s">
        <x:v>555</x:v>
      </x:c>
      <x:c r="D537" s="53" t="s">
        <x:v>606</x:v>
      </x:c>
      <x:c r="E537" s="67" t="n">
        <x:f>2*6371000*ASIN(SQRT(MIN(1,SIN(RADIANS(U537-S537)/2)^2+COS(RADIANS(S537))*COS(RADIANS(U537))*SIN(RADIANS(V537-T537)/2)^2)))</x:f>
        <x:v>37.60255793575494</x:v>
      </x:c>
      <x:c r="F537" s="48" t="s">
        <x:v>67</x:v>
      </x:c>
      <x:c r="G537" s="48" t="s">
        <x:v>66</x:v>
      </x:c>
      <x:c r="H537" s="48" t="s">
        <x:v>66</x:v>
      </x:c>
      <x:c r="I537" s="48" t="s">
        <x:v>66</x:v>
      </x:c>
      <x:c r="J537" s="48" t="s">
        <x:v>66</x:v>
      </x:c>
      <x:c r="K537" s="64"/>
      <x:c r="L537" s="64"/>
      <x:c r="M537" s="50"/>
      <x:c r="N537" s="49"/>
      <x:c r="O537" s="50"/>
      <x:c r="P537" s="50"/>
      <x:c r="Q537" s="32">
        <x:v>533</x:v>
      </x:c>
      <x:c r="R537" s="68"/>
      <x:c r="S537" s="54" t="n">
        <x:f>INDEX('Locations'!$D$6:$D$453,MATCH(B537,'Locations'!$A$6:$A$453,0))</x:f>
        <x:v>42.7349665534339</x:v>
      </x:c>
      <x:c r="T537" s="54" t="n">
        <x:f>INDEX('Locations'!$E$6:$E$453,MATCH(B537,'Locations'!$A$6:$A$453,0))</x:f>
        <x:v>-73.6633642128624</x:v>
      </x:c>
      <x:c r="U537" s="54" t="n">
        <x:f>INDEX('Locations'!$D$6:$D$453,MATCH(C537,'Locations'!$A$6:$A$453,0))</x:f>
        <x:v>42.7352918656484</x:v>
      </x:c>
      <x:c r="V537" s="69" t="n">
        <x:f>INDEX('Locations'!$E$6:$E$453,MATCH(C537,'Locations'!$A$6:$A$453,0))</x:f>
        <x:v>-73.6632384735603</x:v>
      </x:c>
      <x:c r="W537" s="44"/>
    </x:row>
    <x:row r="538" ht="23" customHeight="1">
      <x:c r="A538" s="21" t="s">
        <x:v>1140</x:v>
      </x:c>
      <x:c r="B538" s="45" t="s">
        <x:v>558</x:v>
      </x:c>
      <x:c r="C538" s="45" t="s">
        <x:v>557</x:v>
      </x:c>
      <x:c r="D538" s="45" t="s">
        <x:v>606</x:v>
      </x:c>
      <x:c r="E538" s="63" t="n">
        <x:f>2*6371000*ASIN(SQRT(MIN(1,SIN(RADIANS(U538-S538)/2)^2+COS(RADIANS(S538))*COS(RADIANS(U538))*SIN(RADIANS(V538-T538)/2)^2)))</x:f>
        <x:v>46.044045846354614</x:v>
      </x:c>
      <x:c r="F538" s="48" t="s">
        <x:v>67</x:v>
      </x:c>
      <x:c r="G538" s="48" t="s">
        <x:v>66</x:v>
      </x:c>
      <x:c r="H538" s="48" t="s">
        <x:v>66</x:v>
      </x:c>
      <x:c r="I538" s="48" t="s">
        <x:v>66</x:v>
      </x:c>
      <x:c r="J538" s="48" t="s">
        <x:v>66</x:v>
      </x:c>
      <x:c r="K538" s="64"/>
      <x:c r="L538" s="64"/>
      <x:c r="M538" s="50"/>
      <x:c r="N538" s="49"/>
      <x:c r="O538" s="50"/>
      <x:c r="P538" s="50"/>
      <x:c r="Q538" s="30">
        <x:v>534</x:v>
      </x:c>
      <x:c r="R538" s="65"/>
      <x:c r="S538" s="46" t="n">
        <x:f>INDEX('Locations'!$D$6:$D$453,MATCH(B538,'Locations'!$A$6:$A$453,0))</x:f>
        <x:v>42.7351010464696</x:v>
      </x:c>
      <x:c r="T538" s="46" t="n">
        <x:f>INDEX('Locations'!$E$6:$E$453,MATCH(B538,'Locations'!$A$6:$A$453,0))</x:f>
        <x:v>-73.6638974111687</x:v>
      </x:c>
      <x:c r="U538" s="46" t="n">
        <x:f>INDEX('Locations'!$D$6:$D$453,MATCH(C538,'Locations'!$A$6:$A$453,0))</x:f>
        <x:v>42.7349665534339</x:v>
      </x:c>
      <x:c r="V538" s="66" t="n">
        <x:f>INDEX('Locations'!$E$6:$E$453,MATCH(C538,'Locations'!$A$6:$A$453,0))</x:f>
        <x:v>-73.6633642128624</x:v>
      </x:c>
      <x:c r="W538" s="44"/>
    </x:row>
    <x:row r="539" ht="23" customHeight="1">
      <x:c r="A539" s="24" t="s">
        <x:v>1141</x:v>
      </x:c>
      <x:c r="B539" s="53" t="s">
        <x:v>553</x:v>
      </x:c>
      <x:c r="C539" s="53" t="s">
        <x:v>558</x:v>
      </x:c>
      <x:c r="D539" s="53" t="s">
        <x:v>606</x:v>
      </x:c>
      <x:c r="E539" s="67" t="n">
        <x:f>2*6371000*ASIN(SQRT(MIN(1,SIN(RADIANS(U539-S539)/2)^2+COS(RADIANS(S539))*COS(RADIANS(U539))*SIN(RADIANS(V539-T539)/2)^2)))</x:f>
        <x:v>31.003931227627593</x:v>
      </x:c>
      <x:c r="F539" s="48" t="s">
        <x:v>67</x:v>
      </x:c>
      <x:c r="G539" s="48" t="s">
        <x:v>66</x:v>
      </x:c>
      <x:c r="H539" s="48" t="s">
        <x:v>66</x:v>
      </x:c>
      <x:c r="I539" s="48" t="s">
        <x:v>66</x:v>
      </x:c>
      <x:c r="J539" s="48" t="s">
        <x:v>66</x:v>
      </x:c>
      <x:c r="K539" s="64"/>
      <x:c r="L539" s="64"/>
      <x:c r="M539" s="50"/>
      <x:c r="N539" s="49"/>
      <x:c r="O539" s="50"/>
      <x:c r="P539" s="50"/>
      <x:c r="Q539" s="32">
        <x:v>535</x:v>
      </x:c>
      <x:c r="R539" s="68"/>
      <x:c r="S539" s="54" t="n">
        <x:f>INDEX('Locations'!$D$6:$D$453,MATCH(B539,'Locations'!$A$6:$A$453,0))</x:f>
        <x:v>42.7353780791328</x:v>
      </x:c>
      <x:c r="T539" s="54" t="n">
        <x:f>INDEX('Locations'!$E$6:$E$453,MATCH(B539,'Locations'!$A$6:$A$453,0))</x:f>
        <x:v>-73.6638544369768</x:v>
      </x:c>
      <x:c r="U539" s="54" t="n">
        <x:f>INDEX('Locations'!$D$6:$D$453,MATCH(C539,'Locations'!$A$6:$A$453,0))</x:f>
        <x:v>42.7351010464696</x:v>
      </x:c>
      <x:c r="V539" s="69" t="n">
        <x:f>INDEX('Locations'!$E$6:$E$453,MATCH(C539,'Locations'!$A$6:$A$453,0))</x:f>
        <x:v>-73.6638974111687</x:v>
      </x:c>
      <x:c r="W539" s="44"/>
    </x:row>
    <x:row r="540" ht="23" customHeight="1">
      <x:c r="A540" s="21" t="s">
        <x:v>1142</x:v>
      </x:c>
      <x:c r="B540" s="45" t="s">
        <x:v>556</x:v>
      </x:c>
      <x:c r="C540" s="45" t="s">
        <x:v>551</x:v>
      </x:c>
      <x:c r="D540" s="45" t="s">
        <x:v>606</x:v>
      </x:c>
      <x:c r="E540" s="63" t="n">
        <x:f>2*6371000*ASIN(SQRT(MIN(1,SIN(RADIANS(U540-S540)/2)^2+COS(RADIANS(S540))*COS(RADIANS(U540))*SIN(RADIANS(V540-T540)/2)^2)))</x:f>
        <x:v>19.846368731302704</x:v>
      </x:c>
      <x:c r="F540" s="48" t="s">
        <x:v>67</x:v>
      </x:c>
      <x:c r="G540" s="48" t="s">
        <x:v>66</x:v>
      </x:c>
      <x:c r="H540" s="48" t="s">
        <x:v>66</x:v>
      </x:c>
      <x:c r="I540" s="48" t="s">
        <x:v>66</x:v>
      </x:c>
      <x:c r="J540" s="48" t="s">
        <x:v>66</x:v>
      </x:c>
      <x:c r="K540" s="64"/>
      <x:c r="L540" s="64"/>
      <x:c r="M540" s="50"/>
      <x:c r="N540" s="49"/>
      <x:c r="O540" s="50"/>
      <x:c r="P540" s="50"/>
      <x:c r="Q540" s="30">
        <x:v>536</x:v>
      </x:c>
      <x:c r="R540" s="65"/>
      <x:c r="S540" s="46" t="n">
        <x:f>INDEX('Locations'!$D$6:$D$453,MATCH(B540,'Locations'!$A$6:$A$453,0))</x:f>
        <x:v>42.7353389956865</x:v>
      </x:c>
      <x:c r="T540" s="46" t="n">
        <x:f>INDEX('Locations'!$E$6:$E$453,MATCH(B540,'Locations'!$A$6:$A$453,0))</x:f>
        <x:v>-73.6635615758176</x:v>
      </x:c>
      <x:c r="U540" s="46" t="n">
        <x:f>INDEX('Locations'!$D$6:$D$453,MATCH(C540,'Locations'!$A$6:$A$453,0))</x:f>
        <x:v>42.7355148711947</x:v>
      </x:c>
      <x:c r="V540" s="66" t="n">
        <x:f>INDEX('Locations'!$E$6:$E$453,MATCH(C540,'Locations'!$A$6:$A$453,0))</x:f>
        <x:v>-73.6635201932624</x:v>
      </x:c>
      <x:c r="W540" s="44"/>
    </x:row>
    <x:row r="541" ht="23" customHeight="1">
      <x:c r="A541" s="24" t="s">
        <x:v>1143</x:v>
      </x:c>
      <x:c r="B541" s="53" t="s">
        <x:v>552</x:v>
      </x:c>
      <x:c r="C541" s="53" t="s">
        <x:v>553</x:v>
      </x:c>
      <x:c r="D541" s="53" t="s">
        <x:v>606</x:v>
      </x:c>
      <x:c r="E541" s="67" t="n">
        <x:f>2*6371000*ASIN(SQRT(MIN(1,SIN(RADIANS(U541-S541)/2)^2+COS(RADIANS(S541))*COS(RADIANS(U541))*SIN(RADIANS(V541-T541)/2)^2)))</x:f>
        <x:v>16.984541670972376</x:v>
      </x:c>
      <x:c r="F541" s="48" t="s">
        <x:v>67</x:v>
      </x:c>
      <x:c r="G541" s="48" t="s">
        <x:v>66</x:v>
      </x:c>
      <x:c r="H541" s="48" t="s">
        <x:v>66</x:v>
      </x:c>
      <x:c r="I541" s="48" t="s">
        <x:v>66</x:v>
      </x:c>
      <x:c r="J541" s="48" t="s">
        <x:v>66</x:v>
      </x:c>
      <x:c r="K541" s="64"/>
      <x:c r="L541" s="64"/>
      <x:c r="M541" s="50"/>
      <x:c r="N541" s="49"/>
      <x:c r="O541" s="50"/>
      <x:c r="P541" s="50"/>
      <x:c r="Q541" s="32">
        <x:v>537</x:v>
      </x:c>
      <x:c r="R541" s="68"/>
      <x:c r="S541" s="54" t="n">
        <x:f>INDEX('Locations'!$D$6:$D$453,MATCH(B541,'Locations'!$A$6:$A$453,0))</x:f>
        <x:v>42.7355298148653</x:v>
      </x:c>
      <x:c r="T541" s="54" t="n">
        <x:f>INDEX('Locations'!$E$6:$E$453,MATCH(B541,'Locations'!$A$6:$A$453,0))</x:f>
        <x:v>-73.6638305624258</x:v>
      </x:c>
      <x:c r="U541" s="54" t="n">
        <x:f>INDEX('Locations'!$D$6:$D$453,MATCH(C541,'Locations'!$A$6:$A$453,0))</x:f>
        <x:v>42.7353780791328</x:v>
      </x:c>
      <x:c r="V541" s="69" t="n">
        <x:f>INDEX('Locations'!$E$6:$E$453,MATCH(C541,'Locations'!$A$6:$A$453,0))</x:f>
        <x:v>-73.6638544369768</x:v>
      </x:c>
      <x:c r="W541" s="44"/>
    </x:row>
    <x:row r="542" ht="23" customHeight="1">
      <x:c r="A542" s="21" t="s">
        <x:v>1144</x:v>
      </x:c>
      <x:c r="B542" s="45" t="s">
        <x:v>552</x:v>
      </x:c>
      <x:c r="C542" s="45" t="s">
        <x:v>551</x:v>
      </x:c>
      <x:c r="D542" s="45" t="s">
        <x:v>606</x:v>
      </x:c>
      <x:c r="E542" s="63" t="n">
        <x:f>2*6371000*ASIN(SQRT(MIN(1,SIN(RADIANS(U542-S542)/2)^2+COS(RADIANS(S542))*COS(RADIANS(U542))*SIN(RADIANS(V542-T542)/2)^2)))</x:f>
        <x:v>25.40287732823061</x:v>
      </x:c>
      <x:c r="F542" s="48" t="s">
        <x:v>67</x:v>
      </x:c>
      <x:c r="G542" s="48" t="s">
        <x:v>66</x:v>
      </x:c>
      <x:c r="H542" s="48" t="s">
        <x:v>66</x:v>
      </x:c>
      <x:c r="I542" s="48" t="s">
        <x:v>66</x:v>
      </x:c>
      <x:c r="J542" s="48" t="s">
        <x:v>66</x:v>
      </x:c>
      <x:c r="K542" s="64"/>
      <x:c r="L542" s="64"/>
      <x:c r="M542" s="50"/>
      <x:c r="N542" s="49"/>
      <x:c r="O542" s="50"/>
      <x:c r="P542" s="50"/>
      <x:c r="Q542" s="30">
        <x:v>538</x:v>
      </x:c>
      <x:c r="R542" s="65"/>
      <x:c r="S542" s="46" t="n">
        <x:f>INDEX('Locations'!$D$6:$D$453,MATCH(B542,'Locations'!$A$6:$A$453,0))</x:f>
        <x:v>42.7355298148653</x:v>
      </x:c>
      <x:c r="T542" s="46" t="n">
        <x:f>INDEX('Locations'!$E$6:$E$453,MATCH(B542,'Locations'!$A$6:$A$453,0))</x:f>
        <x:v>-73.6638305624258</x:v>
      </x:c>
      <x:c r="U542" s="46" t="n">
        <x:f>INDEX('Locations'!$D$6:$D$453,MATCH(C542,'Locations'!$A$6:$A$453,0))</x:f>
        <x:v>42.7355148711947</x:v>
      </x:c>
      <x:c r="V542" s="66" t="n">
        <x:f>INDEX('Locations'!$E$6:$E$453,MATCH(C542,'Locations'!$A$6:$A$453,0))</x:f>
        <x:v>-73.6635201932624</x:v>
      </x:c>
      <x:c r="W542" s="44"/>
    </x:row>
    <x:row r="543" ht="23" customHeight="1">
      <x:c r="A543" s="24" t="s">
        <x:v>1145</x:v>
      </x:c>
      <x:c r="B543" s="53" t="s">
        <x:v>554</x:v>
      </x:c>
      <x:c r="C543" s="53" t="s">
        <x:v>555</x:v>
      </x:c>
      <x:c r="D543" s="53" t="s">
        <x:v>606</x:v>
      </x:c>
      <x:c r="E543" s="67" t="n">
        <x:f>2*6371000*ASIN(SQRT(MIN(1,SIN(RADIANS(U543-S543)/2)^2+COS(RADIANS(S543))*COS(RADIANS(U543))*SIN(RADIANS(V543-T543)/2)^2)))</x:f>
        <x:v>16.320867579207537</x:v>
      </x:c>
      <x:c r="F543" s="48" t="s">
        <x:v>67</x:v>
      </x:c>
      <x:c r="G543" s="48" t="s">
        <x:v>66</x:v>
      </x:c>
      <x:c r="H543" s="48" t="s">
        <x:v>66</x:v>
      </x:c>
      <x:c r="I543" s="48" t="s">
        <x:v>66</x:v>
      </x:c>
      <x:c r="J543" s="48" t="s">
        <x:v>66</x:v>
      </x:c>
      <x:c r="K543" s="64"/>
      <x:c r="L543" s="64"/>
      <x:c r="M543" s="50"/>
      <x:c r="N543" s="49"/>
      <x:c r="O543" s="50"/>
      <x:c r="P543" s="50"/>
      <x:c r="Q543" s="32">
        <x:v>539</x:v>
      </x:c>
      <x:c r="R543" s="68"/>
      <x:c r="S543" s="54" t="n">
        <x:f>INDEX('Locations'!$D$6:$D$453,MATCH(B543,'Locations'!$A$6:$A$453,0))</x:f>
        <x:v>42.7354378538153</x:v>
      </x:c>
      <x:c r="T543" s="54" t="n">
        <x:f>INDEX('Locations'!$E$6:$E$453,MATCH(B543,'Locations'!$A$6:$A$453,0))</x:f>
        <x:v>-73.6632177822827</x:v>
      </x:c>
      <x:c r="U543" s="54" t="n">
        <x:f>INDEX('Locations'!$D$6:$D$453,MATCH(C543,'Locations'!$A$6:$A$453,0))</x:f>
        <x:v>42.7352918656484</x:v>
      </x:c>
      <x:c r="V543" s="69" t="n">
        <x:f>INDEX('Locations'!$E$6:$E$453,MATCH(C543,'Locations'!$A$6:$A$453,0))</x:f>
        <x:v>-73.6632384735603</x:v>
      </x:c>
      <x:c r="W543" s="44"/>
    </x:row>
    <x:row r="544" ht="23" customHeight="1">
      <x:c r="A544" s="21" t="s">
        <x:v>1146</x:v>
      </x:c>
      <x:c r="B544" s="45" t="s">
        <x:v>559</x:v>
      </x:c>
      <x:c r="C544" s="45" t="s">
        <x:v>554</x:v>
      </x:c>
      <x:c r="D544" s="45" t="s">
        <x:v>606</x:v>
      </x:c>
      <x:c r="E544" s="63" t="n">
        <x:f>2*6371000*ASIN(SQRT(MIN(1,SIN(RADIANS(U544-S544)/2)^2+COS(RADIANS(S544))*COS(RADIANS(U544))*SIN(RADIANS(V544-T544)/2)^2)))</x:f>
        <x:v>24.224027166598272</x:v>
      </x:c>
      <x:c r="F544" s="48" t="s">
        <x:v>67</x:v>
      </x:c>
      <x:c r="G544" s="48" t="s">
        <x:v>66</x:v>
      </x:c>
      <x:c r="H544" s="48" t="s">
        <x:v>66</x:v>
      </x:c>
      <x:c r="I544" s="48" t="s">
        <x:v>66</x:v>
      </x:c>
      <x:c r="J544" s="48" t="s">
        <x:v>66</x:v>
      </x:c>
      <x:c r="K544" s="64"/>
      <x:c r="L544" s="64"/>
      <x:c r="M544" s="50"/>
      <x:c r="N544" s="49"/>
      <x:c r="O544" s="50"/>
      <x:c r="P544" s="50"/>
      <x:c r="Q544" s="30">
        <x:v>540</x:v>
      </x:c>
      <x:c r="R544" s="65"/>
      <x:c r="S544" s="46" t="n">
        <x:f>INDEX('Locations'!$D$6:$D$453,MATCH(B544,'Locations'!$A$6:$A$453,0))</x:f>
        <x:v>42.7354033684215</x:v>
      </x:c>
      <x:c r="T544" s="46" t="n">
        <x:f>INDEX('Locations'!$E$6:$E$453,MATCH(B544,'Locations'!$A$6:$A$453,0))</x:f>
        <x:v>-73.6629249211234</x:v>
      </x:c>
      <x:c r="U544" s="46" t="n">
        <x:f>INDEX('Locations'!$D$6:$D$453,MATCH(C544,'Locations'!$A$6:$A$453,0))</x:f>
        <x:v>42.7354378538153</x:v>
      </x:c>
      <x:c r="V544" s="66" t="n">
        <x:f>INDEX('Locations'!$E$6:$E$453,MATCH(C544,'Locations'!$A$6:$A$453,0))</x:f>
        <x:v>-73.6632177822827</x:v>
      </x:c>
      <x:c r="W544" s="44"/>
    </x:row>
    <x:row r="545" ht="23" customHeight="1">
      <x:c r="A545" s="24" t="s">
        <x:v>1147</x:v>
      </x:c>
      <x:c r="B545" s="53" t="s">
        <x:v>551</x:v>
      </x:c>
      <x:c r="C545" s="53" t="s">
        <x:v>554</x:v>
      </x:c>
      <x:c r="D545" s="53" t="s">
        <x:v>606</x:v>
      </x:c>
      <x:c r="E545" s="67" t="n">
        <x:f>2*6371000*ASIN(SQRT(MIN(1,SIN(RADIANS(U545-S545)/2)^2+COS(RADIANS(S545))*COS(RADIANS(U545))*SIN(RADIANS(V545-T545)/2)^2)))</x:f>
        <x:v>26.14112633915015</x:v>
      </x:c>
      <x:c r="F545" s="48" t="s">
        <x:v>67</x:v>
      </x:c>
      <x:c r="G545" s="48" t="s">
        <x:v>66</x:v>
      </x:c>
      <x:c r="H545" s="48" t="s">
        <x:v>66</x:v>
      </x:c>
      <x:c r="I545" s="48" t="s">
        <x:v>66</x:v>
      </x:c>
      <x:c r="J545" s="48" t="s">
        <x:v>66</x:v>
      </x:c>
      <x:c r="K545" s="64"/>
      <x:c r="L545" s="64"/>
      <x:c r="M545" s="50"/>
      <x:c r="N545" s="49"/>
      <x:c r="O545" s="50"/>
      <x:c r="P545" s="50"/>
      <x:c r="Q545" s="32">
        <x:v>541</x:v>
      </x:c>
      <x:c r="R545" s="68"/>
      <x:c r="S545" s="54" t="n">
        <x:f>INDEX('Locations'!$D$6:$D$453,MATCH(B545,'Locations'!$A$6:$A$453,0))</x:f>
        <x:v>42.7355148711947</x:v>
      </x:c>
      <x:c r="T545" s="54" t="n">
        <x:f>INDEX('Locations'!$E$6:$E$453,MATCH(B545,'Locations'!$A$6:$A$453,0))</x:f>
        <x:v>-73.6635201932624</x:v>
      </x:c>
      <x:c r="U545" s="54" t="n">
        <x:f>INDEX('Locations'!$D$6:$D$453,MATCH(C545,'Locations'!$A$6:$A$453,0))</x:f>
        <x:v>42.7354378538153</x:v>
      </x:c>
      <x:c r="V545" s="69" t="n">
        <x:f>INDEX('Locations'!$E$6:$E$453,MATCH(C545,'Locations'!$A$6:$A$453,0))</x:f>
        <x:v>-73.6632177822827</x:v>
      </x:c>
      <x:c r="W545" s="44"/>
    </x:row>
    <x:row r="546" ht="23" customHeight="1">
      <x:c r="A546" s="21" t="s">
        <x:v>1148</x:v>
      </x:c>
      <x:c r="B546" s="45" t="s">
        <x:v>552</x:v>
      </x:c>
      <x:c r="C546" s="45" t="s">
        <x:v>550</x:v>
      </x:c>
      <x:c r="D546" s="45" t="s">
        <x:v>606</x:v>
      </x:c>
      <x:c r="E546" s="63" t="n">
        <x:f>2*6371000*ASIN(SQRT(MIN(1,SIN(RADIANS(U546-S546)/2)^2+COS(RADIANS(S546))*COS(RADIANS(U546))*SIN(RADIANS(V546-T546)/2)^2)))</x:f>
        <x:v>37.59495152007978</x:v>
      </x:c>
      <x:c r="F546" s="48" t="s">
        <x:v>67</x:v>
      </x:c>
      <x:c r="G546" s="48" t="s">
        <x:v>66</x:v>
      </x:c>
      <x:c r="H546" s="48" t="s">
        <x:v>66</x:v>
      </x:c>
      <x:c r="I546" s="48" t="s">
        <x:v>66</x:v>
      </x:c>
      <x:c r="J546" s="48" t="s">
        <x:v>66</x:v>
      </x:c>
      <x:c r="K546" s="64"/>
      <x:c r="L546" s="64"/>
      <x:c r="M546" s="50"/>
      <x:c r="N546" s="49"/>
      <x:c r="O546" s="50"/>
      <x:c r="P546" s="50"/>
      <x:c r="Q546" s="30">
        <x:v>542</x:v>
      </x:c>
      <x:c r="R546" s="65"/>
      <x:c r="S546" s="46" t="n">
        <x:f>INDEX('Locations'!$D$6:$D$453,MATCH(B546,'Locations'!$A$6:$A$453,0))</x:f>
        <x:v>42.7355298148653</x:v>
      </x:c>
      <x:c r="T546" s="46" t="n">
        <x:f>INDEX('Locations'!$E$6:$E$453,MATCH(B546,'Locations'!$A$6:$A$453,0))</x:f>
        <x:v>-73.6638305624258</x:v>
      </x:c>
      <x:c r="U546" s="46" t="n">
        <x:f>INDEX('Locations'!$D$6:$D$453,MATCH(C546,'Locations'!$A$6:$A$453,0))</x:f>
        <x:v>42.7355872905216</x:v>
      </x:c>
      <x:c r="V546" s="66" t="n">
        <x:f>INDEX('Locations'!$E$6:$E$453,MATCH(C546,'Locations'!$A$6:$A$453,0))</x:f>
        <x:v>-73.6642841788954</x:v>
      </x:c>
      <x:c r="W546" s="44"/>
    </x:row>
    <x:row r="547" ht="23" customHeight="1">
      <x:c r="A547" s="24" t="s">
        <x:v>1149</x:v>
      </x:c>
      <x:c r="B547" s="53" t="s">
        <x:v>132</x:v>
      </x:c>
      <x:c r="C547" s="53" t="s">
        <x:v>560</x:v>
      </x:c>
      <x:c r="D547" s="53" t="s">
        <x:v>606</x:v>
      </x:c>
      <x:c r="E547" s="67" t="n">
        <x:f>2*6371000*ASIN(SQRT(MIN(1,SIN(RADIANS(U547-S547)/2)^2+COS(RADIANS(S547))*COS(RADIANS(U547))*SIN(RADIANS(V547-T547)/2)^2)))</x:f>
        <x:v>66.15456961395954</x:v>
      </x:c>
      <x:c r="F547" s="48" t="s">
        <x:v>67</x:v>
      </x:c>
      <x:c r="G547" s="48" t="s">
        <x:v>66</x:v>
      </x:c>
      <x:c r="H547" s="48" t="s">
        <x:v>66</x:v>
      </x:c>
      <x:c r="I547" s="48" t="s">
        <x:v>66</x:v>
      </x:c>
      <x:c r="J547" s="48" t="s">
        <x:v>66</x:v>
      </x:c>
      <x:c r="K547" s="64"/>
      <x:c r="L547" s="64"/>
      <x:c r="M547" s="50"/>
      <x:c r="N547" s="49"/>
      <x:c r="O547" s="50"/>
      <x:c r="P547" s="50"/>
      <x:c r="Q547" s="32">
        <x:v>543</x:v>
      </x:c>
      <x:c r="R547" s="68"/>
      <x:c r="S547" s="54" t="n">
        <x:f>INDEX('Locations'!$D$6:$D$453,MATCH(B547,'Locations'!$A$6:$A$453,0))</x:f>
        <x:v>42.7331555238384</x:v>
      </x:c>
      <x:c r="T547" s="54" t="n">
        <x:f>INDEX('Locations'!$E$6:$E$453,MATCH(B547,'Locations'!$A$6:$A$453,0))</x:f>
        <x:v>-73.6689110910544</x:v>
      </x:c>
      <x:c r="U547" s="54" t="n">
        <x:f>INDEX('Locations'!$D$6:$D$453,MATCH(C547,'Locations'!$A$6:$A$453,0))</x:f>
        <x:v>42.7327433950496</x:v>
      </x:c>
      <x:c r="V547" s="69" t="n">
        <x:f>INDEX('Locations'!$E$6:$E$453,MATCH(C547,'Locations'!$A$6:$A$453,0))</x:f>
        <x:v>-73.6683269362029</x:v>
      </x:c>
      <x:c r="W547" s="44"/>
    </x:row>
    <x:row r="548" ht="23" customHeight="1">
      <x:c r="A548" s="21" t="s">
        <x:v>1150</x:v>
      </x:c>
      <x:c r="B548" s="45" t="s">
        <x:v>516</x:v>
      </x:c>
      <x:c r="C548" s="45" t="s">
        <x:v>560</x:v>
      </x:c>
      <x:c r="D548" s="45" t="s">
        <x:v>606</x:v>
      </x:c>
      <x:c r="E548" s="63" t="n">
        <x:f>2*6371000*ASIN(SQRT(MIN(1,SIN(RADIANS(U548-S548)/2)^2+COS(RADIANS(S548))*COS(RADIANS(U548))*SIN(RADIANS(V548-T548)/2)^2)))</x:f>
        <x:v>38.46907764826972</x:v>
      </x:c>
      <x:c r="F548" s="48" t="s">
        <x:v>67</x:v>
      </x:c>
      <x:c r="G548" s="48" t="s">
        <x:v>66</x:v>
      </x:c>
      <x:c r="H548" s="48" t="s">
        <x:v>66</x:v>
      </x:c>
      <x:c r="I548" s="48" t="s">
        <x:v>66</x:v>
      </x:c>
      <x:c r="J548" s="48" t="s">
        <x:v>66</x:v>
      </x:c>
      <x:c r="K548" s="64"/>
      <x:c r="L548" s="64"/>
      <x:c r="M548" s="50"/>
      <x:c r="N548" s="49"/>
      <x:c r="O548" s="50"/>
      <x:c r="P548" s="50"/>
      <x:c r="Q548" s="30">
        <x:v>544</x:v>
      </x:c>
      <x:c r="R548" s="65"/>
      <x:c r="S548" s="46" t="n">
        <x:f>INDEX('Locations'!$D$6:$D$453,MATCH(B548,'Locations'!$A$6:$A$453,0))</x:f>
        <x:v>42.732426129427</x:v>
      </x:c>
      <x:c r="T548" s="46" t="n">
        <x:f>INDEX('Locations'!$E$6:$E$453,MATCH(B548,'Locations'!$A$6:$A$453,0))</x:f>
        <x:v>-73.6685147493377</x:v>
      </x:c>
      <x:c r="U548" s="46" t="n">
        <x:f>INDEX('Locations'!$D$6:$D$453,MATCH(C548,'Locations'!$A$6:$A$453,0))</x:f>
        <x:v>42.7327433950496</x:v>
      </x:c>
      <x:c r="V548" s="66" t="n">
        <x:f>INDEX('Locations'!$E$6:$E$453,MATCH(C548,'Locations'!$A$6:$A$453,0))</x:f>
        <x:v>-73.6683269362029</x:v>
      </x:c>
      <x:c r="W548" s="44"/>
    </x:row>
    <x:row r="549" ht="23" customHeight="1">
      <x:c r="A549" s="24" t="s">
        <x:v>1151</x:v>
      </x:c>
      <x:c r="B549" s="53" t="s">
        <x:v>561</x:v>
      </x:c>
      <x:c r="C549" s="53" t="s">
        <x:v>543</x:v>
      </x:c>
      <x:c r="D549" s="53" t="s">
        <x:v>606</x:v>
      </x:c>
      <x:c r="E549" s="67" t="n">
        <x:f>2*6371000*ASIN(SQRT(MIN(1,SIN(RADIANS(U549-S549)/2)^2+COS(RADIANS(S549))*COS(RADIANS(U549))*SIN(RADIANS(V549-T549)/2)^2)))</x:f>
        <x:v>38.37597953138655</x:v>
      </x:c>
      <x:c r="F549" s="48" t="s">
        <x:v>67</x:v>
      </x:c>
      <x:c r="G549" s="48" t="s">
        <x:v>66</x:v>
      </x:c>
      <x:c r="H549" s="48" t="s">
        <x:v>66</x:v>
      </x:c>
      <x:c r="I549" s="48" t="s">
        <x:v>66</x:v>
      </x:c>
      <x:c r="J549" s="48" t="s">
        <x:v>66</x:v>
      </x:c>
      <x:c r="K549" s="64"/>
      <x:c r="L549" s="64"/>
      <x:c r="M549" s="50"/>
      <x:c r="N549" s="49"/>
      <x:c r="O549" s="50"/>
      <x:c r="P549" s="50"/>
      <x:c r="Q549" s="32">
        <x:v>545</x:v>
      </x:c>
      <x:c r="R549" s="68"/>
      <x:c r="S549" s="54" t="n">
        <x:f>INDEX('Locations'!$D$6:$D$453,MATCH(B549,'Locations'!$A$6:$A$453,0))</x:f>
        <x:v>42.7339319916211</x:v>
      </x:c>
      <x:c r="T549" s="54" t="n">
        <x:f>INDEX('Locations'!$E$6:$E$453,MATCH(B549,'Locations'!$A$6:$A$453,0))</x:f>
        <x:v>-73.6657325683245</x:v>
      </x:c>
      <x:c r="U549" s="54" t="n">
        <x:f>INDEX('Locations'!$D$6:$D$453,MATCH(C549,'Locations'!$A$6:$A$453,0))</x:f>
        <x:v>42.7335997823279</x:v>
      </x:c>
      <x:c r="V549" s="69" t="n">
        <x:f>INDEX('Locations'!$E$6:$E$453,MATCH(C549,'Locations'!$A$6:$A$453,0))</x:f>
        <x:v>-73.6658598992633</x:v>
      </x:c>
      <x:c r="W549" s="44"/>
    </x:row>
    <x:row r="550" ht="23" customHeight="1">
      <x:c r="A550" s="21" t="s">
        <x:v>1152</x:v>
      </x:c>
      <x:c r="B550" s="45" t="s">
        <x:v>562</x:v>
      </x:c>
      <x:c r="C550" s="45" t="s">
        <x:v>561</x:v>
      </x:c>
      <x:c r="D550" s="45" t="s">
        <x:v>606</x:v>
      </x:c>
      <x:c r="E550" s="63" t="n">
        <x:f>2*6371000*ASIN(SQRT(MIN(1,SIN(RADIANS(U550-S550)/2)^2+COS(RADIANS(S550))*COS(RADIANS(U550))*SIN(RADIANS(V550-T550)/2)^2)))</x:f>
        <x:v>36.63665922856047</x:v>
      </x:c>
      <x:c r="F550" s="48" t="s">
        <x:v>67</x:v>
      </x:c>
      <x:c r="G550" s="48" t="s">
        <x:v>66</x:v>
      </x:c>
      <x:c r="H550" s="48" t="s">
        <x:v>66</x:v>
      </x:c>
      <x:c r="I550" s="48" t="s">
        <x:v>66</x:v>
      </x:c>
      <x:c r="J550" s="48" t="s">
        <x:v>66</x:v>
      </x:c>
      <x:c r="K550" s="64"/>
      <x:c r="L550" s="64"/>
      <x:c r="M550" s="50"/>
      <x:c r="N550" s="49"/>
      <x:c r="O550" s="50"/>
      <x:c r="P550" s="50"/>
      <x:c r="Q550" s="30">
        <x:v>546</x:v>
      </x:c>
      <x:c r="R550" s="65"/>
      <x:c r="S550" s="46" t="n">
        <x:f>INDEX('Locations'!$D$6:$D$453,MATCH(B550,'Locations'!$A$6:$A$453,0))</x:f>
        <x:v>42.7339986633824</x:v>
      </x:c>
      <x:c r="T550" s="46" t="n">
        <x:f>INDEX('Locations'!$E$6:$E$453,MATCH(B550,'Locations'!$A$6:$A$453,0))</x:f>
        <x:v>-73.6661718600634</x:v>
      </x:c>
      <x:c r="U550" s="46" t="n">
        <x:f>INDEX('Locations'!$D$6:$D$453,MATCH(C550,'Locations'!$A$6:$A$453,0))</x:f>
        <x:v>42.7339319916211</x:v>
      </x:c>
      <x:c r="V550" s="66" t="n">
        <x:f>INDEX('Locations'!$E$6:$E$453,MATCH(C550,'Locations'!$A$6:$A$453,0))</x:f>
        <x:v>-73.6657325683245</x:v>
      </x:c>
      <x:c r="W550" s="44"/>
    </x:row>
    <x:row r="551" ht="23" customHeight="1">
      <x:c r="A551" s="24" t="s">
        <x:v>1153</x:v>
      </x:c>
      <x:c r="B551" s="53" t="s">
        <x:v>563</x:v>
      </x:c>
      <x:c r="C551" s="53" t="s">
        <x:v>562</x:v>
      </x:c>
      <x:c r="D551" s="53" t="s">
        <x:v>606</x:v>
      </x:c>
      <x:c r="E551" s="67" t="n">
        <x:f>2*6371000*ASIN(SQRT(MIN(1,SIN(RADIANS(U551-S551)/2)^2+COS(RADIANS(S551))*COS(RADIANS(U551))*SIN(RADIANS(V551-T551)/2)^2)))</x:f>
        <x:v>100.24828204388145</x:v>
      </x:c>
      <x:c r="F551" s="48" t="s">
        <x:v>67</x:v>
      </x:c>
      <x:c r="G551" s="48" t="s">
        <x:v>66</x:v>
      </x:c>
      <x:c r="H551" s="48" t="s">
        <x:v>66</x:v>
      </x:c>
      <x:c r="I551" s="48" t="s">
        <x:v>66</x:v>
      </x:c>
      <x:c r="J551" s="48" t="s">
        <x:v>66</x:v>
      </x:c>
      <x:c r="K551" s="64"/>
      <x:c r="L551" s="64"/>
      <x:c r="M551" s="50"/>
      <x:c r="N551" s="49"/>
      <x:c r="O551" s="50"/>
      <x:c r="P551" s="50"/>
      <x:c r="Q551" s="32">
        <x:v>547</x:v>
      </x:c>
      <x:c r="R551" s="68"/>
      <x:c r="S551" s="54" t="n">
        <x:f>INDEX('Locations'!$D$6:$D$453,MATCH(B551,'Locations'!$A$6:$A$453,0))</x:f>
        <x:v>42.7348860875151</x:v>
      </x:c>
      <x:c r="T551" s="54" t="n">
        <x:f>INDEX('Locations'!$E$6:$E$453,MATCH(B551,'Locations'!$A$6:$A$453,0))</x:f>
        <x:v>-73.6659553974674</x:v>
      </x:c>
      <x:c r="U551" s="54" t="n">
        <x:f>INDEX('Locations'!$D$6:$D$453,MATCH(C551,'Locations'!$A$6:$A$453,0))</x:f>
        <x:v>42.7339986633824</x:v>
      </x:c>
      <x:c r="V551" s="69" t="n">
        <x:f>INDEX('Locations'!$E$6:$E$453,MATCH(C551,'Locations'!$A$6:$A$453,0))</x:f>
        <x:v>-73.6661718600634</x:v>
      </x:c>
      <x:c r="W551" s="44"/>
    </x:row>
    <x:row r="552" ht="23" customHeight="1">
      <x:c r="A552" s="21" t="s">
        <x:v>1154</x:v>
      </x:c>
      <x:c r="B552" s="45" t="s">
        <x:v>566</x:v>
      </x:c>
      <x:c r="C552" s="45" t="s">
        <x:v>563</x:v>
      </x:c>
      <x:c r="D552" s="45" t="s">
        <x:v>606</x:v>
      </x:c>
      <x:c r="E552" s="63" t="n">
        <x:f>2*6371000*ASIN(SQRT(MIN(1,SIN(RADIANS(U552-S552)/2)^2+COS(RADIANS(S552))*COS(RADIANS(U552))*SIN(RADIANS(V552-T552)/2)^2)))</x:f>
        <x:v>104.17559848804241</x:v>
      </x:c>
      <x:c r="F552" s="48" t="s">
        <x:v>67</x:v>
      </x:c>
      <x:c r="G552" s="48" t="s">
        <x:v>66</x:v>
      </x:c>
      <x:c r="H552" s="48" t="s">
        <x:v>66</x:v>
      </x:c>
      <x:c r="I552" s="48" t="s">
        <x:v>66</x:v>
      </x:c>
      <x:c r="J552" s="48" t="s">
        <x:v>66</x:v>
      </x:c>
      <x:c r="K552" s="64"/>
      <x:c r="L552" s="64"/>
      <x:c r="M552" s="50"/>
      <x:c r="N552" s="49"/>
      <x:c r="O552" s="50"/>
      <x:c r="P552" s="50"/>
      <x:c r="Q552" s="30">
        <x:v>548</x:v>
      </x:c>
      <x:c r="R552" s="65"/>
      <x:c r="S552" s="46" t="n">
        <x:f>INDEX('Locations'!$D$6:$D$453,MATCH(B552,'Locations'!$A$6:$A$453,0))</x:f>
        <x:v>42.7350746076677</x:v>
      </x:c>
      <x:c r="T552" s="46" t="n">
        <x:f>INDEX('Locations'!$E$6:$E$453,MATCH(B552,'Locations'!$A$6:$A$453,0))</x:f>
        <x:v>-73.6672048323046</x:v>
      </x:c>
      <x:c r="U552" s="46" t="n">
        <x:f>INDEX('Locations'!$D$6:$D$453,MATCH(C552,'Locations'!$A$6:$A$453,0))</x:f>
        <x:v>42.7348860875151</x:v>
      </x:c>
      <x:c r="V552" s="66" t="n">
        <x:f>INDEX('Locations'!$E$6:$E$453,MATCH(C552,'Locations'!$A$6:$A$453,0))</x:f>
        <x:v>-73.6659553974674</x:v>
      </x:c>
      <x:c r="W552" s="44"/>
    </x:row>
    <x:row r="553" ht="23" customHeight="1">
      <x:c r="A553" s="24" t="s">
        <x:v>1155</x:v>
      </x:c>
      <x:c r="B553" s="53" t="s">
        <x:v>564</x:v>
      </x:c>
      <x:c r="C553" s="53" t="s">
        <x:v>563</x:v>
      </x:c>
      <x:c r="D553" s="53" t="s">
        <x:v>606</x:v>
      </x:c>
      <x:c r="E553" s="67" t="n">
        <x:f>2*6371000*ASIN(SQRT(MIN(1,SIN(RADIANS(U553-S553)/2)^2+COS(RADIANS(S553))*COS(RADIANS(U553))*SIN(RADIANS(V553-T553)/2)^2)))</x:f>
        <x:v>102.47170107095651</x:v>
      </x:c>
      <x:c r="F553" s="48" t="s">
        <x:v>67</x:v>
      </x:c>
      <x:c r="G553" s="48" t="s">
        <x:v>66</x:v>
      </x:c>
      <x:c r="H553" s="48" t="s">
        <x:v>66</x:v>
      </x:c>
      <x:c r="I553" s="48" t="s">
        <x:v>66</x:v>
      </x:c>
      <x:c r="J553" s="48" t="s">
        <x:v>66</x:v>
      </x:c>
      <x:c r="K553" s="64"/>
      <x:c r="L553" s="64"/>
      <x:c r="M553" s="50"/>
      <x:c r="N553" s="49"/>
      <x:c r="O553" s="50"/>
      <x:c r="P553" s="50"/>
      <x:c r="Q553" s="32">
        <x:v>549</x:v>
      </x:c>
      <x:c r="R553" s="68"/>
      <x:c r="S553" s="54" t="n">
        <x:f>INDEX('Locations'!$D$6:$D$453,MATCH(B553,'Locations'!$A$6:$A$453,0))</x:f>
        <x:v>42.7357884553185</x:v>
      </x:c>
      <x:c r="T553" s="54" t="n">
        <x:f>INDEX('Locations'!$E$6:$E$453,MATCH(B553,'Locations'!$A$6:$A$453,0))</x:f>
        <x:v>-73.6657007355898</x:v>
      </x:c>
      <x:c r="U553" s="54" t="n">
        <x:f>INDEX('Locations'!$D$6:$D$453,MATCH(C553,'Locations'!$A$6:$A$453,0))</x:f>
        <x:v>42.7348860875151</x:v>
      </x:c>
      <x:c r="V553" s="69" t="n">
        <x:f>INDEX('Locations'!$E$6:$E$453,MATCH(C553,'Locations'!$A$6:$A$453,0))</x:f>
        <x:v>-73.6659553974674</x:v>
      </x:c>
      <x:c r="W553" s="44"/>
    </x:row>
    <x:row r="554" ht="23" customHeight="1">
      <x:c r="A554" s="21" t="s">
        <x:v>1156</x:v>
      </x:c>
      <x:c r="B554" s="45" t="s">
        <x:v>565</x:v>
      </x:c>
      <x:c r="C554" s="45" t="s">
        <x:v>566</x:v>
      </x:c>
      <x:c r="D554" s="45" t="s">
        <x:v>606</x:v>
      </x:c>
      <x:c r="E554" s="63" t="n">
        <x:f>2*6371000*ASIN(SQRT(MIN(1,SIN(RADIANS(U554-S554)/2)^2+COS(RADIANS(S554))*COS(RADIANS(U554))*SIN(RADIANS(V554-T554)/2)^2)))</x:f>
        <x:v>100.60655638783895</x:v>
      </x:c>
      <x:c r="F554" s="48" t="s">
        <x:v>67</x:v>
      </x:c>
      <x:c r="G554" s="48" t="s">
        <x:v>66</x:v>
      </x:c>
      <x:c r="H554" s="48" t="s">
        <x:v>66</x:v>
      </x:c>
      <x:c r="I554" s="48" t="s">
        <x:v>66</x:v>
      </x:c>
      <x:c r="J554" s="48" t="s">
        <x:v>66</x:v>
      </x:c>
      <x:c r="K554" s="64"/>
      <x:c r="L554" s="64"/>
      <x:c r="M554" s="50"/>
      <x:c r="N554" s="49"/>
      <x:c r="O554" s="50"/>
      <x:c r="P554" s="50"/>
      <x:c r="Q554" s="30">
        <x:v>550</x:v>
      </x:c>
      <x:c r="R554" s="65"/>
      <x:c r="S554" s="46" t="n">
        <x:f>INDEX('Locations'!$D$6:$D$453,MATCH(B554,'Locations'!$A$6:$A$453,0))</x:f>
        <x:v>42.735958583261</x:v>
      </x:c>
      <x:c r="T554" s="46" t="n">
        <x:f>INDEX('Locations'!$E$6:$E$453,MATCH(B554,'Locations'!$A$6:$A$453,0))</x:f>
        <x:v>-73.6669422122433</x:v>
      </x:c>
      <x:c r="U554" s="46" t="n">
        <x:f>INDEX('Locations'!$D$6:$D$453,MATCH(C554,'Locations'!$A$6:$A$453,0))</x:f>
        <x:v>42.7350746076677</x:v>
      </x:c>
      <x:c r="V554" s="66" t="n">
        <x:f>INDEX('Locations'!$E$6:$E$453,MATCH(C554,'Locations'!$A$6:$A$453,0))</x:f>
        <x:v>-73.6672048323046</x:v>
      </x:c>
      <x:c r="W554" s="44"/>
    </x:row>
    <x:row r="555" ht="23" customHeight="1">
      <x:c r="A555" s="24" t="s">
        <x:v>1157</x:v>
      </x:c>
      <x:c r="B555" s="53" t="s">
        <x:v>565</x:v>
      </x:c>
      <x:c r="C555" s="53" t="s">
        <x:v>564</x:v>
      </x:c>
      <x:c r="D555" s="53" t="s">
        <x:v>606</x:v>
      </x:c>
      <x:c r="E555" s="67" t="n">
        <x:f>2*6371000*ASIN(SQRT(MIN(1,SIN(RADIANS(U555-S555)/2)^2+COS(RADIANS(S555))*COS(RADIANS(U555))*SIN(RADIANS(V555-T555)/2)^2)))</x:f>
        <x:v>103.14296489635716</x:v>
      </x:c>
      <x:c r="F555" s="48" t="s">
        <x:v>67</x:v>
      </x:c>
      <x:c r="G555" s="48" t="s">
        <x:v>66</x:v>
      </x:c>
      <x:c r="H555" s="48" t="s">
        <x:v>66</x:v>
      </x:c>
      <x:c r="I555" s="48" t="s">
        <x:v>66</x:v>
      </x:c>
      <x:c r="J555" s="48" t="s">
        <x:v>66</x:v>
      </x:c>
      <x:c r="K555" s="64"/>
      <x:c r="L555" s="64"/>
      <x:c r="M555" s="50"/>
      <x:c r="N555" s="49"/>
      <x:c r="O555" s="50"/>
      <x:c r="P555" s="50"/>
      <x:c r="Q555" s="32">
        <x:v>551</x:v>
      </x:c>
      <x:c r="R555" s="68"/>
      <x:c r="S555" s="54" t="n">
        <x:f>INDEX('Locations'!$D$6:$D$453,MATCH(B555,'Locations'!$A$6:$A$453,0))</x:f>
        <x:v>42.735958583261</x:v>
      </x:c>
      <x:c r="T555" s="54" t="n">
        <x:f>INDEX('Locations'!$E$6:$E$453,MATCH(B555,'Locations'!$A$6:$A$453,0))</x:f>
        <x:v>-73.6669422122433</x:v>
      </x:c>
      <x:c r="U555" s="54" t="n">
        <x:f>INDEX('Locations'!$D$6:$D$453,MATCH(C555,'Locations'!$A$6:$A$453,0))</x:f>
        <x:v>42.7357884553185</x:v>
      </x:c>
      <x:c r="V555" s="69" t="n">
        <x:f>INDEX('Locations'!$E$6:$E$453,MATCH(C555,'Locations'!$A$6:$A$453,0))</x:f>
        <x:v>-73.6657007355898</x:v>
      </x:c>
      <x:c r="W555" s="44"/>
    </x:row>
    <x:row r="556" ht="23" customHeight="1">
      <x:c r="A556" s="21" t="s">
        <x:v>1158</x:v>
      </x:c>
      <x:c r="B556" s="45" t="s">
        <x:v>563</x:v>
      </x:c>
      <x:c r="C556" s="45" t="s">
        <x:v>567</x:v>
      </x:c>
      <x:c r="D556" s="45" t="s">
        <x:v>606</x:v>
      </x:c>
      <x:c r="E556" s="63" t="n">
        <x:f>2*6371000*ASIN(SQRT(MIN(1,SIN(RADIANS(U556-S556)/2)^2+COS(RADIANS(S556))*COS(RADIANS(U556))*SIN(RADIANS(V556-T556)/2)^2)))</x:f>
        <x:v>39.234941684364436</x:v>
      </x:c>
      <x:c r="F556" s="48" t="s">
        <x:v>67</x:v>
      </x:c>
      <x:c r="G556" s="48" t="s">
        <x:v>66</x:v>
      </x:c>
      <x:c r="H556" s="48" t="s">
        <x:v>66</x:v>
      </x:c>
      <x:c r="I556" s="48" t="s">
        <x:v>66</x:v>
      </x:c>
      <x:c r="J556" s="48" t="s">
        <x:v>66</x:v>
      </x:c>
      <x:c r="K556" s="64"/>
      <x:c r="L556" s="64"/>
      <x:c r="M556" s="50"/>
      <x:c r="N556" s="49"/>
      <x:c r="O556" s="50"/>
      <x:c r="P556" s="50"/>
      <x:c r="Q556" s="30">
        <x:v>552</x:v>
      </x:c>
      <x:c r="R556" s="65"/>
      <x:c r="S556" s="46" t="n">
        <x:f>INDEX('Locations'!$D$6:$D$453,MATCH(B556,'Locations'!$A$6:$A$453,0))</x:f>
        <x:v>42.7348860875151</x:v>
      </x:c>
      <x:c r="T556" s="46" t="n">
        <x:f>INDEX('Locations'!$E$6:$E$453,MATCH(B556,'Locations'!$A$6:$A$453,0))</x:f>
        <x:v>-73.6659553974674</x:v>
      </x:c>
      <x:c r="U556" s="46" t="n">
        <x:f>INDEX('Locations'!$D$6:$D$453,MATCH(C556,'Locations'!$A$6:$A$453,0))</x:f>
        <x:v>42.7348171167276</x:v>
      </x:c>
      <x:c r="V556" s="66" t="n">
        <x:f>INDEX('Locations'!$E$6:$E$453,MATCH(C556,'Locations'!$A$6:$A$453,0))</x:f>
        <x:v>-73.6654842729938</x:v>
      </x:c>
      <x:c r="W556" s="44"/>
    </x:row>
    <x:row r="557" ht="23" customHeight="1">
      <x:c r="A557" s="24" t="s">
        <x:v>1159</x:v>
      </x:c>
      <x:c r="B557" s="53" t="s">
        <x:v>170</x:v>
      </x:c>
      <x:c r="C557" s="53" t="s">
        <x:v>567</x:v>
      </x:c>
      <x:c r="D557" s="53" t="s">
        <x:v>606</x:v>
      </x:c>
      <x:c r="E557" s="67" t="n">
        <x:f>2*6371000*ASIN(SQRT(MIN(1,SIN(RADIANS(U557-S557)/2)^2+COS(RADIANS(S557))*COS(RADIANS(U557))*SIN(RADIANS(V557-T557)/2)^2)))</x:f>
        <x:v>19.086958707130414</x:v>
      </x:c>
      <x:c r="F557" s="48" t="s">
        <x:v>67</x:v>
      </x:c>
      <x:c r="G557" s="48" t="s">
        <x:v>66</x:v>
      </x:c>
      <x:c r="H557" s="48" t="s">
        <x:v>66</x:v>
      </x:c>
      <x:c r="I557" s="48" t="s">
        <x:v>66</x:v>
      </x:c>
      <x:c r="J557" s="48" t="s">
        <x:v>66</x:v>
      </x:c>
      <x:c r="K557" s="64"/>
      <x:c r="L557" s="64"/>
      <x:c r="M557" s="50"/>
      <x:c r="N557" s="49"/>
      <x:c r="O557" s="50"/>
      <x:c r="P557" s="50"/>
      <x:c r="Q557" s="32">
        <x:v>553</x:v>
      </x:c>
      <x:c r="R557" s="68"/>
      <x:c r="S557" s="54" t="n">
        <x:f>INDEX('Locations'!$D$6:$D$453,MATCH(B557,'Locations'!$A$6:$A$453,0))</x:f>
        <x:v>42.7349771351961</x:v>
      </x:c>
      <x:c r="T557" s="54" t="n">
        <x:f>INDEX('Locations'!$E$6:$E$453,MATCH(B557,'Locations'!$A$6:$A$453,0))</x:f>
        <x:v>-73.6653996986484</x:v>
      </x:c>
      <x:c r="U557" s="54" t="n">
        <x:f>INDEX('Locations'!$D$6:$D$453,MATCH(C557,'Locations'!$A$6:$A$453,0))</x:f>
        <x:v>42.7348171167276</x:v>
      </x:c>
      <x:c r="V557" s="69" t="n">
        <x:f>INDEX('Locations'!$E$6:$E$453,MATCH(C557,'Locations'!$A$6:$A$453,0))</x:f>
        <x:v>-73.6654842729938</x:v>
      </x:c>
      <x:c r="W557" s="44"/>
    </x:row>
    <x:row r="558" ht="23" customHeight="1">
      <x:c r="A558" s="21" t="s">
        <x:v>1160</x:v>
      </x:c>
      <x:c r="B558" s="45" t="s">
        <x:v>570</x:v>
      </x:c>
      <x:c r="C558" s="45" t="s">
        <x:v>569</x:v>
      </x:c>
      <x:c r="D558" s="45" t="s">
        <x:v>606</x:v>
      </x:c>
      <x:c r="E558" s="63" t="n">
        <x:f>2*6371000*ASIN(SQRT(MIN(1,SIN(RADIANS(U558-S558)/2)^2+COS(RADIANS(S558))*COS(RADIANS(U558))*SIN(RADIANS(V558-T558)/2)^2)))</x:f>
        <x:v>116.32087395262236</x:v>
      </x:c>
      <x:c r="F558" s="48" t="s">
        <x:v>67</x:v>
      </x:c>
      <x:c r="G558" s="48" t="s">
        <x:v>66</x:v>
      </x:c>
      <x:c r="H558" s="48" t="s">
        <x:v>66</x:v>
      </x:c>
      <x:c r="I558" s="48" t="s">
        <x:v>66</x:v>
      </x:c>
      <x:c r="J558" s="48" t="s">
        <x:v>66</x:v>
      </x:c>
      <x:c r="K558" s="64"/>
      <x:c r="L558" s="64"/>
      <x:c r="M558" s="50"/>
      <x:c r="N558" s="49"/>
      <x:c r="O558" s="50"/>
      <x:c r="P558" s="50"/>
      <x:c r="Q558" s="30">
        <x:v>554</x:v>
      </x:c>
      <x:c r="R558" s="65"/>
      <x:c r="S558" s="46" t="n">
        <x:f>INDEX('Locations'!$D$6:$D$453,MATCH(B558,'Locations'!$A$6:$A$453,0))</x:f>
        <x:v>42.7356620088747</x:v>
      </x:c>
      <x:c r="T558" s="46" t="n">
        <x:f>INDEX('Locations'!$E$6:$E$453,MATCH(B558,'Locations'!$A$6:$A$453,0))</x:f>
        <x:v>-73.6649367499568</x:v>
      </x:c>
      <x:c r="U558" s="46" t="n">
        <x:f>INDEX('Locations'!$D$6:$D$453,MATCH(C558,'Locations'!$A$6:$A$453,0))</x:f>
        <x:v>42.7346159519307</x:v>
      </x:c>
      <x:c r="V558" s="66" t="n">
        <x:f>INDEX('Locations'!$E$6:$E$453,MATCH(C558,'Locations'!$A$6:$A$453,0))</x:f>
        <x:v>-73.6649494830507</x:v>
      </x:c>
      <x:c r="W558" s="44"/>
    </x:row>
    <x:row r="559" ht="23" customHeight="1">
      <x:c r="A559" s="24" t="s">
        <x:v>1161</x:v>
      </x:c>
      <x:c r="B559" s="53" t="s">
        <x:v>568</x:v>
      </x:c>
      <x:c r="C559" s="53" t="s">
        <x:v>569</x:v>
      </x:c>
      <x:c r="D559" s="53" t="s">
        <x:v>606</x:v>
      </x:c>
      <x:c r="E559" s="67" t="n">
        <x:f>2*6371000*ASIN(SQRT(MIN(1,SIN(RADIANS(U559-S559)/2)^2+COS(RADIANS(S559))*COS(RADIANS(U559))*SIN(RADIANS(V559-T559)/2)^2)))</x:f>
        <x:v>85.39068173290724</x:v>
      </x:c>
      <x:c r="F559" s="48" t="s">
        <x:v>67</x:v>
      </x:c>
      <x:c r="G559" s="48" t="s">
        <x:v>66</x:v>
      </x:c>
      <x:c r="H559" s="48" t="s">
        <x:v>66</x:v>
      </x:c>
      <x:c r="I559" s="48" t="s">
        <x:v>66</x:v>
      </x:c>
      <x:c r="J559" s="48" t="s">
        <x:v>66</x:v>
      </x:c>
      <x:c r="K559" s="64"/>
      <x:c r="L559" s="64"/>
      <x:c r="M559" s="50"/>
      <x:c r="N559" s="49"/>
      <x:c r="O559" s="50"/>
      <x:c r="P559" s="50"/>
      <x:c r="Q559" s="32">
        <x:v>555</x:v>
      </x:c>
      <x:c r="R559" s="68"/>
      <x:c r="S559" s="54" t="n">
        <x:f>INDEX('Locations'!$D$6:$D$453,MATCH(B559,'Locations'!$A$6:$A$453,0))</x:f>
        <x:v>42.7338975062274</x:v>
      </x:c>
      <x:c r="T559" s="54" t="n">
        <x:f>INDEX('Locations'!$E$6:$E$453,MATCH(B559,'Locations'!$A$6:$A$453,0))</x:f>
        <x:v>-73.6653187427733</x:v>
      </x:c>
      <x:c r="U559" s="54" t="n">
        <x:f>INDEX('Locations'!$D$6:$D$453,MATCH(C559,'Locations'!$A$6:$A$453,0))</x:f>
        <x:v>42.7346159519307</x:v>
      </x:c>
      <x:c r="V559" s="69" t="n">
        <x:f>INDEX('Locations'!$E$6:$E$453,MATCH(C559,'Locations'!$A$6:$A$453,0))</x:f>
        <x:v>-73.6649494830507</x:v>
      </x:c>
      <x:c r="W559" s="44"/>
    </x:row>
    <x:row r="560" ht="23" customHeight="1">
      <x:c r="A560" s="21" t="s">
        <x:v>1162</x:v>
      </x:c>
      <x:c r="B560" s="45" t="s">
        <x:v>561</x:v>
      </x:c>
      <x:c r="C560" s="45" t="s">
        <x:v>568</x:v>
      </x:c>
      <x:c r="D560" s="45" t="s">
        <x:v>606</x:v>
      </x:c>
      <x:c r="E560" s="63" t="n">
        <x:f>2*6371000*ASIN(SQRT(MIN(1,SIN(RADIANS(U560-S560)/2)^2+COS(RADIANS(S560))*COS(RADIANS(U560))*SIN(RADIANS(V560-T560)/2)^2)))</x:f>
        <x:v>34.01566872916542</x:v>
      </x:c>
      <x:c r="F560" s="48" t="s">
        <x:v>67</x:v>
      </x:c>
      <x:c r="G560" s="48" t="s">
        <x:v>66</x:v>
      </x:c>
      <x:c r="H560" s="48" t="s">
        <x:v>66</x:v>
      </x:c>
      <x:c r="I560" s="48" t="s">
        <x:v>66</x:v>
      </x:c>
      <x:c r="J560" s="48" t="s">
        <x:v>66</x:v>
      </x:c>
      <x:c r="K560" s="64"/>
      <x:c r="L560" s="64"/>
      <x:c r="M560" s="50"/>
      <x:c r="N560" s="49"/>
      <x:c r="O560" s="50"/>
      <x:c r="P560" s="50"/>
      <x:c r="Q560" s="30">
        <x:v>556</x:v>
      </x:c>
      <x:c r="R560" s="65"/>
      <x:c r="S560" s="46" t="n">
        <x:f>INDEX('Locations'!$D$6:$D$453,MATCH(B560,'Locations'!$A$6:$A$453,0))</x:f>
        <x:v>42.7339319916211</x:v>
      </x:c>
      <x:c r="T560" s="46" t="n">
        <x:f>INDEX('Locations'!$E$6:$E$453,MATCH(B560,'Locations'!$A$6:$A$453,0))</x:f>
        <x:v>-73.6657325683245</x:v>
      </x:c>
      <x:c r="U560" s="46" t="n">
        <x:f>INDEX('Locations'!$D$6:$D$453,MATCH(C560,'Locations'!$A$6:$A$453,0))</x:f>
        <x:v>42.7338975062274</x:v>
      </x:c>
      <x:c r="V560" s="66" t="n">
        <x:f>INDEX('Locations'!$E$6:$E$453,MATCH(C560,'Locations'!$A$6:$A$453,0))</x:f>
        <x:v>-73.6653187427733</x:v>
      </x:c>
      <x:c r="W560" s="44"/>
    </x:row>
    <x:row r="561" ht="23" customHeight="1">
      <x:c r="A561" s="24" t="s">
        <x:v>1163</x:v>
      </x:c>
      <x:c r="B561" s="53" t="s">
        <x:v>564</x:v>
      </x:c>
      <x:c r="C561" s="53" t="s">
        <x:v>570</x:v>
      </x:c>
      <x:c r="D561" s="53" t="s">
        <x:v>606</x:v>
      </x:c>
      <x:c r="E561" s="67" t="n">
        <x:f>2*6371000*ASIN(SQRT(MIN(1,SIN(RADIANS(U561-S561)/2)^2+COS(RADIANS(S561))*COS(RADIANS(U561))*SIN(RADIANS(V561-T561)/2)^2)))</x:f>
        <x:v>63.96057082916898</x:v>
      </x:c>
      <x:c r="F561" s="48" t="s">
        <x:v>67</x:v>
      </x:c>
      <x:c r="G561" s="48" t="s">
        <x:v>66</x:v>
      </x:c>
      <x:c r="H561" s="48" t="s">
        <x:v>66</x:v>
      </x:c>
      <x:c r="I561" s="48" t="s">
        <x:v>66</x:v>
      </x:c>
      <x:c r="J561" s="48" t="s">
        <x:v>66</x:v>
      </x:c>
      <x:c r="K561" s="64"/>
      <x:c r="L561" s="64"/>
      <x:c r="M561" s="50"/>
      <x:c r="N561" s="49"/>
      <x:c r="O561" s="50"/>
      <x:c r="P561" s="50"/>
      <x:c r="Q561" s="32">
        <x:v>557</x:v>
      </x:c>
      <x:c r="R561" s="68"/>
      <x:c r="S561" s="54" t="n">
        <x:f>INDEX('Locations'!$D$6:$D$453,MATCH(B561,'Locations'!$A$6:$A$453,0))</x:f>
        <x:v>42.7357884553185</x:v>
      </x:c>
      <x:c r="T561" s="54" t="n">
        <x:f>INDEX('Locations'!$E$6:$E$453,MATCH(B561,'Locations'!$A$6:$A$453,0))</x:f>
        <x:v>-73.6657007355898</x:v>
      </x:c>
      <x:c r="U561" s="54" t="n">
        <x:f>INDEX('Locations'!$D$6:$D$453,MATCH(C561,'Locations'!$A$6:$A$453,0))</x:f>
        <x:v>42.7356620088747</x:v>
      </x:c>
      <x:c r="V561" s="69" t="n">
        <x:f>INDEX('Locations'!$E$6:$E$453,MATCH(C561,'Locations'!$A$6:$A$453,0))</x:f>
        <x:v>-73.6649367499568</x:v>
      </x:c>
      <x:c r="W561" s="44"/>
    </x:row>
    <x:row r="562" ht="23" customHeight="1">
      <x:c r="A562" s="21" t="s">
        <x:v>1164</x:v>
      </x:c>
      <x:c r="B562" s="45" t="s">
        <x:v>550</x:v>
      </x:c>
      <x:c r="C562" s="45" t="s">
        <x:v>570</x:v>
      </x:c>
      <x:c r="D562" s="45" t="s">
        <x:v>606</x:v>
      </x:c>
      <x:c r="E562" s="63" t="n">
        <x:f>2*6371000*ASIN(SQRT(MIN(1,SIN(RADIANS(U562-S562)/2)^2+COS(RADIANS(S562))*COS(RADIANS(U562))*SIN(RADIANS(V562-T562)/2)^2)))</x:f>
        <x:v>53.94039457272243</x:v>
      </x:c>
      <x:c r="F562" s="48" t="s">
        <x:v>67</x:v>
      </x:c>
      <x:c r="G562" s="48" t="s">
        <x:v>66</x:v>
      </x:c>
      <x:c r="H562" s="48" t="s">
        <x:v>66</x:v>
      </x:c>
      <x:c r="I562" s="48" t="s">
        <x:v>66</x:v>
      </x:c>
      <x:c r="J562" s="48" t="s">
        <x:v>66</x:v>
      </x:c>
      <x:c r="K562" s="64"/>
      <x:c r="L562" s="64"/>
      <x:c r="M562" s="50"/>
      <x:c r="N562" s="49"/>
      <x:c r="O562" s="50"/>
      <x:c r="P562" s="50"/>
      <x:c r="Q562" s="30">
        <x:v>558</x:v>
      </x:c>
      <x:c r="R562" s="65"/>
      <x:c r="S562" s="46" t="n">
        <x:f>INDEX('Locations'!$D$6:$D$453,MATCH(B562,'Locations'!$A$6:$A$453,0))</x:f>
        <x:v>42.7355872905216</x:v>
      </x:c>
      <x:c r="T562" s="46" t="n">
        <x:f>INDEX('Locations'!$E$6:$E$453,MATCH(B562,'Locations'!$A$6:$A$453,0))</x:f>
        <x:v>-73.6642841788954</x:v>
      </x:c>
      <x:c r="U562" s="46" t="n">
        <x:f>INDEX('Locations'!$D$6:$D$453,MATCH(C562,'Locations'!$A$6:$A$453,0))</x:f>
        <x:v>42.7356620088747</x:v>
      </x:c>
      <x:c r="V562" s="66" t="n">
        <x:f>INDEX('Locations'!$E$6:$E$453,MATCH(C562,'Locations'!$A$6:$A$453,0))</x:f>
        <x:v>-73.6649367499568</x:v>
      </x:c>
      <x:c r="W562" s="44"/>
    </x:row>
    <x:row r="563" ht="23" customHeight="1">
      <x:c r="A563" s="24" t="s">
        <x:v>1165</x:v>
      </x:c>
      <x:c r="B563" s="53" t="s">
        <x:v>548</x:v>
      </x:c>
      <x:c r="C563" s="53" t="s">
        <x:v>568</x:v>
      </x:c>
      <x:c r="D563" s="53" t="s">
        <x:v>606</x:v>
      </x:c>
      <x:c r="E563" s="67" t="n">
        <x:f>2*6371000*ASIN(SQRT(MIN(1,SIN(RADIANS(U563-S563)/2)^2+COS(RADIANS(S563))*COS(RADIANS(U563))*SIN(RADIANS(V563-T563)/2)^2)))</x:f>
        <x:v>112.85817397356766</x:v>
      </x:c>
      <x:c r="F563" s="48" t="s">
        <x:v>67</x:v>
      </x:c>
      <x:c r="G563" s="48" t="s">
        <x:v>66</x:v>
      </x:c>
      <x:c r="H563" s="48" t="s">
        <x:v>66</x:v>
      </x:c>
      <x:c r="I563" s="48" t="s">
        <x:v>66</x:v>
      </x:c>
      <x:c r="J563" s="48" t="s">
        <x:v>66</x:v>
      </x:c>
      <x:c r="K563" s="64"/>
      <x:c r="L563" s="64"/>
      <x:c r="M563" s="50"/>
      <x:c r="N563" s="49"/>
      <x:c r="O563" s="50"/>
      <x:c r="P563" s="50"/>
      <x:c r="Q563" s="32">
        <x:v>559</x:v>
      </x:c>
      <x:c r="R563" s="68"/>
      <x:c r="S563" s="54" t="n">
        <x:f>INDEX('Locations'!$D$6:$D$453,MATCH(B563,'Locations'!$A$6:$A$453,0))</x:f>
        <x:v>42.7346527363507</x:v>
      </x:c>
      <x:c r="T563" s="54" t="n">
        <x:f>INDEX('Locations'!$E$6:$E$453,MATCH(B563,'Locations'!$A$6:$A$453,0))</x:f>
        <x:v>-73.6643955934668</x:v>
      </x:c>
      <x:c r="U563" s="54" t="n">
        <x:f>INDEX('Locations'!$D$6:$D$453,MATCH(C563,'Locations'!$A$6:$A$453,0))</x:f>
        <x:v>42.7338975062274</x:v>
      </x:c>
      <x:c r="V563" s="69" t="n">
        <x:f>INDEX('Locations'!$E$6:$E$453,MATCH(C563,'Locations'!$A$6:$A$453,0))</x:f>
        <x:v>-73.6653187427733</x:v>
      </x:c>
      <x:c r="W563" s="44"/>
    </x:row>
    <x:row r="564" ht="23" customHeight="1">
      <x:c r="A564" s="21" t="s">
        <x:v>1166</x:v>
      </x:c>
      <x:c r="B564" s="45" t="s">
        <x:v>566</x:v>
      </x:c>
      <x:c r="C564" s="45" t="s">
        <x:v>530</x:v>
      </x:c>
      <x:c r="D564" s="45" t="s">
        <x:v>606</x:v>
      </x:c>
      <x:c r="E564" s="63" t="n">
        <x:f>2*6371000*ASIN(SQRT(MIN(1,SIN(RADIANS(U564-S564)/2)^2+COS(RADIANS(S564))*COS(RADIANS(U564))*SIN(RADIANS(V564-T564)/2)^2)))</x:f>
        <x:v>143.43207740128085</x:v>
      </x:c>
      <x:c r="F564" s="48" t="s">
        <x:v>67</x:v>
      </x:c>
      <x:c r="G564" s="48" t="s">
        <x:v>66</x:v>
      </x:c>
      <x:c r="H564" s="48" t="s">
        <x:v>66</x:v>
      </x:c>
      <x:c r="I564" s="48" t="s">
        <x:v>66</x:v>
      </x:c>
      <x:c r="J564" s="48" t="s">
        <x:v>66</x:v>
      </x:c>
      <x:c r="K564" s="64"/>
      <x:c r="L564" s="64"/>
      <x:c r="M564" s="50"/>
      <x:c r="N564" s="49"/>
      <x:c r="O564" s="50"/>
      <x:c r="P564" s="50"/>
      <x:c r="Q564" s="30">
        <x:v>560</x:v>
      </x:c>
      <x:c r="R564" s="65"/>
      <x:c r="S564" s="46" t="n">
        <x:f>INDEX('Locations'!$D$6:$D$453,MATCH(B564,'Locations'!$A$6:$A$453,0))</x:f>
        <x:v>42.7350746076677</x:v>
      </x:c>
      <x:c r="T564" s="46" t="n">
        <x:f>INDEX('Locations'!$E$6:$E$453,MATCH(B564,'Locations'!$A$6:$A$453,0))</x:f>
        <x:v>-73.6672048323046</x:v>
      </x:c>
      <x:c r="U564" s="46" t="n">
        <x:f>INDEX('Locations'!$D$6:$D$453,MATCH(C564,'Locations'!$A$6:$A$453,0))</x:f>
        <x:v>42.7338342830055</x:v>
      </x:c>
      <x:c r="V564" s="66" t="n">
        <x:f>INDEX('Locations'!$E$6:$E$453,MATCH(C564,'Locations'!$A$6:$A$453,0))</x:f>
        <x:v>-73.6676870982354</x:v>
      </x:c>
      <x:c r="W564" s="44"/>
    </x:row>
    <x:row r="565" ht="23" customHeight="1">
      <x:c r="A565" s="24" t="s">
        <x:v>1167</x:v>
      </x:c>
      <x:c r="B565" s="53" t="s">
        <x:v>572</x:v>
      </x:c>
      <x:c r="C565" s="53" t="s">
        <x:v>571</x:v>
      </x:c>
      <x:c r="D565" s="53" t="s">
        <x:v>606</x:v>
      </x:c>
      <x:c r="E565" s="67" t="n">
        <x:f>2*6371000*ASIN(SQRT(MIN(1,SIN(RADIANS(U565-S565)/2)^2+COS(RADIANS(S565))*COS(RADIANS(U565))*SIN(RADIANS(V565-T565)/2)^2)))</x:f>
        <x:v>60.17403714609339</x:v>
      </x:c>
      <x:c r="F565" s="48" t="s">
        <x:v>67</x:v>
      </x:c>
      <x:c r="G565" s="48" t="s">
        <x:v>66</x:v>
      </x:c>
      <x:c r="H565" s="48" t="s">
        <x:v>66</x:v>
      </x:c>
      <x:c r="I565" s="48" t="s">
        <x:v>66</x:v>
      </x:c>
      <x:c r="J565" s="48" t="s">
        <x:v>66</x:v>
      </x:c>
      <x:c r="K565" s="64"/>
      <x:c r="L565" s="64"/>
      <x:c r="M565" s="50"/>
      <x:c r="N565" s="49"/>
      <x:c r="O565" s="50"/>
      <x:c r="P565" s="50"/>
      <x:c r="Q565" s="32">
        <x:v>561</x:v>
      </x:c>
      <x:c r="R565" s="68"/>
      <x:c r="S565" s="54" t="n">
        <x:f>INDEX('Locations'!$D$6:$D$453,MATCH(B565,'Locations'!$A$6:$A$453,0))</x:f>
        <x:v>42.7366678328594</x:v>
      </x:c>
      <x:c r="T565" s="54" t="n">
        <x:f>INDEX('Locations'!$E$6:$E$453,MATCH(B565,'Locations'!$A$6:$A$453,0))</x:f>
        <x:v>-73.6633928623236</x:v>
      </x:c>
      <x:c r="U565" s="54" t="n">
        <x:f>INDEX('Locations'!$D$6:$D$453,MATCH(C565,'Locations'!$A$6:$A$453,0))</x:f>
        <x:v>42.736224120793</x:v>
      </x:c>
      <x:c r="V565" s="69" t="n">
        <x:f>INDEX('Locations'!$E$6:$E$453,MATCH(C565,'Locations'!$A$6:$A$453,0))</x:f>
        <x:v>-73.6638146460585</x:v>
      </x:c>
      <x:c r="W565" s="44"/>
    </x:row>
    <x:row r="566" ht="23" customHeight="1">
      <x:c r="A566" s="21" t="s">
        <x:v>1168</x:v>
      </x:c>
      <x:c r="B566" s="45" t="s">
        <x:v>570</x:v>
      </x:c>
      <x:c r="C566" s="45" t="s">
        <x:v>571</x:v>
      </x:c>
      <x:c r="D566" s="45" t="s">
        <x:v>606</x:v>
      </x:c>
      <x:c r="E566" s="63" t="n">
        <x:f>2*6371000*ASIN(SQRT(MIN(1,SIN(RADIANS(U566-S566)/2)^2+COS(RADIANS(S566))*COS(RADIANS(U566))*SIN(RADIANS(V566-T566)/2)^2)))</x:f>
        <x:v>110.92946201864699</x:v>
      </x:c>
      <x:c r="F566" s="48" t="s">
        <x:v>67</x:v>
      </x:c>
      <x:c r="G566" s="48" t="s">
        <x:v>66</x:v>
      </x:c>
      <x:c r="H566" s="48" t="s">
        <x:v>66</x:v>
      </x:c>
      <x:c r="I566" s="48" t="s">
        <x:v>66</x:v>
      </x:c>
      <x:c r="J566" s="48" t="s">
        <x:v>66</x:v>
      </x:c>
      <x:c r="K566" s="64"/>
      <x:c r="L566" s="64"/>
      <x:c r="M566" s="50"/>
      <x:c r="N566" s="49"/>
      <x:c r="O566" s="50"/>
      <x:c r="P566" s="50"/>
      <x:c r="Q566" s="30">
        <x:v>562</x:v>
      </x:c>
      <x:c r="R566" s="65"/>
      <x:c r="S566" s="46" t="n">
        <x:f>INDEX('Locations'!$D$6:$D$453,MATCH(B566,'Locations'!$A$6:$A$453,0))</x:f>
        <x:v>42.7356620088747</x:v>
      </x:c>
      <x:c r="T566" s="46" t="n">
        <x:f>INDEX('Locations'!$E$6:$E$453,MATCH(B566,'Locations'!$A$6:$A$453,0))</x:f>
        <x:v>-73.6649367499568</x:v>
      </x:c>
      <x:c r="U566" s="46" t="n">
        <x:f>INDEX('Locations'!$D$6:$D$453,MATCH(C566,'Locations'!$A$6:$A$453,0))</x:f>
        <x:v>42.736224120793</x:v>
      </x:c>
      <x:c r="V566" s="66" t="n">
        <x:f>INDEX('Locations'!$E$6:$E$453,MATCH(C566,'Locations'!$A$6:$A$453,0))</x:f>
        <x:v>-73.6638146460585</x:v>
      </x:c>
      <x:c r="W566" s="44"/>
    </x:row>
    <x:row r="567" ht="23" customHeight="1">
      <x:c r="A567" s="24" t="s">
        <x:v>1169</x:v>
      </x:c>
      <x:c r="B567" s="53" t="s">
        <x:v>574</x:v>
      </x:c>
      <x:c r="C567" s="53" t="s">
        <x:v>575</x:v>
      </x:c>
      <x:c r="D567" s="53" t="s">
        <x:v>606</x:v>
      </x:c>
      <x:c r="E567" s="67" t="n">
        <x:f>2*6371000*ASIN(SQRT(MIN(1,SIN(RADIANS(U567-S567)/2)^2+COS(RADIANS(S567))*COS(RADIANS(U567))*SIN(RADIANS(V567-T567)/2)^2)))</x:f>
        <x:v>161.2919439976592</x:v>
      </x:c>
      <x:c r="F567" s="48" t="s">
        <x:v>67</x:v>
      </x:c>
      <x:c r="G567" s="48" t="s">
        <x:v>66</x:v>
      </x:c>
      <x:c r="H567" s="48" t="s">
        <x:v>66</x:v>
      </x:c>
      <x:c r="I567" s="48" t="s">
        <x:v>66</x:v>
      </x:c>
      <x:c r="J567" s="48" t="s">
        <x:v>66</x:v>
      </x:c>
      <x:c r="K567" s="64"/>
      <x:c r="L567" s="64"/>
      <x:c r="M567" s="50"/>
      <x:c r="N567" s="49"/>
      <x:c r="O567" s="50"/>
      <x:c r="P567" s="50"/>
      <x:c r="Q567" s="32">
        <x:v>563</x:v>
      </x:c>
      <x:c r="R567" s="68"/>
      <x:c r="S567" s="54" t="n">
        <x:f>INDEX('Locations'!$D$6:$D$453,MATCH(B567,'Locations'!$A$6:$A$453,0))</x:f>
        <x:v>42.7382311707098</x:v>
      </x:c>
      <x:c r="T567" s="54" t="n">
        <x:f>INDEX('Locations'!$E$6:$E$453,MATCH(B567,'Locations'!$A$6:$A$453,0))</x:f>
        <x:v>-73.6700299875097</x:v>
      </x:c>
      <x:c r="U567" s="54" t="n">
        <x:f>INDEX('Locations'!$D$6:$D$453,MATCH(C567,'Locations'!$A$6:$A$453,0))</x:f>
        <x:v>42.7368057744344</x:v>
      </x:c>
      <x:c r="V567" s="69" t="n">
        <x:f>INDEX('Locations'!$E$6:$E$453,MATCH(C567,'Locations'!$A$6:$A$453,0))</x:f>
        <x:v>-73.6703960639588</x:v>
      </x:c>
      <x:c r="W567" s="44"/>
    </x:row>
    <x:row r="568" ht="23" customHeight="1">
      <x:c r="A568" s="21" t="s">
        <x:v>1170</x:v>
      </x:c>
      <x:c r="B568" s="45" t="s">
        <x:v>565</x:v>
      </x:c>
      <x:c r="C568" s="45" t="s">
        <x:v>576</x:v>
      </x:c>
      <x:c r="D568" s="45" t="s">
        <x:v>606</x:v>
      </x:c>
      <x:c r="E568" s="63" t="n">
        <x:f>2*6371000*ASIN(SQRT(MIN(1,SIN(RADIANS(U568-S568)/2)^2+COS(RADIANS(S568))*COS(RADIANS(U568))*SIN(RADIANS(V568-T568)/2)^2)))</x:f>
        <x:v>298.9634238240177</x:v>
      </x:c>
      <x:c r="F568" s="48" t="s">
        <x:v>67</x:v>
      </x:c>
      <x:c r="G568" s="48" t="s">
        <x:v>66</x:v>
      </x:c>
      <x:c r="H568" s="48" t="s">
        <x:v>66</x:v>
      </x:c>
      <x:c r="I568" s="48" t="s">
        <x:v>66</x:v>
      </x:c>
      <x:c r="J568" s="48" t="s">
        <x:v>66</x:v>
      </x:c>
      <x:c r="K568" s="64"/>
      <x:c r="L568" s="64"/>
      <x:c r="M568" s="50"/>
      <x:c r="N568" s="49"/>
      <x:c r="O568" s="50"/>
      <x:c r="P568" s="50"/>
      <x:c r="Q568" s="30">
        <x:v>564</x:v>
      </x:c>
      <x:c r="R568" s="65"/>
      <x:c r="S568" s="46" t="n">
        <x:f>INDEX('Locations'!$D$6:$D$453,MATCH(B568,'Locations'!$A$6:$A$453,0))</x:f>
        <x:v>42.735958583261</x:v>
      </x:c>
      <x:c r="T568" s="46" t="n">
        <x:f>INDEX('Locations'!$E$6:$E$453,MATCH(B568,'Locations'!$A$6:$A$453,0))</x:f>
        <x:v>-73.6669422122433</x:v>
      </x:c>
      <x:c r="U568" s="46" t="n">
        <x:f>INDEX('Locations'!$D$6:$D$453,MATCH(C568,'Locations'!$A$6:$A$453,0))</x:f>
        <x:v>42.7364183885112</x:v>
      </x:c>
      <x:c r="V568" s="66" t="n">
        <x:f>INDEX('Locations'!$E$6:$E$453,MATCH(C568,'Locations'!$A$6:$A$453,0))</x:f>
        <x:v>-73.6705488610854</x:v>
      </x:c>
      <x:c r="W568" s="44"/>
    </x:row>
    <x:row r="569" ht="23" customHeight="1">
      <x:c r="A569" s="24" t="s">
        <x:v>1171</x:v>
      </x:c>
      <x:c r="B569" s="53" t="s">
        <x:v>575</x:v>
      </x:c>
      <x:c r="C569" s="53" t="s">
        <x:v>576</x:v>
      </x:c>
      <x:c r="D569" s="53" t="s">
        <x:v>606</x:v>
      </x:c>
      <x:c r="E569" s="67" t="n">
        <x:f>2*6371000*ASIN(SQRT(MIN(1,SIN(RADIANS(U569-S569)/2)^2+COS(RADIANS(S569))*COS(RADIANS(U569))*SIN(RADIANS(V569-T569)/2)^2)))</x:f>
        <x:v>44.84653695358364</x:v>
      </x:c>
      <x:c r="F569" s="48" t="s">
        <x:v>67</x:v>
      </x:c>
      <x:c r="G569" s="48" t="s">
        <x:v>66</x:v>
      </x:c>
      <x:c r="H569" s="48" t="s">
        <x:v>66</x:v>
      </x:c>
      <x:c r="I569" s="48" t="s">
        <x:v>66</x:v>
      </x:c>
      <x:c r="J569" s="48" t="s">
        <x:v>66</x:v>
      </x:c>
      <x:c r="K569" s="64"/>
      <x:c r="L569" s="64"/>
      <x:c r="M569" s="50"/>
      <x:c r="N569" s="49"/>
      <x:c r="O569" s="50"/>
      <x:c r="P569" s="50"/>
      <x:c r="Q569" s="32">
        <x:v>565</x:v>
      </x:c>
      <x:c r="R569" s="68"/>
      <x:c r="S569" s="54" t="n">
        <x:f>INDEX('Locations'!$D$6:$D$453,MATCH(B569,'Locations'!$A$6:$A$453,0))</x:f>
        <x:v>42.7368057744344</x:v>
      </x:c>
      <x:c r="T569" s="54" t="n">
        <x:f>INDEX('Locations'!$E$6:$E$453,MATCH(B569,'Locations'!$A$6:$A$453,0))</x:f>
        <x:v>-73.6703960639588</x:v>
      </x:c>
      <x:c r="U569" s="54" t="n">
        <x:f>INDEX('Locations'!$D$6:$D$453,MATCH(C569,'Locations'!$A$6:$A$453,0))</x:f>
        <x:v>42.7364183885112</x:v>
      </x:c>
      <x:c r="V569" s="69" t="n">
        <x:f>INDEX('Locations'!$E$6:$E$453,MATCH(C569,'Locations'!$A$6:$A$453,0))</x:f>
        <x:v>-73.6705488610854</x:v>
      </x:c>
      <x:c r="W569" s="44"/>
    </x:row>
    <x:row r="570" ht="23" customHeight="1">
      <x:c r="A570" s="21" t="s">
        <x:v>1172</x:v>
      </x:c>
      <x:c r="B570" s="45" t="s">
        <x:v>574</x:v>
      </x:c>
      <x:c r="C570" s="45" t="s">
        <x:v>573</x:v>
      </x:c>
      <x:c r="D570" s="45" t="s">
        <x:v>606</x:v>
      </x:c>
      <x:c r="E570" s="63" t="n">
        <x:f>2*6371000*ASIN(SQRT(MIN(1,SIN(RADIANS(U570-S570)/2)^2+COS(RADIANS(S570))*COS(RADIANS(U570))*SIN(RADIANS(V570-T570)/2)^2)))</x:f>
        <x:v>296.95165528494766</x:v>
      </x:c>
      <x:c r="F570" s="48" t="s">
        <x:v>67</x:v>
      </x:c>
      <x:c r="G570" s="48" t="s">
        <x:v>66</x:v>
      </x:c>
      <x:c r="H570" s="48" t="s">
        <x:v>66</x:v>
      </x:c>
      <x:c r="I570" s="48" t="s">
        <x:v>66</x:v>
      </x:c>
      <x:c r="J570" s="48" t="s">
        <x:v>66</x:v>
      </x:c>
      <x:c r="K570" s="64"/>
      <x:c r="L570" s="64"/>
      <x:c r="M570" s="50"/>
      <x:c r="N570" s="49"/>
      <x:c r="O570" s="50"/>
      <x:c r="P570" s="50"/>
      <x:c r="Q570" s="30">
        <x:v>566</x:v>
      </x:c>
      <x:c r="R570" s="65"/>
      <x:c r="S570" s="46" t="n">
        <x:f>INDEX('Locations'!$D$6:$D$453,MATCH(B570,'Locations'!$A$6:$A$453,0))</x:f>
        <x:v>42.7382311707098</x:v>
      </x:c>
      <x:c r="T570" s="46" t="n">
        <x:f>INDEX('Locations'!$E$6:$E$453,MATCH(B570,'Locations'!$A$6:$A$453,0))</x:f>
        <x:v>-73.6700299875097</x:v>
      </x:c>
      <x:c r="U570" s="46" t="n">
        <x:f>INDEX('Locations'!$D$6:$D$453,MATCH(C570,'Locations'!$A$6:$A$453,0))</x:f>
        <x:v>42.7377368800659</x:v>
      </x:c>
      <x:c r="V570" s="66" t="n">
        <x:f>INDEX('Locations'!$E$6:$E$453,MATCH(C570,'Locations'!$A$6:$A$453,0))</x:f>
        <x:v>-73.666456763039</x:v>
      </x:c>
      <x:c r="W570" s="44"/>
    </x:row>
    <x:row r="571" ht="23" customHeight="1">
      <x:c r="A571" s="24" t="s">
        <x:v>1173</x:v>
      </x:c>
      <x:c r="B571" s="53" t="s">
        <x:v>565</x:v>
      </x:c>
      <x:c r="C571" s="53" t="s">
        <x:v>573</x:v>
      </x:c>
      <x:c r="D571" s="53" t="s">
        <x:v>606</x:v>
      </x:c>
      <x:c r="E571" s="67" t="n">
        <x:f>2*6371000*ASIN(SQRT(MIN(1,SIN(RADIANS(U571-S571)/2)^2+COS(RADIANS(S571))*COS(RADIANS(U571))*SIN(RADIANS(V571-T571)/2)^2)))</x:f>
        <x:v>201.67304604493296</x:v>
      </x:c>
      <x:c r="F571" s="48" t="s">
        <x:v>67</x:v>
      </x:c>
      <x:c r="G571" s="48" t="s">
        <x:v>66</x:v>
      </x:c>
      <x:c r="H571" s="48" t="s">
        <x:v>66</x:v>
      </x:c>
      <x:c r="I571" s="48" t="s">
        <x:v>66</x:v>
      </x:c>
      <x:c r="J571" s="48" t="s">
        <x:v>66</x:v>
      </x:c>
      <x:c r="K571" s="64"/>
      <x:c r="L571" s="64"/>
      <x:c r="M571" s="50"/>
      <x:c r="N571" s="49"/>
      <x:c r="O571" s="50"/>
      <x:c r="P571" s="50"/>
      <x:c r="Q571" s="32">
        <x:v>567</x:v>
      </x:c>
      <x:c r="R571" s="68"/>
      <x:c r="S571" s="54" t="n">
        <x:f>INDEX('Locations'!$D$6:$D$453,MATCH(B571,'Locations'!$A$6:$A$453,0))</x:f>
        <x:v>42.735958583261</x:v>
      </x:c>
      <x:c r="T571" s="54" t="n">
        <x:f>INDEX('Locations'!$E$6:$E$453,MATCH(B571,'Locations'!$A$6:$A$453,0))</x:f>
        <x:v>-73.6669422122433</x:v>
      </x:c>
      <x:c r="U571" s="54" t="n">
        <x:f>INDEX('Locations'!$D$6:$D$453,MATCH(C571,'Locations'!$A$6:$A$453,0))</x:f>
        <x:v>42.7377368800659</x:v>
      </x:c>
      <x:c r="V571" s="69" t="n">
        <x:f>INDEX('Locations'!$E$6:$E$453,MATCH(C571,'Locations'!$A$6:$A$453,0))</x:f>
        <x:v>-73.666456763039</x:v>
      </x:c>
      <x:c r="W571" s="44"/>
    </x:row>
    <x:row r="572" ht="23" customHeight="1">
      <x:c r="A572" s="21" t="s">
        <x:v>1174</x:v>
      </x:c>
      <x:c r="B572" s="45" t="s">
        <x:v>576</x:v>
      </x:c>
      <x:c r="C572" s="45" t="s">
        <x:v>577</x:v>
      </x:c>
      <x:c r="D572" s="45" t="s">
        <x:v>606</x:v>
      </x:c>
      <x:c r="E572" s="63" t="n">
        <x:f>2*6371000*ASIN(SQRT(MIN(1,SIN(RADIANS(U572-S572)/2)^2+COS(RADIANS(S572))*COS(RADIANS(U572))*SIN(RADIANS(V572-T572)/2)^2)))</x:f>
        <x:v>208.82064865413088</x:v>
      </x:c>
      <x:c r="F572" s="48" t="s">
        <x:v>67</x:v>
      </x:c>
      <x:c r="G572" s="48" t="s">
        <x:v>66</x:v>
      </x:c>
      <x:c r="H572" s="48" t="s">
        <x:v>66</x:v>
      </x:c>
      <x:c r="I572" s="48" t="s">
        <x:v>66</x:v>
      </x:c>
      <x:c r="J572" s="48" t="s">
        <x:v>66</x:v>
      </x:c>
      <x:c r="K572" s="64"/>
      <x:c r="L572" s="64"/>
      <x:c r="M572" s="50"/>
      <x:c r="N572" s="49"/>
      <x:c r="O572" s="50"/>
      <x:c r="P572" s="50"/>
      <x:c r="Q572" s="30">
        <x:v>568</x:v>
      </x:c>
      <x:c r="R572" s="65"/>
      <x:c r="S572" s="46" t="n">
        <x:f>INDEX('Locations'!$D$6:$D$453,MATCH(B572,'Locations'!$A$6:$A$453,0))</x:f>
        <x:v>42.7364183885112</x:v>
      </x:c>
      <x:c r="T572" s="46" t="n">
        <x:f>INDEX('Locations'!$E$6:$E$453,MATCH(B572,'Locations'!$A$6:$A$453,0))</x:f>
        <x:v>-73.6705488610854</x:v>
      </x:c>
      <x:c r="U572" s="46" t="n">
        <x:f>INDEX('Locations'!$D$6:$D$453,MATCH(C572,'Locations'!$A$6:$A$453,0))</x:f>
        <x:v>42.7345757189713</x:v>
      </x:c>
      <x:c r="V572" s="66" t="n">
        <x:f>INDEX('Locations'!$E$6:$E$453,MATCH(C572,'Locations'!$A$6:$A$453,0))</x:f>
        <x:v>-73.6710422684733</x:v>
      </x:c>
      <x:c r="W572" s="44"/>
    </x:row>
    <x:row r="573" ht="23" customHeight="1">
      <x:c r="A573" s="24" t="s">
        <x:v>1175</x:v>
      </x:c>
      <x:c r="B573" s="53" t="s">
        <x:v>208</x:v>
      </x:c>
      <x:c r="C573" s="53" t="s">
        <x:v>577</x:v>
      </x:c>
      <x:c r="D573" s="53" t="s">
        <x:v>606</x:v>
      </x:c>
      <x:c r="E573" s="67" t="n">
        <x:f>2*6371000*ASIN(SQRT(MIN(1,SIN(RADIANS(U573-S573)/2)^2+COS(RADIANS(S573))*COS(RADIANS(U573))*SIN(RADIANS(V573-T573)/2)^2)))</x:f>
        <x:v>243.41309270742218</x:v>
      </x:c>
      <x:c r="F573" s="48" t="s">
        <x:v>67</x:v>
      </x:c>
      <x:c r="G573" s="48" t="s">
        <x:v>66</x:v>
      </x:c>
      <x:c r="H573" s="48" t="s">
        <x:v>66</x:v>
      </x:c>
      <x:c r="I573" s="48" t="s">
        <x:v>66</x:v>
      </x:c>
      <x:c r="J573" s="48" t="s">
        <x:v>66</x:v>
      </x:c>
      <x:c r="K573" s="64"/>
      <x:c r="L573" s="64"/>
      <x:c r="M573" s="50"/>
      <x:c r="N573" s="49"/>
      <x:c r="O573" s="50"/>
      <x:c r="P573" s="50"/>
      <x:c r="Q573" s="32">
        <x:v>569</x:v>
      </x:c>
      <x:c r="R573" s="68"/>
      <x:c r="S573" s="54" t="n">
        <x:f>INDEX('Locations'!$D$6:$D$453,MATCH(B573,'Locations'!$A$6:$A$453,0))</x:f>
        <x:v>42.732426129427</x:v>
      </x:c>
      <x:c r="T573" s="54" t="n">
        <x:f>INDEX('Locations'!$E$6:$E$453,MATCH(B573,'Locations'!$A$6:$A$453,0))</x:f>
        <x:v>-73.6716057078776</x:v>
      </x:c>
      <x:c r="U573" s="54" t="n">
        <x:f>INDEX('Locations'!$D$6:$D$453,MATCH(C573,'Locations'!$A$6:$A$453,0))</x:f>
        <x:v>42.7345757189713</x:v>
      </x:c>
      <x:c r="V573" s="69" t="n">
        <x:f>INDEX('Locations'!$E$6:$E$453,MATCH(C573,'Locations'!$A$6:$A$453,0))</x:f>
        <x:v>-73.6710422684733</x:v>
      </x:c>
      <x:c r="W573" s="44"/>
    </x:row>
    <x:row r="574" ht="23" customHeight="1">
      <x:c r="A574" s="21" t="s">
        <x:v>1176</x:v>
      </x:c>
      <x:c r="B574" s="45" t="s">
        <x:v>580</x:v>
      </x:c>
      <x:c r="C574" s="45" t="s">
        <x:v>578</x:v>
      </x:c>
      <x:c r="D574" s="45" t="s">
        <x:v>606</x:v>
      </x:c>
      <x:c r="E574" s="63" t="n">
        <x:f>2*6371000*ASIN(SQRT(MIN(1,SIN(RADIANS(U574-S574)/2)^2+COS(RADIANS(S574))*COS(RADIANS(U574))*SIN(RADIANS(V574-T574)/2)^2)))</x:f>
        <x:v>250.1835887113983</x:v>
      </x:c>
      <x:c r="F574" s="48" t="s">
        <x:v>67</x:v>
      </x:c>
      <x:c r="G574" s="48" t="s">
        <x:v>66</x:v>
      </x:c>
      <x:c r="H574" s="48" t="s">
        <x:v>66</x:v>
      </x:c>
      <x:c r="I574" s="48" t="s">
        <x:v>66</x:v>
      </x:c>
      <x:c r="J574" s="48" t="s">
        <x:v>66</x:v>
      </x:c>
      <x:c r="K574" s="64"/>
      <x:c r="L574" s="64"/>
      <x:c r="M574" s="50"/>
      <x:c r="N574" s="49"/>
      <x:c r="O574" s="50"/>
      <x:c r="P574" s="50"/>
      <x:c r="Q574" s="30">
        <x:v>570</x:v>
      </x:c>
      <x:c r="R574" s="65"/>
      <x:c r="S574" s="46" t="n">
        <x:f>INDEX('Locations'!$D$6:$D$453,MATCH(B574,'Locations'!$A$6:$A$453,0))</x:f>
        <x:v>42.7372195991595</x:v>
      </x:c>
      <x:c r="T574" s="46" t="n">
        <x:f>INDEX('Locations'!$E$6:$E$453,MATCH(B574,'Locations'!$A$6:$A$453,0))</x:f>
        <x:v>-73.6733978908415</x:v>
      </x:c>
      <x:c r="U574" s="46" t="n">
        <x:f>INDEX('Locations'!$D$6:$D$453,MATCH(C574,'Locations'!$A$6:$A$453,0))</x:f>
        <x:v>42.7350125339589</x:v>
      </x:c>
      <x:c r="V574" s="66" t="n">
        <x:f>INDEX('Locations'!$E$6:$E$453,MATCH(C574,'Locations'!$A$6:$A$453,0))</x:f>
        <x:v>-73.6739931629805</x:v>
      </x:c>
      <x:c r="W574" s="44"/>
    </x:row>
    <x:row r="575" ht="23" customHeight="1">
      <x:c r="A575" s="24" t="s">
        <x:v>1177</x:v>
      </x:c>
      <x:c r="B575" s="53" t="s">
        <x:v>579</x:v>
      </x:c>
      <x:c r="C575" s="53" t="s">
        <x:v>578</x:v>
      </x:c>
      <x:c r="D575" s="53" t="s">
        <x:v>606</x:v>
      </x:c>
      <x:c r="E575" s="67" t="n">
        <x:f>2*6371000*ASIN(SQRT(MIN(1,SIN(RADIANS(U575-S575)/2)^2+COS(RADIANS(S575))*COS(RADIANS(U575))*SIN(RADIANS(V575-T575)/2)^2)))</x:f>
        <x:v>89.37154405975883</x:v>
      </x:c>
      <x:c r="F575" s="48" t="s">
        <x:v>67</x:v>
      </x:c>
      <x:c r="G575" s="48" t="s">
        <x:v>66</x:v>
      </x:c>
      <x:c r="H575" s="48" t="s">
        <x:v>66</x:v>
      </x:c>
      <x:c r="I575" s="48" t="s">
        <x:v>66</x:v>
      </x:c>
      <x:c r="J575" s="48" t="s">
        <x:v>66</x:v>
      </x:c>
      <x:c r="K575" s="64"/>
      <x:c r="L575" s="64"/>
      <x:c r="M575" s="50"/>
      <x:c r="N575" s="49"/>
      <x:c r="O575" s="50"/>
      <x:c r="P575" s="50"/>
      <x:c r="Q575" s="32">
        <x:v>571</x:v>
      </x:c>
      <x:c r="R575" s="68"/>
      <x:c r="S575" s="54" t="n">
        <x:f>INDEX('Locations'!$D$6:$D$453,MATCH(B575,'Locations'!$A$6:$A$453,0))</x:f>
        <x:v>42.7342308650337</x:v>
      </x:c>
      <x:c r="T575" s="54" t="n">
        <x:f>INDEX('Locations'!$E$6:$E$453,MATCH(B575,'Locations'!$A$6:$A$453,0))</x:f>
        <x:v>-73.6742478248581</x:v>
      </x:c>
      <x:c r="U575" s="54" t="n">
        <x:f>INDEX('Locations'!$D$6:$D$453,MATCH(C575,'Locations'!$A$6:$A$453,0))</x:f>
        <x:v>42.7350125339589</x:v>
      </x:c>
      <x:c r="V575" s="69" t="n">
        <x:f>INDEX('Locations'!$E$6:$E$453,MATCH(C575,'Locations'!$A$6:$A$453,0))</x:f>
        <x:v>-73.6739931629805</x:v>
      </x:c>
      <x:c r="W575" s="44"/>
    </x:row>
    <x:row r="576" ht="23" customHeight="1">
      <x:c r="A576" s="21" t="s">
        <x:v>1178</x:v>
      </x:c>
      <x:c r="B576" s="45" t="s">
        <x:v>577</x:v>
      </x:c>
      <x:c r="C576" s="45" t="s">
        <x:v>578</x:v>
      </x:c>
      <x:c r="D576" s="45" t="s">
        <x:v>606</x:v>
      </x:c>
      <x:c r="E576" s="63" t="n">
        <x:f>2*6371000*ASIN(SQRT(MIN(1,SIN(RADIANS(U576-S576)/2)^2+COS(RADIANS(S576))*COS(RADIANS(U576))*SIN(RADIANS(V576-T576)/2)^2)))</x:f>
        <x:v>245.85403333935966</x:v>
      </x:c>
      <x:c r="F576" s="48" t="s">
        <x:v>67</x:v>
      </x:c>
      <x:c r="G576" s="48" t="s">
        <x:v>66</x:v>
      </x:c>
      <x:c r="H576" s="48" t="s">
        <x:v>66</x:v>
      </x:c>
      <x:c r="I576" s="48" t="s">
        <x:v>66</x:v>
      </x:c>
      <x:c r="J576" s="48" t="s">
        <x:v>66</x:v>
      </x:c>
      <x:c r="K576" s="64"/>
      <x:c r="L576" s="64"/>
      <x:c r="M576" s="50"/>
      <x:c r="N576" s="49"/>
      <x:c r="O576" s="50"/>
      <x:c r="P576" s="50"/>
      <x:c r="Q576" s="30">
        <x:v>572</x:v>
      </x:c>
      <x:c r="R576" s="65"/>
      <x:c r="S576" s="46" t="n">
        <x:f>INDEX('Locations'!$D$6:$D$453,MATCH(B576,'Locations'!$A$6:$A$453,0))</x:f>
        <x:v>42.7345757189713</x:v>
      </x:c>
      <x:c r="T576" s="46" t="n">
        <x:f>INDEX('Locations'!$E$6:$E$453,MATCH(B576,'Locations'!$A$6:$A$453,0))</x:f>
        <x:v>-73.6710422684733</x:v>
      </x:c>
      <x:c r="U576" s="46" t="n">
        <x:f>INDEX('Locations'!$D$6:$D$453,MATCH(C576,'Locations'!$A$6:$A$453,0))</x:f>
        <x:v>42.7350125339589</x:v>
      </x:c>
      <x:c r="V576" s="66" t="n">
        <x:f>INDEX('Locations'!$E$6:$E$453,MATCH(C576,'Locations'!$A$6:$A$453,0))</x:f>
        <x:v>-73.6739931629805</x:v>
      </x:c>
      <x:c r="W576" s="44"/>
    </x:row>
    <x:row r="577" ht="23" customHeight="1">
      <x:c r="A577" s="24" t="s">
        <x:v>1179</x:v>
      </x:c>
      <x:c r="B577" s="53" t="s">
        <x:v>581</x:v>
      </x:c>
      <x:c r="C577" s="53" t="s">
        <x:v>578</x:v>
      </x:c>
      <x:c r="D577" s="53" t="s">
        <x:v>606</x:v>
      </x:c>
      <x:c r="E577" s="67" t="n">
        <x:f>2*6371000*ASIN(SQRT(MIN(1,SIN(RADIANS(U577-S577)/2)^2+COS(RADIANS(S577))*COS(RADIANS(U577))*SIN(RADIANS(V577-T577)/2)^2)))</x:f>
        <x:v>162.41217315910603</x:v>
      </x:c>
      <x:c r="F577" s="48" t="s">
        <x:v>67</x:v>
      </x:c>
      <x:c r="G577" s="48" t="s">
        <x:v>66</x:v>
      </x:c>
      <x:c r="H577" s="48" t="s">
        <x:v>66</x:v>
      </x:c>
      <x:c r="I577" s="48" t="s">
        <x:v>66</x:v>
      </x:c>
      <x:c r="J577" s="48" t="s">
        <x:v>66</x:v>
      </x:c>
      <x:c r="K577" s="64"/>
      <x:c r="L577" s="64"/>
      <x:c r="M577" s="50"/>
      <x:c r="N577" s="49"/>
      <x:c r="O577" s="50"/>
      <x:c r="P577" s="50"/>
      <x:c r="Q577" s="32">
        <x:v>573</x:v>
      </x:c>
      <x:c r="R577" s="68"/>
      <x:c r="S577" s="54" t="n">
        <x:f>INDEX('Locations'!$D$6:$D$453,MATCH(B577,'Locations'!$A$6:$A$453,0))</x:f>
        <x:v>42.7352688753859</x:v>
      </x:c>
      <x:c r="T577" s="54" t="n">
        <x:f>INDEX('Locations'!$E$6:$E$453,MATCH(B577,'Locations'!$A$6:$A$453,0))</x:f>
        <x:v>-73.6759508761648</x:v>
      </x:c>
      <x:c r="U577" s="54" t="n">
        <x:f>INDEX('Locations'!$D$6:$D$453,MATCH(C577,'Locations'!$A$6:$A$453,0))</x:f>
        <x:v>42.7350125339589</x:v>
      </x:c>
      <x:c r="V577" s="69" t="n">
        <x:f>INDEX('Locations'!$E$6:$E$453,MATCH(C577,'Locations'!$A$6:$A$453,0))</x:f>
        <x:v>-73.6739931629805</x:v>
      </x:c>
      <x:c r="W577" s="44"/>
    </x:row>
    <x:row r="578" ht="23" customHeight="1">
      <x:c r="A578" s="21" t="s">
        <x:v>1180</x:v>
      </x:c>
      <x:c r="B578" s="45" t="s">
        <x:v>574</x:v>
      </x:c>
      <x:c r="C578" s="45" t="s">
        <x:v>582</x:v>
      </x:c>
      <x:c r="D578" s="45" t="s">
        <x:v>606</x:v>
      </x:c>
      <x:c r="E578" s="63" t="n">
        <x:f>2*6371000*ASIN(SQRT(MIN(1,SIN(RADIANS(U578-S578)/2)^2+COS(RADIANS(S578))*COS(RADIANS(U578))*SIN(RADIANS(V578-T578)/2)^2)))</x:f>
        <x:v>407.6355221855476</x:v>
      </x:c>
      <x:c r="F578" s="48" t="s">
        <x:v>67</x:v>
      </x:c>
      <x:c r="G578" s="48" t="s">
        <x:v>66</x:v>
      </x:c>
      <x:c r="H578" s="48" t="s">
        <x:v>66</x:v>
      </x:c>
      <x:c r="I578" s="48" t="s">
        <x:v>66</x:v>
      </x:c>
      <x:c r="J578" s="48" t="s">
        <x:v>66</x:v>
      </x:c>
      <x:c r="K578" s="64"/>
      <x:c r="L578" s="64"/>
      <x:c r="M578" s="50"/>
      <x:c r="N578" s="49"/>
      <x:c r="O578" s="50"/>
      <x:c r="P578" s="50"/>
      <x:c r="Q578" s="30">
        <x:v>574</x:v>
      </x:c>
      <x:c r="R578" s="65"/>
      <x:c r="S578" s="46" t="n">
        <x:f>INDEX('Locations'!$D$6:$D$453,MATCH(B578,'Locations'!$A$6:$A$453,0))</x:f>
        <x:v>42.7382311707098</x:v>
      </x:c>
      <x:c r="T578" s="46" t="n">
        <x:f>INDEX('Locations'!$E$6:$E$453,MATCH(B578,'Locations'!$A$6:$A$453,0))</x:f>
        <x:v>-73.6700299875097</x:v>
      </x:c>
      <x:c r="U578" s="46" t="n">
        <x:f>INDEX('Locations'!$D$6:$D$453,MATCH(C578,'Locations'!$A$6:$A$453,0))</x:f>
        <x:v>42.738920878585</x:v>
      </x:c>
      <x:c r="V578" s="66" t="n">
        <x:f>INDEX('Locations'!$E$6:$E$453,MATCH(C578,'Locations'!$A$6:$A$453,0))</x:f>
        <x:v>-73.6749322286543</x:v>
      </x:c>
      <x:c r="W578" s="44"/>
    </x:row>
    <x:row r="579" ht="23" customHeight="1">
      <x:c r="A579" s="24" t="s">
        <x:v>1181</x:v>
      </x:c>
      <x:c r="B579" s="53" t="s">
        <x:v>581</x:v>
      </x:c>
      <x:c r="C579" s="53" t="s">
        <x:v>582</x:v>
      </x:c>
      <x:c r="D579" s="53" t="s">
        <x:v>606</x:v>
      </x:c>
      <x:c r="E579" s="67" t="n">
        <x:f>2*6371000*ASIN(SQRT(MIN(1,SIN(RADIANS(U579-S579)/2)^2+COS(RADIANS(S579))*COS(RADIANS(U579))*SIN(RADIANS(V579-T579)/2)^2)))</x:f>
        <x:v>414.5183408476003</x:v>
      </x:c>
      <x:c r="F579" s="48" t="s">
        <x:v>67</x:v>
      </x:c>
      <x:c r="G579" s="48" t="s">
        <x:v>66</x:v>
      </x:c>
      <x:c r="H579" s="48" t="s">
        <x:v>66</x:v>
      </x:c>
      <x:c r="I579" s="48" t="s">
        <x:v>66</x:v>
      </x:c>
      <x:c r="J579" s="48" t="s">
        <x:v>66</x:v>
      </x:c>
      <x:c r="K579" s="64"/>
      <x:c r="L579" s="64"/>
      <x:c r="M579" s="50"/>
      <x:c r="N579" s="49"/>
      <x:c r="O579" s="50"/>
      <x:c r="P579" s="50"/>
      <x:c r="Q579" s="32">
        <x:v>575</x:v>
      </x:c>
      <x:c r="R579" s="68"/>
      <x:c r="S579" s="54" t="n">
        <x:f>INDEX('Locations'!$D$6:$D$453,MATCH(B579,'Locations'!$A$6:$A$453,0))</x:f>
        <x:v>42.7352688753859</x:v>
      </x:c>
      <x:c r="T579" s="54" t="n">
        <x:f>INDEX('Locations'!$E$6:$E$453,MATCH(B579,'Locations'!$A$6:$A$453,0))</x:f>
        <x:v>-73.6759508761648</x:v>
      </x:c>
      <x:c r="U579" s="54" t="n">
        <x:f>INDEX('Locations'!$D$6:$D$453,MATCH(C579,'Locations'!$A$6:$A$453,0))</x:f>
        <x:v>42.738920878585</x:v>
      </x:c>
      <x:c r="V579" s="69" t="n">
        <x:f>INDEX('Locations'!$E$6:$E$453,MATCH(C579,'Locations'!$A$6:$A$453,0))</x:f>
        <x:v>-73.6749322286543</x:v>
      </x:c>
      <x:c r="W579" s="44"/>
    </x:row>
    <x:row r="580" ht="23" customHeight="1">
      <x:c r="A580" s="21" t="s">
        <x:v>1182</x:v>
      </x:c>
      <x:c r="B580" s="45" t="s">
        <x:v>211</x:v>
      </x:c>
      <x:c r="C580" s="45" t="s">
        <x:v>581</x:v>
      </x:c>
      <x:c r="D580" s="45" t="s">
        <x:v>606</x:v>
      </x:c>
      <x:c r="E580" s="63" t="n">
        <x:f>2*6371000*ASIN(SQRT(MIN(1,SIN(RADIANS(U580-S580)/2)^2+COS(RADIANS(S580))*COS(RADIANS(U580))*SIN(RADIANS(V580-T580)/2)^2)))</x:f>
        <x:v>250.4596707789233</x:v>
      </x:c>
      <x:c r="F580" s="48" t="s">
        <x:v>67</x:v>
      </x:c>
      <x:c r="G580" s="48" t="s">
        <x:v>66</x:v>
      </x:c>
      <x:c r="H580" s="48" t="s">
        <x:v>66</x:v>
      </x:c>
      <x:c r="I580" s="48" t="s">
        <x:v>66</x:v>
      </x:c>
      <x:c r="J580" s="48" t="s">
        <x:v>66</x:v>
      </x:c>
      <x:c r="K580" s="64"/>
      <x:c r="L580" s="64"/>
      <x:c r="M580" s="50"/>
      <x:c r="N580" s="49"/>
      <x:c r="O580" s="50"/>
      <x:c r="P580" s="50"/>
      <x:c r="Q580" s="30">
        <x:v>576</x:v>
      </x:c>
      <x:c r="R580" s="65"/>
      <x:c r="S580" s="46" t="n">
        <x:f>INDEX('Locations'!$D$6:$D$453,MATCH(B580,'Locations'!$A$6:$A$453,0))</x:f>
        <x:v>42.7330583616459</x:v>
      </x:c>
      <x:c r="T580" s="46" t="n">
        <x:f>INDEX('Locations'!$E$6:$E$453,MATCH(B580,'Locations'!$A$6:$A$453,0))</x:f>
        <x:v>-73.6765397817569</x:v>
      </x:c>
      <x:c r="U580" s="46" t="n">
        <x:f>INDEX('Locations'!$D$6:$D$453,MATCH(C580,'Locations'!$A$6:$A$453,0))</x:f>
        <x:v>42.7352688753859</x:v>
      </x:c>
      <x:c r="V580" s="66" t="n">
        <x:f>INDEX('Locations'!$E$6:$E$453,MATCH(C580,'Locations'!$A$6:$A$453,0))</x:f>
        <x:v>-73.6759508761648</x:v>
      </x:c>
      <x:c r="W580" s="44"/>
    </x:row>
    <x:row r="581" ht="23" customHeight="1">
      <x:c r="A581" s="24" t="s">
        <x:v>1183</x:v>
      </x:c>
      <x:c r="B581" s="53" t="s">
        <x:v>575</x:v>
      </x:c>
      <x:c r="C581" s="53" t="s">
        <x:v>583</x:v>
      </x:c>
      <x:c r="D581" s="53" t="s">
        <x:v>606</x:v>
      </x:c>
      <x:c r="E581" s="67" t="n">
        <x:f>2*6371000*ASIN(SQRT(MIN(1,SIN(RADIANS(U581-S581)/2)^2+COS(RADIANS(S581))*COS(RADIANS(U581))*SIN(RADIANS(V581-T581)/2)^2)))</x:f>
        <x:v>35.950265790939596</x:v>
      </x:c>
      <x:c r="F581" s="48" t="s">
        <x:v>67</x:v>
      </x:c>
      <x:c r="G581" s="48" t="s">
        <x:v>66</x:v>
      </x:c>
      <x:c r="H581" s="48" t="s">
        <x:v>66</x:v>
      </x:c>
      <x:c r="I581" s="48" t="s">
        <x:v>66</x:v>
      </x:c>
      <x:c r="J581" s="48" t="s">
        <x:v>66</x:v>
      </x:c>
      <x:c r="K581" s="64"/>
      <x:c r="L581" s="64"/>
      <x:c r="M581" s="50"/>
      <x:c r="N581" s="49"/>
      <x:c r="O581" s="50"/>
      <x:c r="P581" s="50"/>
      <x:c r="Q581" s="32">
        <x:v>577</x:v>
      </x:c>
      <x:c r="R581" s="68"/>
      <x:c r="S581" s="54" t="n">
        <x:f>INDEX('Locations'!$D$6:$D$453,MATCH(B581,'Locations'!$A$6:$A$453,0))</x:f>
        <x:v>42.7368057744344</x:v>
      </x:c>
      <x:c r="T581" s="54" t="n">
        <x:f>INDEX('Locations'!$E$6:$E$453,MATCH(B581,'Locations'!$A$6:$A$453,0))</x:f>
        <x:v>-73.6703960639588</x:v>
      </x:c>
      <x:c r="U581" s="54" t="n">
        <x:f>INDEX('Locations'!$D$6:$D$453,MATCH(C581,'Locations'!$A$6:$A$453,0))</x:f>
        <x:v>42.7367540463438</x:v>
      </x:c>
      <x:c r="V581" s="69" t="n">
        <x:f>INDEX('Locations'!$E$6:$E$453,MATCH(C581,'Locations'!$A$6:$A$453,0))</x:f>
        <x:v>-73.66996154713</x:v>
      </x:c>
      <x:c r="W581" s="44"/>
    </x:row>
    <x:row r="582" ht="23" customHeight="1">
      <x:c r="A582" s="21" t="s">
        <x:v>1184</x:v>
      </x:c>
      <x:c r="B582" s="45" t="s">
        <x:v>106</x:v>
      </x:c>
      <x:c r="C582" s="45" t="s">
        <x:v>583</x:v>
      </x:c>
      <x:c r="D582" s="45" t="s">
        <x:v>606</x:v>
      </x:c>
      <x:c r="E582" s="63" t="n">
        <x:f>2*6371000*ASIN(SQRT(MIN(1,SIN(RADIANS(U582-S582)/2)^2+COS(RADIANS(S582))*COS(RADIANS(U582))*SIN(RADIANS(V582-T582)/2)^2)))</x:f>
        <x:v>34.83690984785376</x:v>
      </x:c>
      <x:c r="F582" s="48" t="s">
        <x:v>67</x:v>
      </x:c>
      <x:c r="G582" s="48" t="s">
        <x:v>66</x:v>
      </x:c>
      <x:c r="H582" s="48" t="s">
        <x:v>66</x:v>
      </x:c>
      <x:c r="I582" s="48" t="s">
        <x:v>66</x:v>
      </x:c>
      <x:c r="J582" s="48" t="s">
        <x:v>66</x:v>
      </x:c>
      <x:c r="K582" s="64"/>
      <x:c r="L582" s="64"/>
      <x:c r="M582" s="50"/>
      <x:c r="N582" s="49"/>
      <x:c r="O582" s="50"/>
      <x:c r="P582" s="50"/>
      <x:c r="Q582" s="30">
        <x:v>578</x:v>
      </x:c>
      <x:c r="R582" s="65"/>
      <x:c r="S582" s="46" t="n">
        <x:f>INDEX('Locations'!$D$6:$D$453,MATCH(B582,'Locations'!$A$6:$A$453,0))</x:f>
        <x:v>42.7370631311934</x:v>
      </x:c>
      <x:c r="T582" s="46" t="n">
        <x:f>INDEX('Locations'!$E$6:$E$453,MATCH(B582,'Locations'!$A$6:$A$453,0))</x:f>
        <x:v>-73.6698918455666</x:v>
      </x:c>
      <x:c r="U582" s="46" t="n">
        <x:f>INDEX('Locations'!$D$6:$D$453,MATCH(C582,'Locations'!$A$6:$A$453,0))</x:f>
        <x:v>42.7367540463438</x:v>
      </x:c>
      <x:c r="V582" s="66" t="n">
        <x:f>INDEX('Locations'!$E$6:$E$453,MATCH(C582,'Locations'!$A$6:$A$453,0))</x:f>
        <x:v>-73.66996154713</x:v>
      </x:c>
      <x:c r="W582" s="44"/>
    </x:row>
    <x:row r="583" ht="23" customHeight="1">
      <x:c r="A583" s="24" t="s">
        <x:v>1185</x:v>
      </x:c>
      <x:c r="B583" s="53" t="s">
        <x:v>584</x:v>
      </x:c>
      <x:c r="C583" s="53" t="s">
        <x:v>283</x:v>
      </x:c>
      <x:c r="D583" s="53" t="s">
        <x:v>606</x:v>
      </x:c>
      <x:c r="E583" s="67" t="n">
        <x:f>2*6371000*ASIN(SQRT(MIN(1,SIN(RADIANS(U583-S583)/2)^2+COS(RADIANS(S583))*COS(RADIANS(U583))*SIN(RADIANS(V583-T583)/2)^2)))</x:f>
        <x:v>39.89003471582832</x:v>
      </x:c>
      <x:c r="F583" s="48" t="s">
        <x:v>67</x:v>
      </x:c>
      <x:c r="G583" s="48" t="s">
        <x:v>66</x:v>
      </x:c>
      <x:c r="H583" s="48" t="s">
        <x:v>66</x:v>
      </x:c>
      <x:c r="I583" s="48" t="s">
        <x:v>66</x:v>
      </x:c>
      <x:c r="J583" s="48" t="s">
        <x:v>66</x:v>
      </x:c>
      <x:c r="K583" s="64"/>
      <x:c r="L583" s="64"/>
      <x:c r="M583" s="50"/>
      <x:c r="N583" s="49"/>
      <x:c r="O583" s="50"/>
      <x:c r="P583" s="50"/>
      <x:c r="Q583" s="32">
        <x:v>579</x:v>
      </x:c>
      <x:c r="R583" s="68"/>
      <x:c r="S583" s="54" t="n">
        <x:f>INDEX('Locations'!$D$6:$D$453,MATCH(B583,'Locations'!$A$6:$A$453,0))</x:f>
        <x:v>42.7295615427187</x:v>
      </x:c>
      <x:c r="T583" s="54" t="n">
        <x:f>INDEX('Locations'!$E$6:$E$453,MATCH(B583,'Locations'!$A$6:$A$453,0))</x:f>
        <x:v>-73.6796275570233</x:v>
      </x:c>
      <x:c r="U583" s="54" t="n">
        <x:f>INDEX('Locations'!$D$6:$D$453,MATCH(C583,'Locations'!$A$6:$A$453,0))</x:f>
        <x:v>42.7299167422744</x:v>
      </x:c>
      <x:c r="V583" s="69" t="n">
        <x:f>INDEX('Locations'!$E$6:$E$453,MATCH(C583,'Locations'!$A$6:$A$453,0))</x:f>
        <x:v>-73.6796959974029</x:v>
      </x:c>
      <x:c r="W583" s="44"/>
    </x:row>
    <x:row r="584" ht="23" customHeight="1">
      <x:c r="A584" s="21" t="s">
        <x:v>1186</x:v>
      </x:c>
      <x:c r="B584" s="45" t="s">
        <x:v>282</x:v>
      </x:c>
      <x:c r="C584" s="45" t="s">
        <x:v>584</x:v>
      </x:c>
      <x:c r="D584" s="45" t="s">
        <x:v>661</x:v>
      </x:c>
      <x:c r="E584" s="63" t="n">
        <x:f>2*6371000*ASIN(SQRT(MIN(1,SIN(RADIANS(U584-S584)/2)^2+COS(RADIANS(S584))*COS(RADIANS(U584))*SIN(RADIANS(V584-T584)/2)^2)))</x:f>
        <x:v>9.563286976306197</x:v>
      </x:c>
      <x:c r="F584" s="48" t="s">
        <x:v>67</x:v>
      </x:c>
      <x:c r="G584" s="48" t="s">
        <x:v>66</x:v>
      </x:c>
      <x:c r="H584" s="48" t="s">
        <x:v>66</x:v>
      </x:c>
      <x:c r="I584" s="48" t="s">
        <x:v>66</x:v>
      </x:c>
      <x:c r="J584" s="48" t="s">
        <x:v>66</x:v>
      </x:c>
      <x:c r="K584" s="64"/>
      <x:c r="L584" s="64"/>
      <x:c r="M584" s="50"/>
      <x:c r="N584" s="49"/>
      <x:c r="O584" s="50"/>
      <x:c r="P584" s="50"/>
      <x:c r="Q584" s="30">
        <x:v>580</x:v>
      </x:c>
      <x:c r="R584" s="65"/>
      <x:c r="S584" s="46" t="n">
        <x:f>INDEX('Locations'!$D$6:$D$453,MATCH(B584,'Locations'!$A$6:$A$453,0))</x:f>
        <x:v>42.7296443076638</x:v>
      </x:c>
      <x:c r="T584" s="46" t="n">
        <x:f>INDEX('Locations'!$E$6:$E$453,MATCH(B584,'Locations'!$A$6:$A$453,0))</x:f>
        <x:v>-73.679659389758</x:v>
      </x:c>
      <x:c r="U584" s="46" t="n">
        <x:f>INDEX('Locations'!$D$6:$D$453,MATCH(C584,'Locations'!$A$6:$A$453,0))</x:f>
        <x:v>42.7295615427187</x:v>
      </x:c>
      <x:c r="V584" s="66" t="n">
        <x:f>INDEX('Locations'!$E$6:$E$453,MATCH(C584,'Locations'!$A$6:$A$453,0))</x:f>
        <x:v>-73.6796275570233</x:v>
      </x:c>
      <x:c r="W584" s="44"/>
    </x:row>
    <x:row r="585" ht="23" customHeight="1">
      <x:c r="A585" s="24" t="s">
        <x:v>1187</x:v>
      </x:c>
      <x:c r="B585" s="53" t="s">
        <x:v>321</x:v>
      </x:c>
      <x:c r="C585" s="53" t="s">
        <x:v>584</x:v>
      </x:c>
      <x:c r="D585" s="53" t="s">
        <x:v>606</x:v>
      </x:c>
      <x:c r="E585" s="67" t="n">
        <x:f>2*6371000*ASIN(SQRT(MIN(1,SIN(RADIANS(U585-S585)/2)^2+COS(RADIANS(S585))*COS(RADIANS(U585))*SIN(RADIANS(V585-T585)/2)^2)))</x:f>
        <x:v>46.02142386842384</x:v>
      </x:c>
      <x:c r="F585" s="48" t="s">
        <x:v>67</x:v>
      </x:c>
      <x:c r="G585" s="48" t="s">
        <x:v>66</x:v>
      </x:c>
      <x:c r="H585" s="48" t="s">
        <x:v>66</x:v>
      </x:c>
      <x:c r="I585" s="48" t="s">
        <x:v>66</x:v>
      </x:c>
      <x:c r="J585" s="48" t="s">
        <x:v>66</x:v>
      </x:c>
      <x:c r="K585" s="64"/>
      <x:c r="L585" s="64"/>
      <x:c r="M585" s="50"/>
      <x:c r="N585" s="49"/>
      <x:c r="O585" s="50"/>
      <x:c r="P585" s="50"/>
      <x:c r="Q585" s="32">
        <x:v>581</x:v>
      </x:c>
      <x:c r="R585" s="68"/>
      <x:c r="S585" s="54" t="n">
        <x:f>INDEX('Locations'!$D$6:$D$453,MATCH(B585,'Locations'!$A$6:$A$453,0))</x:f>
        <x:v>42.7291845024136</x:v>
      </x:c>
      <x:c r="T585" s="54" t="n">
        <x:f>INDEX('Locations'!$E$6:$E$453,MATCH(B585,'Locations'!$A$6:$A$453,0))</x:f>
        <x:v>-73.6798599359866</x:v>
      </x:c>
      <x:c r="U585" s="54" t="n">
        <x:f>INDEX('Locations'!$D$6:$D$453,MATCH(C585,'Locations'!$A$6:$A$453,0))</x:f>
        <x:v>42.7295615427187</x:v>
      </x:c>
      <x:c r="V585" s="69" t="n">
        <x:f>INDEX('Locations'!$E$6:$E$453,MATCH(C585,'Locations'!$A$6:$A$453,0))</x:f>
        <x:v>-73.6796275570233</x:v>
      </x:c>
      <x:c r="W585" s="44"/>
    </x:row>
    <x:row r="586" ht="23" customHeight="1">
      <x:c r="A586" s="21" t="s">
        <x:v>1188</x:v>
      </x:c>
      <x:c r="B586" s="45" t="s">
        <x:v>424</x:v>
      </x:c>
      <x:c r="C586" s="45" t="s">
        <x:v>353</x:v>
      </x:c>
      <x:c r="D586" s="45" t="s">
        <x:v>661</x:v>
      </x:c>
      <x:c r="E586" s="63" t="n">
        <x:f>2*6371000*ASIN(SQRT(MIN(1,SIN(RADIANS(U586-S586)/2)^2+COS(RADIANS(S586))*COS(RADIANS(U586))*SIN(RADIANS(V586-T586)/2)^2)))</x:f>
        <x:v>54.976279390732834</x:v>
      </x:c>
      <x:c r="F586" s="48" t="s">
        <x:v>67</x:v>
      </x:c>
      <x:c r="G586" s="48" t="s">
        <x:v>66</x:v>
      </x:c>
      <x:c r="H586" s="48" t="s">
        <x:v>66</x:v>
      </x:c>
      <x:c r="I586" s="48" t="s">
        <x:v>66</x:v>
      </x:c>
      <x:c r="J586" s="48" t="s">
        <x:v>66</x:v>
      </x:c>
      <x:c r="K586" s="64"/>
      <x:c r="L586" s="64"/>
      <x:c r="M586" s="50"/>
      <x:c r="N586" s="49"/>
      <x:c r="O586" s="50"/>
      <x:c r="P586" s="50"/>
      <x:c r="Q586" s="30">
        <x:v>582</x:v>
      </x:c>
      <x:c r="R586" s="65"/>
      <x:c r="S586" s="46" t="n">
        <x:f>INDEX('Locations'!$D$6:$D$453,MATCH(B586,'Locations'!$A$6:$A$453,0))</x:f>
        <x:v>42.7309616497053</x:v>
      </x:c>
      <x:c r="T586" s="46" t="n">
        <x:f>INDEX('Locations'!$E$6:$E$453,MATCH(B586,'Locations'!$A$6:$A$453,0))</x:f>
        <x:v>-73.6833583535307</x:v>
      </x:c>
      <x:c r="U586" s="46" t="n">
        <x:f>INDEX('Locations'!$D$6:$D$453,MATCH(C586,'Locations'!$A$6:$A$453,0))</x:f>
        <x:v>42.7305754132952</x:v>
      </x:c>
      <x:c r="V586" s="66" t="n">
        <x:f>INDEX('Locations'!$E$6:$E$453,MATCH(C586,'Locations'!$A$6:$A$453,0))</x:f>
        <x:v>-73.6829381614326</x:v>
      </x:c>
      <x:c r="W586" s="44"/>
    </x:row>
    <x:row r="587" ht="23" customHeight="1">
      <x:c r="A587" s="24" t="s">
        <x:v>1189</x:v>
      </x:c>
      <x:c r="B587" s="53" t="s">
        <x:v>306</x:v>
      </x:c>
      <x:c r="C587" s="53" t="s">
        <x:v>353</x:v>
      </x:c>
      <x:c r="D587" s="53" t="s">
        <x:v>606</x:v>
      </x:c>
      <x:c r="E587" s="67" t="n">
        <x:f>2*6371000*ASIN(SQRT(MIN(1,SIN(RADIANS(U587-S587)/2)^2+COS(RADIANS(S587))*COS(RADIANS(U587))*SIN(RADIANS(V587-T587)/2)^2)))</x:f>
        <x:v>25.865667599425894</x:v>
      </x:c>
      <x:c r="F587" s="48" t="s">
        <x:v>67</x:v>
      </x:c>
      <x:c r="G587" s="48" t="s">
        <x:v>66</x:v>
      </x:c>
      <x:c r="H587" s="48" t="s">
        <x:v>66</x:v>
      </x:c>
      <x:c r="I587" s="48" t="s">
        <x:v>66</x:v>
      </x:c>
      <x:c r="J587" s="48" t="s">
        <x:v>66</x:v>
      </x:c>
      <x:c r="K587" s="64"/>
      <x:c r="L587" s="64"/>
      <x:c r="M587" s="50"/>
      <x:c r="N587" s="49"/>
      <x:c r="O587" s="50"/>
      <x:c r="P587" s="50"/>
      <x:c r="Q587" s="32">
        <x:v>583</x:v>
      </x:c>
      <x:c r="R587" s="68"/>
      <x:c r="S587" s="54" t="n">
        <x:f>INDEX('Locations'!$D$6:$D$453,MATCH(B587,'Locations'!$A$6:$A$453,0))</x:f>
        <x:v>42.7304489668515</x:v>
      </x:c>
      <x:c r="T587" s="54" t="n">
        <x:f>INDEX('Locations'!$E$6:$E$453,MATCH(B587,'Locations'!$A$6:$A$453,0))</x:f>
        <x:v>-73.6826723580979</x:v>
      </x:c>
      <x:c r="U587" s="54" t="n">
        <x:f>INDEX('Locations'!$D$6:$D$453,MATCH(C587,'Locations'!$A$6:$A$453,0))</x:f>
        <x:v>42.7305754132952</x:v>
      </x:c>
      <x:c r="V587" s="69" t="n">
        <x:f>INDEX('Locations'!$E$6:$E$453,MATCH(C587,'Locations'!$A$6:$A$453,0))</x:f>
        <x:v>-73.6829381614326</x:v>
      </x:c>
      <x:c r="W587" s="44"/>
    </x:row>
    <x:row r="588" ht="23" customHeight="1">
      <x:c r="A588" s="21" t="s">
        <x:v>1190</x:v>
      </x:c>
      <x:c r="B588" s="45" t="s">
        <x:v>164</x:v>
      </x:c>
      <x:c r="C588" s="45" t="s">
        <x:v>585</x:v>
      </x:c>
      <x:c r="D588" s="45" t="s">
        <x:v>606</x:v>
      </x:c>
      <x:c r="E588" s="63" t="n">
        <x:f>2*6371000*ASIN(SQRT(MIN(1,SIN(RADIANS(U588-S588)/2)^2+COS(RADIANS(S588))*COS(RADIANS(U588))*SIN(RADIANS(V588-T588)/2)^2)))</x:f>
        <x:v>39.70875861218836</x:v>
      </x:c>
      <x:c r="F588" s="48" t="s">
        <x:v>67</x:v>
      </x:c>
      <x:c r="G588" s="48" t="s">
        <x:v>66</x:v>
      </x:c>
      <x:c r="H588" s="48" t="s">
        <x:v>66</x:v>
      </x:c>
      <x:c r="I588" s="48" t="s">
        <x:v>66</x:v>
      </x:c>
      <x:c r="J588" s="48" t="s">
        <x:v>66</x:v>
      </x:c>
      <x:c r="K588" s="64"/>
      <x:c r="L588" s="64"/>
      <x:c r="M588" s="50"/>
      <x:c r="N588" s="49"/>
      <x:c r="O588" s="50"/>
      <x:c r="P588" s="50"/>
      <x:c r="Q588" s="30">
        <x:v>584</x:v>
      </x:c>
      <x:c r="R588" s="65"/>
      <x:c r="S588" s="46" t="n">
        <x:f>INDEX('Locations'!$D$6:$D$453,MATCH(B588,'Locations'!$A$6:$A$453,0))</x:f>
        <x:v>42.7301321088195</x:v>
      </x:c>
      <x:c r="T588" s="46" t="n">
        <x:f>INDEX('Locations'!$E$6:$E$453,MATCH(B588,'Locations'!$A$6:$A$453,0))</x:f>
        <x:v>-73.6777225353032</x:v>
      </x:c>
      <x:c r="U588" s="46" t="n">
        <x:f>INDEX('Locations'!$D$6:$D$453,MATCH(C588,'Locations'!$A$6:$A$453,0))</x:f>
        <x:v>42.7304891998108</x:v>
      </x:c>
      <x:c r="V588" s="66" t="n">
        <x:f>INDEX('Locations'!$E$6:$E$453,MATCH(C588,'Locations'!$A$6:$A$453,0))</x:f>
        <x:v>-73.677717592941</x:v>
      </x:c>
      <x:c r="W588" s="44"/>
    </x:row>
    <x:row r="589" ht="23" customHeight="1">
      <x:c r="A589" s="24" t="s">
        <x:v>1191</x:v>
      </x:c>
      <x:c r="B589" s="53" t="s">
        <x:v>266</x:v>
      </x:c>
      <x:c r="C589" s="53" t="s">
        <x:v>585</x:v>
      </x:c>
      <x:c r="D589" s="53" t="s">
        <x:v>606</x:v>
      </x:c>
      <x:c r="E589" s="67" t="n">
        <x:f>2*6371000*ASIN(SQRT(MIN(1,SIN(RADIANS(U589-S589)/2)^2+COS(RADIANS(S589))*COS(RADIANS(U589))*SIN(RADIANS(V589-T589)/2)^2)))</x:f>
        <x:v>26.19616703463466</x:v>
      </x:c>
      <x:c r="F589" s="48" t="s">
        <x:v>67</x:v>
      </x:c>
      <x:c r="G589" s="48" t="s">
        <x:v>66</x:v>
      </x:c>
      <x:c r="H589" s="48" t="s">
        <x:v>66</x:v>
      </x:c>
      <x:c r="I589" s="48" t="s">
        <x:v>66</x:v>
      </x:c>
      <x:c r="J589" s="48" t="s">
        <x:v>66</x:v>
      </x:c>
      <x:c r="K589" s="64"/>
      <x:c r="L589" s="64"/>
      <x:c r="M589" s="50"/>
      <x:c r="N589" s="49"/>
      <x:c r="O589" s="50"/>
      <x:c r="P589" s="50"/>
      <x:c r="Q589" s="32">
        <x:v>585</x:v>
      </x:c>
      <x:c r="R589" s="68"/>
      <x:c r="S589" s="54" t="n">
        <x:f>INDEX('Locations'!$D$6:$D$453,MATCH(B589,'Locations'!$A$6:$A$453,0))</x:f>
        <x:v>42.730517937639</x:v>
      </x:c>
      <x:c r="T589" s="54" t="n">
        <x:f>INDEX('Locations'!$E$6:$E$453,MATCH(B589,'Locations'!$A$6:$A$453,0))</x:f>
        <x:v>-73.678035920288</x:v>
      </x:c>
      <x:c r="U589" s="54" t="n">
        <x:f>INDEX('Locations'!$D$6:$D$453,MATCH(C589,'Locations'!$A$6:$A$453,0))</x:f>
        <x:v>42.7304891998108</x:v>
      </x:c>
      <x:c r="V589" s="69" t="n">
        <x:f>INDEX('Locations'!$E$6:$E$453,MATCH(C589,'Locations'!$A$6:$A$453,0))</x:f>
        <x:v>-73.677717592941</x:v>
      </x:c>
      <x:c r="W589" s="44"/>
    </x:row>
    <x:row r="590" ht="15" customHeight="1">
      <x:c r="A590" s="24" t="str">
        <x:v>E0585</x:v>
      </x:c>
      <x:c r="B590" s="53" t="str">
        <x:v>L071</x:v>
      </x:c>
      <x:c r="C590" s="53" t="str">
        <x:v>N71</x:v>
      </x:c>
      <x:c r="D590" s="53" t="str">
        <x:v>unknown</x:v>
      </x:c>
      <x:c r="E590" s="67" t="n">
        <x:f>2*6371000*ASIN(SQRT(MIN(1,SIN(RADIANS(U590-S590)/2)^2+COS(RADIANS(S590))*COS(RADIANS(U590))*SIN(RADIANS(V590-T590)/2)^2)))</x:f>
        <x:v>0.00021478907489312708</x:v>
      </x:c>
      <x:c r="F590" s="48" t="s">
        <x:v>67</x:v>
      </x:c>
      <x:c r="G590" s="48" t="s">
        <x:v>66</x:v>
      </x:c>
      <x:c r="H590" s="48" t="s">
        <x:v>66</x:v>
      </x:c>
      <x:c r="I590" s="48" t="s">
        <x:v>66</x:v>
      </x:c>
      <x:c r="J590" s="48" t="s">
        <x:v>66</x:v>
      </x:c>
      <x:c r="K590" s="64"/>
      <x:c r="L590" s="64"/>
      <x:c r="M590" s="50"/>
      <x:c r="N590" s="49"/>
      <x:c r="O590" s="50"/>
      <x:c r="P590" s="50"/>
      <x:c r="Q590" s="32" t="n">
        <x:v>586</x:v>
      </x:c>
      <x:c r="R590" s="68" t="str">
        <x:v>User-requested Winslow Building–N71 connection, 2026-10-20. Accessibility unverified.</x:v>
      </x:c>
      <x:c r="S590" s="54" t="n">
        <x:f>INDEX('Locations'!$D$6:$D$453,MATCH(B590,'Locations'!$A$6:$A$453,0))</x:f>
        <x:v>42.7309208693319</x:v>
      </x:c>
      <x:c r="T590" s="54" t="n">
        <x:f>INDEX('Locations'!$E$6:$E$453,MATCH(B590,'Locations'!$A$6:$A$453,0))</x:f>
        <x:v>-73.6843118024674</x:v>
      </x:c>
      <x:c r="U590" s="54" t="n">
        <x:f>INDEX('Locations'!$D$6:$D$453,MATCH(C590,'Locations'!$A$6:$A$453,0))</x:f>
        <x:v>42.73092087</x:v>
      </x:c>
      <x:c r="V590" s="69" t="n">
        <x:f>INDEX('Locations'!$E$6:$E$453,MATCH(C590,'Locations'!$A$6:$A$453,0))</x:f>
        <x:v>-73.6843118</x:v>
      </x:c>
      <x:c r="W590" s="40"/>
    </x:row>
  </x:sheetData>
  <x:conditionalFormatting sqref="D6:D589">
    <x:cfRule type="containsText" dxfId="2" priority="1" stopIfTrue="1" text="FALSE">
      <x:formula>NOT(ISERROR(FIND(UPPER("FALSE"),UPPER(D6))))</x:formula>
      <x:formula>"FALSE"</x:formula>
    </x:cfRule>
  </x:conditionalFormatting>
  <x:conditionalFormatting sqref="G6:G589">
    <x:cfRule type="cellIs" dxfId="3" priority="1" stopIfTrue="1" operator="equal">
      <x:formula>"no"</x:formula>
    </x:cfRule>
  </x:conditionalFormatting>
  <x:dataValidations count="3">
    <x:dataValidation type="list" allowBlank="1" showInputMessage="1" showErrorMessage="1" sqref="F6:F589">
      <x:formula1>"unverified,needs_review,checked"</x:formula1>
    </x:dataValidation>
    <x:dataValidation type="list" allowBlank="1" showInputMessage="1" showErrorMessage="1" sqref="G6:I589">
      <x:formula1>"unknown,yes,no"</x:formula1>
    </x:dataValidation>
    <x:dataValidation type="list" allowBlank="1" showInputMessage="1" showErrorMessage="1" sqref="J6:J589">
      <x:formula1>"unknown,concrete,asphalt,brick,pavers,gravel,dirt,mixed,other"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3" style="70" customWidth="1"/>
    <x:col min="2" max="2" width="15" style="70" customWidth="1"/>
    <x:col min="3" max="3" width="30" style="70" customWidth="1"/>
    <x:col min="4" max="4" width="63" style="70" customWidth="1"/>
    <x:col min="5" max="5" width="67" style="70" customWidth="1"/>
    <x:col min="6" max="6" width="48" style="70" customWidth="1"/>
    <x:col min="7" max="7" width="8.85155963897705" style="70" customWidth="1"/>
    <x:col min="8" max="16384" width="8.85155963897705" style="70" customWidth="1"/>
  </x:cols>
  <x:sheetData>
    <x:row r="1" ht="23" customHeight="1">
      <x:c r="A1" s="2"/>
      <x:c r="B1" s="3"/>
      <x:c r="C1" s="3"/>
      <x:c r="D1" s="3"/>
      <x:c r="E1" s="3"/>
      <x:c r="F1" s="3"/>
      <x:c r="G1" s="5"/>
    </x:row>
    <x:row r="2" ht="23" customHeight="1">
      <x:c r="A2" s="6" t="s">
        <x:v>1192</x:v>
      </x:c>
      <x:c r="B2" s="7"/>
      <x:c r="C2" s="7"/>
      <x:c r="D2" s="7"/>
      <x:c r="E2" s="7"/>
      <x:c r="F2" s="7"/>
      <x:c r="G2" s="9"/>
    </x:row>
    <x:row r="3" ht="23" customHeight="1">
      <x:c r="A3" s="10"/>
      <x:c r="B3" s="11"/>
      <x:c r="C3" s="11"/>
      <x:c r="D3" s="11"/>
      <x:c r="E3" s="11"/>
      <x:c r="F3" s="11"/>
      <x:c r="G3" s="9"/>
    </x:row>
    <x:row r="4" ht="23" customHeight="1">
      <x:c r="A4" s="42" t="s">
        <x:v>1193</x:v>
      </x:c>
      <x:c r="B4" s="43"/>
      <x:c r="C4" s="43"/>
      <x:c r="D4" s="43"/>
      <x:c r="E4" s="43"/>
      <x:c r="F4" s="43"/>
      <x:c r="G4" s="9"/>
    </x:row>
    <x:row r="5" ht="36" customHeight="1">
      <x:c r="A5" s="17" t="s">
        <x:v>1194</x:v>
      </x:c>
      <x:c r="B5" s="18" t="s">
        <x:v>1195</x:v>
      </x:c>
      <x:c r="C5" s="18" t="s">
        <x:v>1196</x:v>
      </x:c>
      <x:c r="D5" s="18" t="s">
        <x:v>1197</x:v>
      </x:c>
      <x:c r="E5" s="18" t="s">
        <x:v>23</x:v>
      </x:c>
      <x:c r="F5" s="19" t="s">
        <x:v>1198</x:v>
      </x:c>
      <x:c r="G5" s="44"/>
    </x:row>
    <x:row r="6" ht="58" customHeight="1">
      <x:c r="A6" s="71" t="s">
        <x:v>1199</x:v>
      </x:c>
      <x:c r="B6" s="58" t="s">
        <x:v>1200</x:v>
      </x:c>
      <x:c r="C6" s="58" t="s">
        <x:v>1201</x:v>
      </x:c>
      <x:c r="D6" s="58" t="s">
        <x:v>1202</x:v>
      </x:c>
      <x:c r="E6" s="58" t="s">
        <x:v>1203</x:v>
      </x:c>
      <x:c r="F6" s="31" t="s">
        <x:v>1204</x:v>
      </x:c>
      <x:c r="G6" s="44"/>
    </x:row>
    <x:row r="7" ht="58" customHeight="1">
      <x:c r="A7" s="72" t="s">
        <x:v>1205</x:v>
      </x:c>
      <x:c r="B7" s="59" t="str">
        <x:v>Fixed</x:v>
      </x:c>
      <x:c r="C7" s="59" t="str">
        <x:v>Winslow connected to N71</x:v>
      </x:c>
      <x:c r="D7" s="59" t="str">
        <x:v>Winslow (L071) and N71 remain separate. Added E0585 between them; retained N71–N312 (E0375).</x:v>
      </x:c>
      <x:c r="E7" s="59" t="str">
        <x:v>User correction on 2026-10-20. Link added to Connections and Edges for the pathfinding importer; accessibility unknown.</x:v>
      </x:c>
      <x:c r="F7" s="33" t="str">
        <x:v>Locations!A76:N77; Connections!A590:V590; Edges!A586:C586</x:v>
      </x:c>
      <x:c r="G7" s="44"/>
    </x:row>
    <x:row r="8" ht="58" customHeight="1">
      <x:c r="A8" s="71" t="s">
        <x:v>1206</x:v>
      </x:c>
      <x:c r="B8" s="58" t="s">
        <x:v>1207</x:v>
      </x:c>
      <x:c r="C8" s="58" t="s">
        <x:v>1208</x:v>
      </x:c>
      <x:c r="D8" s="58" t="s">
        <x:v>1209</x:v>
      </x:c>
      <x:c r="E8" s="58" t="s">
        <x:v>1210</x:v>
      </x:c>
      <x:c r="F8" s="31" t="s">
        <x:v>1211</x:v>
      </x:c>
      <x:c r="G8" s="44"/>
    </x:row>
    <x:row r="9" ht="58" customHeight="1">
      <x:c r="A9" s="72" t="s">
        <x:v>1212</x:v>
      </x:c>
      <x:c r="B9" s="59" t="s">
        <x:v>1207</x:v>
      </x:c>
      <x:c r="C9" s="59" t="s">
        <x:v>1213</x:v>
      </x:c>
      <x:c r="D9" s="59" t="s">
        <x:v>1214</x:v>
      </x:c>
      <x:c r="E9" s="59" t="s">
        <x:v>1215</x:v>
      </x:c>
      <x:c r="F9" s="33" t="s">
        <x:v>1216</x:v>
      </x:c>
      <x:c r="G9" s="44"/>
    </x:row>
    <x:row r="10" ht="58" customHeight="1">
      <x:c r="A10" s="71" t="s">
        <x:v>1217</x:v>
      </x:c>
      <x:c r="B10" s="58" t="s">
        <x:v>1207</x:v>
      </x:c>
      <x:c r="C10" s="58" t="s">
        <x:v>1218</x:v>
      </x:c>
      <x:c r="D10" s="58" t="s">
        <x:v>1219</x:v>
      </x:c>
      <x:c r="E10" s="58" t="s">
        <x:v>1220</x:v>
      </x:c>
      <x:c r="F10" s="31" t="s">
        <x:v>1221</x:v>
      </x:c>
      <x:c r="G10" s="44"/>
    </x:row>
    <x:row r="11" ht="58" customHeight="1">
      <x:c r="A11" s="72" t="s">
        <x:v>1222</x:v>
      </x:c>
      <x:c r="B11" s="59" t="s">
        <x:v>1223</x:v>
      </x:c>
      <x:c r="C11" s="59" t="s">
        <x:v>1224</x:v>
      </x:c>
      <x:c r="D11" s="59" t="s">
        <x:v>1225</x:v>
      </x:c>
      <x:c r="E11" s="59" t="s">
        <x:v>1226</x:v>
      </x:c>
      <x:c r="F11" s="33" t="s">
        <x:v>1227</x:v>
      </x:c>
      <x:c r="G11" s="44"/>
    </x:row>
    <x:row r="12" ht="58" customHeight="1">
      <x:c r="A12" s="71" t="s">
        <x:v>1228</x:v>
      </x:c>
      <x:c r="B12" s="58" t="s">
        <x:v>1229</x:v>
      </x:c>
      <x:c r="C12" s="58" t="s">
        <x:v>1230</x:v>
      </x:c>
      <x:c r="D12" s="58" t="s">
        <x:v>1231</x:v>
      </x:c>
      <x:c r="E12" s="58" t="s">
        <x:v>1232</x:v>
      </x:c>
      <x:c r="F12" s="31" t="s">
        <x:v>1233</x:v>
      </x:c>
      <x:c r="G12" s="44"/>
    </x:row>
    <x:row r="13" ht="58" customHeight="1">
      <x:c r="A13" s="72" t="s">
        <x:v>1234</x:v>
      </x:c>
      <x:c r="B13" s="59" t="s">
        <x:v>1235</x:v>
      </x:c>
      <x:c r="C13" s="59" t="s">
        <x:v>1236</x:v>
      </x:c>
      <x:c r="D13" s="59" t="s">
        <x:v>1237</x:v>
      </x:c>
      <x:c r="E13" s="59" t="s">
        <x:v>1238</x:v>
      </x:c>
      <x:c r="F13" s="33" t="s">
        <x:v>1239</x:v>
      </x:c>
      <x:c r="G13" s="44"/>
    </x:row>
    <x:row r="14" ht="58" customHeight="1">
      <x:c r="A14" s="71" t="s">
        <x:v>1240</x:v>
      </x:c>
      <x:c r="B14" s="58" t="s">
        <x:v>1235</x:v>
      </x:c>
      <x:c r="C14" s="58" t="s">
        <x:v>1241</x:v>
      </x:c>
      <x:c r="D14" s="58" t="s">
        <x:v>1242</x:v>
      </x:c>
      <x:c r="E14" s="58" t="s">
        <x:v>1243</x:v>
      </x:c>
      <x:c r="F14" s="31" t="s">
        <x:v>1244</x:v>
      </x:c>
      <x:c r="G14" s="44"/>
    </x:row>
    <x:row r="15" ht="58" customHeight="1">
      <x:c r="A15" s="72" t="s">
        <x:v>1245</x:v>
      </x:c>
      <x:c r="B15" s="59" t="s">
        <x:v>1207</x:v>
      </x:c>
      <x:c r="C15" s="59" t="s">
        <x:v>1246</x:v>
      </x:c>
      <x:c r="D15" s="59" t="s">
        <x:v>1247</x:v>
      </x:c>
      <x:c r="E15" s="59" t="s">
        <x:v>1248</x:v>
      </x:c>
      <x:c r="F15" s="33" t="s">
        <x:v>1249</x:v>
      </x:c>
      <x:c r="G15" s="44"/>
    </x:row>
    <x:row r="16" ht="58" customHeight="1">
      <x:c r="A16" s="71" t="s">
        <x:v>1250</x:v>
      </x:c>
      <x:c r="B16" s="58" t="s">
        <x:v>1251</x:v>
      </x:c>
      <x:c r="C16" s="58" t="s">
        <x:v>1252</x:v>
      </x:c>
      <x:c r="D16" s="58" t="s">
        <x:v>1253</x:v>
      </x:c>
      <x:c r="E16" s="58" t="s">
        <x:v>1254</x:v>
      </x:c>
      <x:c r="F16" s="31" t="s">
        <x:v>1255</x:v>
      </x:c>
      <x:c r="G16" s="44"/>
    </x:row>
    <x:row r="17" ht="58" customHeight="1">
      <x:c r="A17" s="72" t="s">
        <x:v>1256</x:v>
      </x:c>
      <x:c r="B17" s="59" t="s">
        <x:v>1257</x:v>
      </x:c>
      <x:c r="C17" s="59" t="s">
        <x:v>1258</x:v>
      </x:c>
      <x:c r="D17" s="59" t="s">
        <x:v>1259</x:v>
      </x:c>
      <x:c r="E17" s="59" t="str">
        <x:v>After spelling fix and Winslow link: 448 connected points (71 landmarks). TRUE-only remains 446 (69 landmarks); new link accessibility is unknown.</x:v>
      </x:c>
      <x:c r="F17" s="33" t="str">
        <x:v>Graph audit of Locations and Connections; Winslow–N71 link added</x:v>
      </x:c>
      <x:c r="G17" s="44"/>
    </x:row>
    <x:row r="18" ht="23" customHeight="1">
      <x:c r="A18" s="27"/>
      <x:c r="B18" s="28"/>
      <x:c r="C18" s="28"/>
      <x:c r="D18" s="28"/>
      <x:c r="E18" s="28"/>
      <x:c r="F18" s="28"/>
      <x:c r="G18" s="9"/>
    </x:row>
    <x:row r="19" ht="23" customHeight="1">
      <x:c r="A19" s="29" t="s">
        <x:v>1260</x:v>
      </x:c>
      <x:c r="B19" s="7"/>
      <x:c r="C19" s="7"/>
      <x:c r="D19" s="7"/>
      <x:c r="E19" s="7"/>
      <x:c r="F19" s="7"/>
      <x:c r="G19" s="9"/>
    </x:row>
    <x:row r="20" ht="23" customHeight="1">
      <x:c r="A20" s="15"/>
      <x:c r="B20" s="16"/>
      <x:c r="C20" s="16"/>
      <x:c r="D20" s="16"/>
      <x:c r="E20" s="16"/>
      <x:c r="F20" s="16"/>
      <x:c r="G20" s="9"/>
    </x:row>
    <x:row r="21" ht="36" customHeight="1">
      <x:c r="A21" s="17" t="s">
        <x:v>1261</x:v>
      </x:c>
      <x:c r="B21" s="18" t="s">
        <x:v>1262</x:v>
      </x:c>
      <x:c r="C21" s="18" t="s">
        <x:v>1263</x:v>
      </x:c>
      <x:c r="D21" s="18" t="s">
        <x:v>1264</x:v>
      </x:c>
      <x:c r="E21" s="18" t="s">
        <x:v>1265</x:v>
      </x:c>
      <x:c r="F21" s="19" t="s">
        <x:v>1266</x:v>
      </x:c>
      <x:c r="G21" s="44"/>
    </x:row>
    <x:row r="22" ht="23" customHeight="1">
      <x:c r="A22" s="71" t="s">
        <x:v>1181</x:v>
      </x:c>
      <x:c r="B22" s="73">
        <x:v>575</x:v>
      </x:c>
      <x:c r="C22" s="58" t="s">
        <x:v>581</x:v>
      </x:c>
      <x:c r="D22" s="58" t="s">
        <x:v>582</x:v>
      </x:c>
      <x:c r="E22" s="74">
        <x:v>414.518340847330</x:v>
      </x:c>
      <x:c r="F22" s="31" t="s">
        <x:v>1267</x:v>
      </x:c>
      <x:c r="G22" s="44"/>
    </x:row>
    <x:row r="23" ht="23" customHeight="1">
      <x:c r="A23" s="72" t="s">
        <x:v>1180</x:v>
      </x:c>
      <x:c r="B23" s="75">
        <x:v>574</x:v>
      </x:c>
      <x:c r="C23" s="59" t="s">
        <x:v>574</x:v>
      </x:c>
      <x:c r="D23" s="59" t="s">
        <x:v>582</x:v>
      </x:c>
      <x:c r="E23" s="76">
        <x:v>407.635522184920</x:v>
      </x:c>
      <x:c r="F23" s="33" t="s">
        <x:v>1267</x:v>
      </x:c>
      <x:c r="G23" s="44"/>
    </x:row>
    <x:row r="24" ht="23" customHeight="1">
      <x:c r="A24" s="71" t="s">
        <x:v>1170</x:v>
      </x:c>
      <x:c r="B24" s="73">
        <x:v>564</x:v>
      </x:c>
      <x:c r="C24" s="58" t="s">
        <x:v>565</x:v>
      </x:c>
      <x:c r="D24" s="58" t="s">
        <x:v>576</x:v>
      </x:c>
      <x:c r="E24" s="74">
        <x:v>298.963423824008</x:v>
      </x:c>
      <x:c r="F24" s="31" t="s">
        <x:v>1267</x:v>
      </x:c>
      <x:c r="G24" s="44"/>
    </x:row>
    <x:row r="25" ht="23" customHeight="1">
      <x:c r="A25" s="72" t="s">
        <x:v>1172</x:v>
      </x:c>
      <x:c r="B25" s="75">
        <x:v>566</x:v>
      </x:c>
      <x:c r="C25" s="59" t="s">
        <x:v>574</x:v>
      </x:c>
      <x:c r="D25" s="59" t="s">
        <x:v>573</x:v>
      </x:c>
      <x:c r="E25" s="76">
        <x:v>296.951655285548</x:v>
      </x:c>
      <x:c r="F25" s="33" t="s">
        <x:v>1267</x:v>
      </x:c>
      <x:c r="G25" s="44"/>
    </x:row>
    <x:row r="26" ht="23" customHeight="1">
      <x:c r="A26" s="71" t="s">
        <x:v>909</x:v>
      </x:c>
      <x:c r="B26" s="73">
        <x:v>303</x:v>
      </x:c>
      <x:c r="C26" s="58" t="s">
        <x:v>363</x:v>
      </x:c>
      <x:c r="D26" s="58" t="s">
        <x:v>400</x:v>
      </x:c>
      <x:c r="E26" s="74">
        <x:v>262.880412213887</x:v>
      </x:c>
      <x:c r="F26" s="31" t="s">
        <x:v>1267</x:v>
      </x:c>
      <x:c r="G26" s="44"/>
    </x:row>
    <x:row r="27" ht="23" customHeight="1">
      <x:c r="A27" s="72" t="s">
        <x:v>608</x:v>
      </x:c>
      <x:c r="B27" s="75">
        <x:v>4</x:v>
      </x:c>
      <x:c r="C27" s="59" t="s">
        <x:v>212</x:v>
      </x:c>
      <x:c r="D27" s="59" t="s">
        <x:v>211</x:v>
      </x:c>
      <x:c r="E27" s="76">
        <x:v>260.431853411663</x:v>
      </x:c>
      <x:c r="F27" s="33" t="s">
        <x:v>1267</x:v>
      </x:c>
      <x:c r="G27" s="44"/>
    </x:row>
    <x:row r="28" ht="23" customHeight="1">
      <x:c r="A28" s="71" t="s">
        <x:v>1182</x:v>
      </x:c>
      <x:c r="B28" s="73">
        <x:v>576</x:v>
      </x:c>
      <x:c r="C28" s="58" t="s">
        <x:v>211</x:v>
      </x:c>
      <x:c r="D28" s="58" t="s">
        <x:v>581</x:v>
      </x:c>
      <x:c r="E28" s="74">
        <x:v>250.459670779091</x:v>
      </x:c>
      <x:c r="F28" s="31" t="s">
        <x:v>1267</x:v>
      </x:c>
      <x:c r="G28" s="44"/>
    </x:row>
    <x:row r="29" ht="23" customHeight="1">
      <x:c r="A29" s="72" t="s">
        <x:v>983</x:v>
      </x:c>
      <x:c r="B29" s="75">
        <x:v>377</x:v>
      </x:c>
      <x:c r="C29" s="59" t="s">
        <x:v>448</x:v>
      </x:c>
      <x:c r="D29" s="59" t="s">
        <x:v>449</x:v>
      </x:c>
      <x:c r="E29" s="76">
        <x:v>250.334884598758</x:v>
      </x:c>
      <x:c r="F29" s="33" t="s">
        <x:v>1267</x:v>
      </x:c>
      <x:c r="G29" s="44"/>
    </x:row>
    <x:row r="30" ht="23" customHeight="1">
      <x:c r="A30" s="71" t="s">
        <x:v>1176</x:v>
      </x:c>
      <x:c r="B30" s="73">
        <x:v>570</x:v>
      </x:c>
      <x:c r="C30" s="58" t="s">
        <x:v>580</x:v>
      </x:c>
      <x:c r="D30" s="58" t="s">
        <x:v>578</x:v>
      </x:c>
      <x:c r="E30" s="74">
        <x:v>250.183588711358</x:v>
      </x:c>
      <x:c r="F30" s="31" t="s">
        <x:v>1267</x:v>
      </x:c>
      <x:c r="G30" s="44"/>
    </x:row>
    <x:row r="31" ht="23" customHeight="1">
      <x:c r="A31" s="72" t="s">
        <x:v>1178</x:v>
      </x:c>
      <x:c r="B31" s="75">
        <x:v>572</x:v>
      </x:c>
      <x:c r="C31" s="59" t="s">
        <x:v>577</x:v>
      </x:c>
      <x:c r="D31" s="59" t="s">
        <x:v>578</x:v>
      </x:c>
      <x:c r="E31" s="76">
        <x:v>245.854033339787</x:v>
      </x:c>
      <x:c r="F31" s="33" t="s">
        <x:v>1267</x:v>
      </x:c>
      <x:c r="G31" s="44"/>
    </x:row>
    <x:row r="32" ht="23" customHeight="1">
      <x:c r="A32" s="71" t="s">
        <x:v>1175</x:v>
      </x:c>
      <x:c r="B32" s="73">
        <x:v>569</x:v>
      </x:c>
      <x:c r="C32" s="58" t="s">
        <x:v>208</x:v>
      </x:c>
      <x:c r="D32" s="58" t="s">
        <x:v>577</x:v>
      </x:c>
      <x:c r="E32" s="74">
        <x:v>243.413092707193</x:v>
      </x:c>
      <x:c r="F32" s="31" t="s">
        <x:v>1267</x:v>
      </x:c>
      <x:c r="G32" s="44"/>
    </x:row>
    <x:row r="33" ht="23" customHeight="1">
      <x:c r="A33" s="72" t="s">
        <x:v>1001</x:v>
      </x:c>
      <x:c r="B33" s="75">
        <x:v>395</x:v>
      </x:c>
      <x:c r="C33" s="59" t="s">
        <x:v>454</x:v>
      </x:c>
      <x:c r="D33" s="59" t="s">
        <x:v>461</x:v>
      </x:c>
      <x:c r="E33" s="76">
        <x:v>233.322415481858</x:v>
      </x:c>
      <x:c r="F33" s="33" t="s">
        <x:v>1267</x:v>
      </x:c>
      <x:c r="G33" s="44"/>
    </x:row>
    <x:row r="34" ht="23" customHeight="1">
      <x:c r="A34" s="71" t="s">
        <x:v>997</x:v>
      </x:c>
      <x:c r="B34" s="73">
        <x:v>391</x:v>
      </x:c>
      <x:c r="C34" s="58" t="s">
        <x:v>457</x:v>
      </x:c>
      <x:c r="D34" s="58" t="s">
        <x:v>454</x:v>
      </x:c>
      <x:c r="E34" s="74">
        <x:v>227.0488707042</x:v>
      </x:c>
      <x:c r="F34" s="31" t="s">
        <x:v>1267</x:v>
      </x:c>
      <x:c r="G34" s="44"/>
    </x:row>
    <x:row r="35" ht="23" customHeight="1">
      <x:c r="A35" s="72" t="s">
        <x:v>912</x:v>
      </x:c>
      <x:c r="B35" s="75">
        <x:v>306</x:v>
      </x:c>
      <x:c r="C35" s="59" t="s">
        <x:v>401</x:v>
      </x:c>
      <x:c r="D35" s="59" t="s">
        <x:v>403</x:v>
      </x:c>
      <x:c r="E35" s="76">
        <x:v>219.662885687189</x:v>
      </x:c>
      <x:c r="F35" s="33" t="s">
        <x:v>1267</x:v>
      </x:c>
      <x:c r="G35" s="44"/>
    </x:row>
    <x:row r="36" ht="23" customHeight="1">
      <x:c r="A36" s="71" t="s">
        <x:v>964</x:v>
      </x:c>
      <x:c r="B36" s="73">
        <x:v>358</x:v>
      </x:c>
      <x:c r="C36" s="58" t="s">
        <x:v>388</x:v>
      </x:c>
      <x:c r="D36" s="58" t="s">
        <x:v>437</x:v>
      </x:c>
      <x:c r="E36" s="74">
        <x:v>210.931164024832</x:v>
      </x:c>
      <x:c r="F36" s="31" t="s">
        <x:v>1267</x:v>
      </x:c>
      <x:c r="G36" s="44"/>
    </x:row>
    <x:row r="37" ht="23" customHeight="1">
      <x:c r="A37" s="72" t="s">
        <x:v>903</x:v>
      </x:c>
      <x:c r="B37" s="75">
        <x:v>297</x:v>
      </x:c>
      <x:c r="C37" s="59" t="s">
        <x:v>397</x:v>
      </x:c>
      <x:c r="D37" s="59" t="s">
        <x:v>179</x:v>
      </x:c>
      <x:c r="E37" s="76">
        <x:v>210.747453895069</x:v>
      </x:c>
      <x:c r="F37" s="33" t="s">
        <x:v>1267</x:v>
      </x:c>
      <x:c r="G37" s="44"/>
    </x:row>
    <x:row r="38" ht="23" customHeight="1">
      <x:c r="A38" s="71" t="s">
        <x:v>1174</x:v>
      </x:c>
      <x:c r="B38" s="73">
        <x:v>568</x:v>
      </x:c>
      <x:c r="C38" s="58" t="s">
        <x:v>576</x:v>
      </x:c>
      <x:c r="D38" s="58" t="s">
        <x:v>577</x:v>
      </x:c>
      <x:c r="E38" s="74">
        <x:v>208.820648653827</x:v>
      </x:c>
      <x:c r="F38" s="31" t="s">
        <x:v>1267</x:v>
      </x:c>
      <x:c r="G38" s="44"/>
    </x:row>
    <x:row r="39" ht="23" customHeight="1">
      <x:c r="A39" s="72" t="s">
        <x:v>1173</x:v>
      </x:c>
      <x:c r="B39" s="75">
        <x:v>567</x:v>
      </x:c>
      <x:c r="C39" s="59" t="s">
        <x:v>565</x:v>
      </x:c>
      <x:c r="D39" s="59" t="s">
        <x:v>573</x:v>
      </x:c>
      <x:c r="E39" s="76">
        <x:v>201.673046044865</x:v>
      </x:c>
      <x:c r="F39" s="33" t="s">
        <x:v>1267</x:v>
      </x:c>
      <x:c r="G39" s="44"/>
    </x:row>
    <x:row r="40" ht="23" customHeight="1">
      <x:c r="A40" s="27"/>
      <x:c r="B40" s="28"/>
      <x:c r="C40" s="28"/>
      <x:c r="D40" s="28"/>
      <x:c r="E40" s="28"/>
      <x:c r="F40" s="28"/>
      <x:c r="G40" s="9"/>
    </x:row>
    <x:row r="41" ht="23" customHeight="1">
      <x:c r="A41" s="34"/>
      <x:c r="B41" s="7"/>
      <x:c r="C41" s="7"/>
      <x:c r="D41" s="7"/>
      <x:c r="E41" s="7"/>
      <x:c r="F41" s="7"/>
      <x:c r="G41" s="9"/>
    </x:row>
    <x:row r="42" ht="23" customHeight="1">
      <x:c r="A42" s="29" t="s">
        <x:v>1268</x:v>
      </x:c>
      <x:c r="B42" s="7"/>
      <x:c r="C42" s="7"/>
      <x:c r="D42" s="7"/>
      <x:c r="E42" s="7"/>
      <x:c r="F42" s="7"/>
      <x:c r="G42" s="9"/>
    </x:row>
    <x:row r="43" ht="23" customHeight="1">
      <x:c r="A43" s="34"/>
      <x:c r="B43" s="7"/>
      <x:c r="C43" s="7"/>
      <x:c r="D43" s="7"/>
      <x:c r="E43" s="7"/>
      <x:c r="F43" s="7"/>
      <x:c r="G43" s="9"/>
    </x:row>
    <x:row r="44" ht="23" customHeight="1">
      <x:c r="A44" s="14" t="s">
        <x:v>1269</x:v>
      </x:c>
      <x:c r="B44" s="7"/>
      <x:c r="C44" s="35" t="s">
        <x:v>1270</x:v>
      </x:c>
      <x:c r="D44" s="7"/>
      <x:c r="E44" s="7"/>
      <x:c r="F44" s="7"/>
      <x:c r="G44" s="9"/>
    </x:row>
    <x:row r="45" ht="23" customHeight="1">
      <x:c r="A45" s="34"/>
      <x:c r="B45" s="7"/>
      <x:c r="C45" s="7"/>
      <x:c r="D45" s="7"/>
      <x:c r="E45" s="7"/>
      <x:c r="F45" s="7"/>
      <x:c r="G45" s="9"/>
    </x:row>
    <x:row r="46" ht="23" customHeight="1">
      <x:c r="A46" s="14" t="s">
        <x:v>1271</x:v>
      </x:c>
      <x:c r="B46" s="7"/>
      <x:c r="C46" s="35" t="s">
        <x:v>1272</x:v>
      </x:c>
      <x:c r="D46" s="7"/>
      <x:c r="E46" s="7"/>
      <x:c r="F46" s="7"/>
      <x:c r="G46" s="9"/>
    </x:row>
    <x:row r="47" ht="23" customHeight="1">
      <x:c r="A47" s="34"/>
      <x:c r="B47" s="7"/>
      <x:c r="C47" s="7"/>
      <x:c r="D47" s="7"/>
      <x:c r="E47" s="7"/>
      <x:c r="F47" s="7"/>
      <x:c r="G47" s="9"/>
    </x:row>
    <x:row r="48" ht="23" customHeight="1">
      <x:c r="A48" s="14" t="s">
        <x:v>1273</x:v>
      </x:c>
      <x:c r="B48" s="7"/>
      <x:c r="C48" s="35" t="s">
        <x:v>1274</x:v>
      </x:c>
      <x:c r="D48" s="7"/>
      <x:c r="E48" s="7"/>
      <x:c r="F48" s="7"/>
      <x:c r="G48" s="9"/>
    </x:row>
    <x:row r="49" ht="23" customHeight="1">
      <x:c r="A49" s="34"/>
      <x:c r="B49" s="7"/>
      <x:c r="C49" s="7"/>
      <x:c r="D49" s="7"/>
      <x:c r="E49" s="7"/>
      <x:c r="F49" s="7"/>
      <x:c r="G49" s="9"/>
    </x:row>
    <x:row r="50" ht="23" customHeight="1">
      <x:c r="A50" s="14" t="s">
        <x:v>1275</x:v>
      </x:c>
      <x:c r="B50" s="7"/>
      <x:c r="C50" s="35" t="s">
        <x:v>1276</x:v>
      </x:c>
      <x:c r="D50" s="7"/>
      <x:c r="E50" s="7"/>
      <x:c r="F50" s="7"/>
      <x:c r="G50" s="9"/>
    </x:row>
    <x:row r="51" ht="23" customHeight="1">
      <x:c r="A51" s="34"/>
      <x:c r="B51" s="7"/>
      <x:c r="C51" s="7"/>
      <x:c r="D51" s="7"/>
      <x:c r="E51" s="7"/>
      <x:c r="F51" s="7"/>
      <x:c r="G51" s="9"/>
    </x:row>
    <x:row r="52" ht="23" customHeight="1">
      <x:c r="A52" s="14" t="s">
        <x:v>1277</x:v>
      </x:c>
      <x:c r="B52" s="7"/>
      <x:c r="C52" s="35" t="s">
        <x:v>1278</x:v>
      </x:c>
      <x:c r="D52" s="7"/>
      <x:c r="E52" s="7"/>
      <x:c r="F52" s="7"/>
      <x:c r="G52" s="9"/>
    </x:row>
    <x:row r="53" ht="23" customHeight="1">
      <x:c r="A53" s="34"/>
      <x:c r="B53" s="7"/>
      <x:c r="C53" s="7"/>
      <x:c r="D53" s="7"/>
      <x:c r="E53" s="7"/>
      <x:c r="F53" s="7"/>
      <x:c r="G53" s="9"/>
    </x:row>
    <x:row r="54" ht="23" customHeight="1">
      <x:c r="A54" s="34"/>
      <x:c r="B54" s="7"/>
      <x:c r="C54" s="7"/>
      <x:c r="D54" s="7"/>
      <x:c r="E54" s="7"/>
      <x:c r="F54" s="7"/>
      <x:c r="G54" s="9"/>
    </x:row>
    <x:row r="55" ht="23" customHeight="1">
      <x:c r="A55" s="14" t="s">
        <x:v>1279</x:v>
      </x:c>
      <x:c r="B55" s="7"/>
      <x:c r="C55" s="7"/>
      <x:c r="D55" s="7"/>
      <x:c r="E55" s="7"/>
      <x:c r="F55" s="7"/>
      <x:c r="G55" s="9"/>
    </x:row>
    <x:row r="56" ht="23" customHeight="1">
      <x:c r="A56" s="34"/>
      <x:c r="B56" s="7"/>
      <x:c r="C56" s="7"/>
      <x:c r="D56" s="7"/>
      <x:c r="E56" s="7"/>
      <x:c r="F56" s="7"/>
      <x:c r="G56" s="9"/>
    </x:row>
    <x:row r="57" ht="23" customHeight="1">
      <x:c r="A57" s="14" t="s">
        <x:v>1280</x:v>
      </x:c>
      <x:c r="B57" s="7"/>
      <x:c r="C57" s="7"/>
      <x:c r="D57" s="7"/>
      <x:c r="E57" s="7"/>
      <x:c r="F57" s="7"/>
      <x:c r="G57" s="9"/>
    </x:row>
    <x:row r="58" ht="23" customHeight="1">
      <x:c r="A58" s="34"/>
      <x:c r="B58" s="7"/>
      <x:c r="C58" s="7"/>
      <x:c r="D58" s="7"/>
      <x:c r="E58" s="7"/>
      <x:c r="F58" s="7"/>
      <x:c r="G58" s="9"/>
    </x:row>
    <x:row r="59" ht="23" customHeight="1">
      <x:c r="A59" s="34"/>
      <x:c r="B59" s="7"/>
      <x:c r="C59" s="7"/>
      <x:c r="D59" s="7"/>
      <x:c r="E59" s="7"/>
      <x:c r="F59" s="7"/>
      <x:c r="G59" s="9"/>
    </x:row>
    <x:row r="60" ht="23" customHeight="1">
      <x:c r="A60" s="34"/>
      <x:c r="B60" s="7"/>
      <x:c r="C60" s="7"/>
      <x:c r="D60" s="7"/>
      <x:c r="E60" s="7"/>
      <x:c r="F60" s="7"/>
      <x:c r="G60" s="9"/>
    </x:row>
    <x:row r="61" ht="23" customHeight="1">
      <x:c r="A61" s="34"/>
      <x:c r="B61" s="7"/>
      <x:c r="C61" s="7"/>
      <x:c r="D61" s="7"/>
      <x:c r="E61" s="7"/>
      <x:c r="F61" s="7"/>
      <x:c r="G61" s="9"/>
    </x:row>
    <x:row r="62" ht="23" customHeight="1">
      <x:c r="A62" s="34"/>
      <x:c r="B62" s="7"/>
      <x:c r="C62" s="7"/>
      <x:c r="D62" s="7"/>
      <x:c r="E62" s="7"/>
      <x:c r="F62" s="7"/>
      <x:c r="G62" s="9"/>
    </x:row>
    <x:row r="63" ht="23" customHeight="1">
      <x:c r="A63" s="34"/>
      <x:c r="B63" s="7"/>
      <x:c r="C63" s="7"/>
      <x:c r="D63" s="7"/>
      <x:c r="E63" s="7"/>
      <x:c r="F63" s="7"/>
      <x:c r="G63" s="9"/>
    </x:row>
    <x:row r="64" ht="23" customHeight="1">
      <x:c r="A64" s="34"/>
      <x:c r="B64" s="7"/>
      <x:c r="C64" s="7"/>
      <x:c r="D64" s="7"/>
      <x:c r="E64" s="7"/>
      <x:c r="F64" s="7"/>
      <x:c r="G64" s="9"/>
    </x:row>
    <x:row r="65" ht="23" customHeight="1">
      <x:c r="A65" s="34"/>
      <x:c r="B65" s="7"/>
      <x:c r="C65" s="7"/>
      <x:c r="D65" s="7"/>
      <x:c r="E65" s="7"/>
      <x:c r="F65" s="7"/>
      <x:c r="G65" s="9"/>
    </x:row>
    <x:row r="66" ht="23" customHeight="1">
      <x:c r="A66" s="34"/>
      <x:c r="B66" s="7"/>
      <x:c r="C66" s="7"/>
      <x:c r="D66" s="7"/>
      <x:c r="E66" s="7"/>
      <x:c r="F66" s="7"/>
      <x:c r="G66" s="9"/>
    </x:row>
    <x:row r="67" ht="23" customHeight="1">
      <x:c r="A67" s="37"/>
      <x:c r="B67" s="38"/>
      <x:c r="C67" s="38"/>
      <x:c r="D67" s="38"/>
      <x:c r="E67" s="38"/>
      <x:c r="F67" s="38"/>
      <x:c r="G67" s="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64" style="77" customWidth="1"/>
    <x:col min="2" max="3" width="23" style="77" customWidth="1"/>
    <x:col min="4" max="4" width="8.85155963897705" style="77" customWidth="1"/>
    <x:col min="5" max="5" width="87" style="77" customWidth="1"/>
    <x:col min="6" max="16384" width="8.85155963897705" style="77" customWidth="1"/>
  </x:cols>
  <x:sheetData>
    <x:row r="1" ht="36" customHeight="1">
      <x:c r="A1" s="17" t="s">
        <x:v>1281</x:v>
      </x:c>
      <x:c r="B1" s="18" t="s">
        <x:v>1282</x:v>
      </x:c>
      <x:c r="C1" s="19" t="s">
        <x:v>1283</x:v>
      </x:c>
      <x:c r="D1" s="78"/>
      <x:c r="E1" s="79" t="s">
        <x:v>1284</x:v>
      </x:c>
    </x:row>
    <x:row r="2" ht="23" customHeight="1">
      <x:c r="A2" s="21" t="s">
        <x:v>183</x:v>
      </x:c>
      <x:c r="B2" s="46">
        <x:v>42.7297841661032</x:v>
      </x:c>
      <x:c r="C2" s="66">
        <x:v>-73.678207915226</x:v>
      </x:c>
      <x:c r="D2" s="80"/>
      <x:c r="E2" s="81" t="s">
        <x:v>1285</x:v>
      </x:c>
    </x:row>
    <x:row r="3" ht="23" customHeight="1">
      <x:c r="A3" s="24" t="s">
        <x:v>173</x:v>
      </x:c>
      <x:c r="B3" s="54">
        <x:v>42.7298997202713</x:v>
      </x:c>
      <x:c r="C3" s="69">
        <x:v>-73.6766696757312</x:v>
      </x:c>
      <x:c r="D3" s="80"/>
      <x:c r="E3" s="82"/>
    </x:row>
    <x:row r="4" ht="23" customHeight="1">
      <x:c r="A4" s="21" t="s">
        <x:v>161</x:v>
      </x:c>
      <x:c r="B4" s="46">
        <x:v>42.7311695906155</x:v>
      </x:c>
      <x:c r="C4" s="66">
        <x:v>-73.6833097926915</x:v>
      </x:c>
      <x:c r="D4" s="80"/>
      <x:c r="E4" s="81" t="s">
        <x:v>1286</x:v>
      </x:c>
    </x:row>
    <x:row r="5" ht="23" customHeight="1">
      <x:c r="A5" s="24" t="s">
        <x:v>205</x:v>
      </x:c>
      <x:c r="B5" s="54">
        <x:v>42.7317041350482</x:v>
      </x:c>
      <x:c r="C5" s="69">
        <x:v>-73.6831166044322</x:v>
      </x:c>
      <x:c r="D5" s="80"/>
      <x:c r="E5" s="82"/>
    </x:row>
    <x:row r="6" ht="23" customHeight="1">
      <x:c r="A6" s="21" t="s">
        <x:v>97</x:v>
      </x:c>
      <x:c r="B6" s="46">
        <x:v>42.7304685043522</x:v>
      </x:c>
      <x:c r="C6" s="66">
        <x:v>-73.6832074982253</x:v>
      </x:c>
      <x:c r="D6" s="80"/>
      <x:c r="E6" s="83" t="s">
        <x:v>1287</x:v>
      </x:c>
    </x:row>
    <x:row r="7" ht="23" customHeight="1">
      <x:c r="A7" s="24" t="s">
        <x:v>201</x:v>
      </x:c>
      <x:c r="B7" s="54">
        <x:v>42.7308675073972</x:v>
      </x:c>
      <x:c r="C7" s="69">
        <x:v>-73.6825236241763</x:v>
      </x:c>
      <x:c r="D7" s="80"/>
      <x:c r="E7" s="81" t="s">
        <x:v>1288</x:v>
      </x:c>
    </x:row>
    <x:row r="8" ht="23" customHeight="1">
      <x:c r="A8" s="21" t="s">
        <x:v>87</x:v>
      </x:c>
      <x:c r="B8" s="46">
        <x:v>42.7312253105997</x:v>
      </x:c>
      <x:c r="C8" s="66">
        <x:v>-73.68176230139279</x:v>
      </x:c>
      <x:c r="D8" s="80"/>
      <x:c r="E8" s="82"/>
    </x:row>
    <x:row r="9" ht="23" customHeight="1">
      <x:c r="A9" s="24" t="s">
        <x:v>185</x:v>
      </x:c>
      <x:c r="B9" s="54">
        <x:v>42.7308640200207</x:v>
      </x:c>
      <x:c r="C9" s="69">
        <x:v>-73.6816022813999</x:v>
      </x:c>
      <x:c r="D9" s="80"/>
      <x:c r="E9" s="83" t="s">
        <x:v>1289</x:v>
      </x:c>
    </x:row>
    <x:row r="10" ht="48" customHeight="1">
      <x:c r="A10" s="21" t="s">
        <x:v>197</x:v>
      </x:c>
      <x:c r="B10" s="46">
        <x:v>42.7310834884144</x:v>
      </x:c>
      <x:c r="C10" s="66">
        <x:v>-73.6805230007287</x:v>
      </x:c>
      <x:c r="D10" s="80"/>
      <x:c r="E10" s="84" t="s">
        <x:v>1290</x:v>
      </x:c>
    </x:row>
    <x:row r="11" ht="23" customHeight="1">
      <x:c r="A11" s="24" t="s">
        <x:v>155</x:v>
      </x:c>
      <x:c r="B11" s="54">
        <x:v>42.7313610903711</x:v>
      </x:c>
      <x:c r="C11" s="69">
        <x:v>-73.6798278892484</x:v>
      </x:c>
      <x:c r="D11" s="80"/>
      <x:c r="E11" s="82"/>
    </x:row>
    <x:row r="12" ht="23" customHeight="1">
      <x:c r="A12" s="21" t="s">
        <x:v>117</x:v>
      </x:c>
      <x:c r="B12" s="46">
        <x:v>42.7313769480033</x:v>
      </x:c>
      <x:c r="C12" s="66">
        <x:v>-73.6791896873967</x:v>
      </x:c>
      <x:c r="D12" s="80"/>
      <x:c r="E12" s="81" t="s">
        <x:v>1291</x:v>
      </x:c>
    </x:row>
    <x:row r="13" ht="23" customHeight="1">
      <x:c r="A13" s="24" t="s">
        <x:v>175</x:v>
      </x:c>
      <x:c r="B13" s="54">
        <x:v>42.7309017267168</x:v>
      </x:c>
      <x:c r="C13" s="69">
        <x:v>-73.6797509579396</x:v>
      </x:c>
      <x:c r="D13" s="80"/>
      <x:c r="E13" s="82"/>
    </x:row>
    <x:row r="14" ht="23" customHeight="1">
      <x:c r="A14" s="21" t="s">
        <x:v>69</x:v>
      </x:c>
      <x:c r="B14" s="46">
        <x:v>42.7307847736595</x:v>
      </x:c>
      <x:c r="C14" s="66">
        <x:v>-73.6788642890883</x:v>
      </x:c>
      <x:c r="D14" s="80"/>
      <x:c r="E14" s="81" t="s">
        <x:v>1292</x:v>
      </x:c>
    </x:row>
    <x:row r="15" ht="23" customHeight="1">
      <x:c r="A15" s="24" t="s">
        <x:v>165</x:v>
      </x:c>
      <x:c r="B15" s="54">
        <x:v>42.7301321088195</x:v>
      </x:c>
      <x:c r="C15" s="69">
        <x:v>-73.6777225353032</x:v>
      </x:c>
      <x:c r="D15" s="80"/>
      <x:c r="E15" s="82"/>
    </x:row>
    <x:row r="16" ht="23" customHeight="1">
      <x:c r="A16" s="21" t="s">
        <x:v>147</x:v>
      </x:c>
      <x:c r="B16" s="46">
        <x:v>42.7294025452251</x:v>
      </x:c>
      <x:c r="C16" s="66">
        <x:v>-73.67868702133759</x:v>
      </x:c>
      <x:c r="D16" s="80"/>
      <x:c r="E16" s="81" t="s">
        <x:v>1293</x:v>
      </x:c>
    </x:row>
    <x:row r="17" ht="23" customHeight="1">
      <x:c r="A17" s="24" t="s">
        <x:v>181</x:v>
      </x:c>
      <x:c r="B17" s="54">
        <x:v>42.7292099242771</x:v>
      </x:c>
      <x:c r="C17" s="69">
        <x:v>-73.67815983327949</x:v>
      </x:c>
      <x:c r="D17" s="80"/>
      <x:c r="E17" s="82"/>
    </x:row>
    <x:row r="18" ht="23" customHeight="1">
      <x:c r="A18" s="21" t="s">
        <x:v>113</x:v>
      </x:c>
      <x:c r="B18" s="46">
        <x:v>42.7294710085669</x:v>
      </x:c>
      <x:c r="C18" s="66">
        <x:v>-73.67925539282341</x:v>
      </x:c>
      <x:c r="D18" s="80"/>
      <x:c r="E18" s="82"/>
    </x:row>
    <x:row r="19" ht="23" customHeight="1">
      <x:c r="A19" s="24" t="s">
        <x:v>141</x:v>
      </x:c>
      <x:c r="B19" s="54">
        <x:v>42.7296023792144</x:v>
      </x:c>
      <x:c r="C19" s="69">
        <x:v>-73.6801876114796</x:v>
      </x:c>
      <x:c r="D19" s="80"/>
      <x:c r="E19" s="82"/>
    </x:row>
    <x:row r="20" ht="23" customHeight="1">
      <x:c r="A20" s="21" t="s">
        <x:v>143</x:v>
      </x:c>
      <x:c r="B20" s="46">
        <x:v>42.7288196976939</x:v>
      </x:c>
      <x:c r="C20" s="66">
        <x:v>-73.68037847802439</x:v>
      </x:c>
      <x:c r="D20" s="80"/>
      <x:c r="E20" s="82"/>
    </x:row>
    <x:row r="21" ht="23" customHeight="1">
      <x:c r="A21" s="24" t="s">
        <x:v>105</x:v>
      </x:c>
      <x:c r="B21" s="54">
        <x:v>42.7281819912845</x:v>
      </x:c>
      <x:c r="C21" s="69">
        <x:v>-73.68125105065241</x:v>
      </x:c>
      <x:c r="D21" s="80"/>
      <x:c r="E21" s="82"/>
    </x:row>
    <x:row r="22" ht="23" customHeight="1">
      <x:c r="A22" s="21" t="s">
        <x:v>149</x:v>
      </x:c>
      <x:c r="B22" s="46">
        <x:v>42.7283133827967</x:v>
      </x:c>
      <x:c r="C22" s="66">
        <x:v>-73.6819688586443</x:v>
      </x:c>
      <x:c r="D22" s="80"/>
      <x:c r="E22" s="82"/>
    </x:row>
    <x:row r="23" ht="23" customHeight="1">
      <x:c r="A23" s="24" t="s">
        <x:v>199</x:v>
      </x:c>
      <x:c r="B23" s="54">
        <x:v>42.7292472880867</x:v>
      </x:c>
      <x:c r="C23" s="69">
        <x:v>-73.6819248492686</x:v>
      </x:c>
      <x:c r="D23" s="80"/>
      <x:c r="E23" s="82"/>
    </x:row>
    <x:row r="24" ht="23" customHeight="1">
      <x:c r="A24" s="21" t="s">
        <x:v>123</x:v>
      </x:c>
      <x:c r="B24" s="46">
        <x:v>42.7293468233902</x:v>
      </x:c>
      <x:c r="C24" s="66">
        <x:v>-73.68254817542559</x:v>
      </x:c>
      <x:c r="D24" s="80"/>
      <x:c r="E24" s="82"/>
    </x:row>
    <x:row r="25" ht="23" customHeight="1">
      <x:c r="A25" s="24" t="s">
        <x:v>125</x:v>
      </x:c>
      <x:c r="B25" s="54">
        <x:v>42.7300180143745</x:v>
      </x:c>
      <x:c r="C25" s="69">
        <x:v>-73.6811693363836</x:v>
      </x:c>
      <x:c r="D25" s="80"/>
      <x:c r="E25" s="82"/>
    </x:row>
    <x:row r="26" ht="23" customHeight="1">
      <x:c r="A26" s="21" t="s">
        <x:v>145</x:v>
      </x:c>
      <x:c r="B26" s="46">
        <x:v>42.7300826547069</x:v>
      </x:c>
      <x:c r="C26" s="66">
        <x:v>-73.6818996007287</x:v>
      </x:c>
      <x:c r="D26" s="80"/>
      <x:c r="E26" s="82"/>
    </x:row>
    <x:row r="27" ht="23" customHeight="1">
      <x:c r="A27" s="24" t="s">
        <x:v>77</x:v>
      </x:c>
      <x:c r="B27" s="54">
        <x:v>42.7302123784514</x:v>
      </x:c>
      <x:c r="C27" s="69">
        <x:v>-73.6825661737445</x:v>
      </x:c>
      <x:c r="D27" s="80"/>
      <x:c r="E27" s="82"/>
    </x:row>
    <x:row r="28" ht="23" customHeight="1">
      <x:c r="A28" s="21" t="s">
        <x:v>81</x:v>
      </x:c>
      <x:c r="B28" s="46">
        <x:v>42.7324848429346</x:v>
      </x:c>
      <x:c r="C28" s="66">
        <x:v>-73.68287842150011</x:v>
      </x:c>
      <x:c r="D28" s="80"/>
      <x:c r="E28" s="82"/>
    </x:row>
    <x:row r="29" ht="23" customHeight="1">
      <x:c r="A29" s="24" t="s">
        <x:v>189</x:v>
      </x:c>
      <x:c r="B29" s="54">
        <x:v>42.7328887776181</x:v>
      </x:c>
      <x:c r="C29" s="69">
        <x:v>-73.6808383806214</x:v>
      </x:c>
      <x:c r="D29" s="80"/>
      <x:c r="E29" s="82"/>
    </x:row>
    <x:row r="30" ht="23" customHeight="1">
      <x:c r="A30" s="21" t="s">
        <x:v>83</x:v>
      </x:c>
      <x:c r="B30" s="46">
        <x:v>42.7321517031695</x:v>
      </x:c>
      <x:c r="C30" s="66">
        <x:v>-73.6808557374853</x:v>
      </x:c>
      <x:c r="D30" s="80"/>
      <x:c r="E30" s="82"/>
    </x:row>
    <x:row r="31" ht="23" customHeight="1">
      <x:c r="A31" s="24" t="s">
        <x:v>139</x:v>
      </x:c>
      <x:c r="B31" s="54">
        <x:v>42.7331692394064</x:v>
      </x:c>
      <x:c r="C31" s="69">
        <x:v>-73.6798983927157</x:v>
      </x:c>
      <x:c r="D31" s="80"/>
      <x:c r="E31" s="82"/>
    </x:row>
    <x:row r="32" ht="23" customHeight="1">
      <x:c r="A32" s="21" t="s">
        <x:v>129</x:v>
      </x:c>
      <x:c r="B32" s="46">
        <x:v>42.7326033187689</x:v>
      </x:c>
      <x:c r="C32" s="66">
        <x:v>-73.6792189042077</x:v>
      </x:c>
      <x:c r="D32" s="80"/>
      <x:c r="E32" s="82"/>
    </x:row>
    <x:row r="33" ht="23" customHeight="1">
      <x:c r="A33" s="24" t="s">
        <x:v>135</x:v>
      </x:c>
      <x:c r="B33" s="54">
        <x:v>42.7328920544551</x:v>
      </x:c>
      <x:c r="C33" s="69">
        <x:v>-73.678166768821</x:v>
      </x:c>
      <x:c r="D33" s="80"/>
      <x:c r="E33" s="82"/>
    </x:row>
    <x:row r="34" ht="23" customHeight="1">
      <x:c r="A34" s="21" t="s">
        <x:v>73</x:v>
      </x:c>
      <x:c r="B34" s="46">
        <x:v>42.7306562926605</x:v>
      </x:c>
      <x:c r="C34" s="66">
        <x:v>-73.67553824117169</x:v>
      </x:c>
      <x:c r="D34" s="80"/>
      <x:c r="E34" s="82"/>
    </x:row>
    <x:row r="35" ht="23" customHeight="1">
      <x:c r="A35" s="24" t="s">
        <x:v>163</x:v>
      </x:c>
      <x:c r="B35" s="54">
        <x:v>42.729251662132</x:v>
      </x:c>
      <x:c r="C35" s="69">
        <x:v>-73.67700170629379</x:v>
      </x:c>
      <x:c r="D35" s="80"/>
      <x:c r="E35" s="82"/>
    </x:row>
    <x:row r="36" ht="23" customHeight="1">
      <x:c r="A36" s="21" t="s">
        <x:v>75</x:v>
      </x:c>
      <x:c r="B36" s="46">
        <x:v>42.7284653662746</x:v>
      </x:c>
      <x:c r="C36" s="66">
        <x:v>-73.67697292873009</x:v>
      </x:c>
      <x:c r="D36" s="80"/>
      <x:c r="E36" s="82"/>
    </x:row>
    <x:row r="37" ht="23" customHeight="1">
      <x:c r="A37" s="24" t="s">
        <x:v>151</x:v>
      </x:c>
      <x:c r="B37" s="54">
        <x:v>42.728805307566</x:v>
      </x:c>
      <x:c r="C37" s="69">
        <x:v>-73.67691223726879</x:v>
      </x:c>
      <x:c r="D37" s="80"/>
      <x:c r="E37" s="82"/>
    </x:row>
    <x:row r="38" ht="23" customHeight="1">
      <x:c r="A38" s="21" t="s">
        <x:v>177</x:v>
      </x:c>
      <x:c r="B38" s="46">
        <x:v>42.7281536327168</x:v>
      </x:c>
      <x:c r="C38" s="66">
        <x:v>-73.67724499364719</x:v>
      </x:c>
      <x:c r="D38" s="80"/>
      <x:c r="E38" s="82"/>
    </x:row>
    <x:row r="39" ht="23" customHeight="1">
      <x:c r="A39" s="24" t="s">
        <x:v>109</x:v>
      </x:c>
      <x:c r="B39" s="54">
        <x:v>42.7282969500132</x:v>
      </x:c>
      <x:c r="C39" s="69">
        <x:v>-73.6743120995072</x:v>
      </x:c>
      <x:c r="D39" s="80"/>
      <x:c r="E39" s="82"/>
    </x:row>
    <x:row r="40" ht="23" customHeight="1">
      <x:c r="A40" s="21" t="s">
        <x:v>111</x:v>
      </x:c>
      <x:c r="B40" s="46">
        <x:v>42.7283076056935</x:v>
      </x:c>
      <x:c r="C40" s="66">
        <x:v>-73.67350733406759</x:v>
      </x:c>
      <x:c r="D40" s="80"/>
      <x:c r="E40" s="82"/>
    </x:row>
    <x:row r="41" ht="23" customHeight="1">
      <x:c r="A41" s="24" t="s">
        <x:v>153</x:v>
      </x:c>
      <x:c r="B41" s="54">
        <x:v>42.727659785464</x:v>
      </x:c>
      <x:c r="C41" s="69">
        <x:v>-73.67362914253449</x:v>
      </x:c>
      <x:c r="D41" s="80"/>
      <x:c r="E41" s="82"/>
    </x:row>
    <x:row r="42" ht="23" customHeight="1">
      <x:c r="A42" s="21" t="s">
        <x:v>115</x:v>
      </x:c>
      <x:c r="B42" s="46">
        <x:v>42.7272453915547</x:v>
      </x:c>
      <x:c r="C42" s="66">
        <x:v>-73.67408488012831</x:v>
      </x:c>
      <x:c r="D42" s="80"/>
      <x:c r="E42" s="82"/>
    </x:row>
    <x:row r="43" ht="23" customHeight="1">
      <x:c r="A43" s="24" t="s">
        <x:v>191</x:v>
      </x:c>
      <x:c r="B43" s="54">
        <x:v>42.7270250661145</x:v>
      </x:c>
      <x:c r="C43" s="69">
        <x:v>-73.6746479607236</x:v>
      </x:c>
      <x:c r="D43" s="80"/>
      <x:c r="E43" s="82"/>
    </x:row>
    <x:row r="44" ht="23" customHeight="1">
      <x:c r="A44" s="21" t="s">
        <x:v>157</x:v>
      </x:c>
      <x:c r="B44" s="46">
        <x:v>42.7274275472005</x:v>
      </x:c>
      <x:c r="C44" s="66">
        <x:v>-73.6750424434785</x:v>
      </x:c>
      <x:c r="D44" s="80"/>
      <x:c r="E44" s="82"/>
    </x:row>
    <x:row r="45" ht="23" customHeight="1">
      <x:c r="A45" s="24" t="s">
        <x:v>203</x:v>
      </x:c>
      <x:c r="B45" s="54">
        <x:v>42.7279134886281</x:v>
      </x:c>
      <x:c r="C45" s="69">
        <x:v>-73.6752662371224</x:v>
      </x:c>
      <x:c r="D45" s="80"/>
      <x:c r="E45" s="82"/>
    </x:row>
    <x:row r="46" ht="23" customHeight="1">
      <x:c r="A46" s="21" t="s">
        <x:v>131</x:v>
      </x:c>
      <x:c r="B46" s="46">
        <x:v>42.7285552030114</x:v>
      </x:c>
      <x:c r="C46" s="66">
        <x:v>-73.6751461783729</x:v>
      </x:c>
      <x:c r="D46" s="80"/>
      <x:c r="E46" s="82"/>
    </x:row>
    <x:row r="47" ht="23" customHeight="1">
      <x:c r="A47" s="24" t="s">
        <x:v>99</x:v>
      </x:c>
      <x:c r="B47" s="54">
        <x:v>42.7288576188582</x:v>
      </x:c>
      <x:c r="C47" s="69">
        <x:v>-73.6746296811551</x:v>
      </x:c>
      <x:c r="D47" s="80"/>
      <x:c r="E47" s="82"/>
    </x:row>
    <x:row r="48" ht="23" customHeight="1">
      <x:c r="A48" s="21" t="s">
        <x:v>91</x:v>
      </x:c>
      <x:c r="B48" s="46">
        <x:v>42.7287299054554</x:v>
      </x:c>
      <x:c r="C48" s="66">
        <x:v>-73.6737886416314</x:v>
      </x:c>
      <x:c r="D48" s="80"/>
      <x:c r="E48" s="82"/>
    </x:row>
    <x:row r="49" ht="23" customHeight="1">
      <x:c r="A49" s="24" t="s">
        <x:v>103</x:v>
      </x:c>
      <x:c r="B49" s="54">
        <x:v>42.7317963596702</x:v>
      </x:c>
      <x:c r="C49" s="69">
        <x:v>-73.6722539949815</x:v>
      </x:c>
      <x:c r="D49" s="80"/>
      <x:c r="E49" s="82"/>
    </x:row>
    <x:row r="50" ht="23" customHeight="1">
      <x:c r="A50" s="21" t="s">
        <x:v>95</x:v>
      </x:c>
      <x:c r="B50" s="46">
        <x:v>42.7310890611734</x:v>
      </x:c>
      <x:c r="C50" s="66">
        <x:v>-73.67124299833191</x:v>
      </x:c>
      <x:c r="D50" s="80"/>
      <x:c r="E50" s="82"/>
    </x:row>
    <x:row r="51" ht="23" customHeight="1">
      <x:c r="A51" s="24" t="s">
        <x:v>137</x:v>
      </x:c>
      <x:c r="B51" s="54">
        <x:v>42.7321437395256</x:v>
      </x:c>
      <x:c r="C51" s="69">
        <x:v>-73.66965064056549</x:v>
      </x:c>
      <x:c r="D51" s="80"/>
      <x:c r="E51" s="82"/>
    </x:row>
    <x:row r="52" ht="23" customHeight="1">
      <x:c r="A52" s="21" t="s">
        <x:v>169</x:v>
      </x:c>
      <x:c r="B52" s="46">
        <x:v>42.7310122669798</x:v>
      </x:c>
      <x:c r="C52" s="66">
        <x:v>-73.6694188616615</x:v>
      </x:c>
      <x:c r="D52" s="80"/>
      <x:c r="E52" s="82"/>
    </x:row>
    <x:row r="53" ht="23" customHeight="1">
      <x:c r="A53" s="24" t="s">
        <x:v>127</x:v>
      </x:c>
      <x:c r="B53" s="54">
        <x:v>42.7288083242615</x:v>
      </x:c>
      <x:c r="C53" s="69">
        <x:v>-73.6679496547526</x:v>
      </x:c>
      <x:c r="D53" s="80"/>
      <x:c r="E53" s="82"/>
    </x:row>
    <x:row r="54" ht="23" customHeight="1">
      <x:c r="A54" s="21" t="s">
        <x:v>193</x:v>
      </x:c>
      <x:c r="B54" s="46">
        <x:v>42.7337312515574</x:v>
      </x:c>
      <x:c r="C54" s="66">
        <x:v>-73.6649082730455</x:v>
      </x:c>
      <x:c r="D54" s="80"/>
      <x:c r="E54" s="82"/>
    </x:row>
    <x:row r="55" ht="23" customHeight="1">
      <x:c r="A55" s="24" t="s">
        <x:v>167</x:v>
      </x:c>
      <x:c r="B55" s="54">
        <x:v>42.734249293852</x:v>
      </x:c>
      <x:c r="C55" s="69">
        <x:v>-73.6631980548119</x:v>
      </x:c>
      <x:c r="D55" s="80"/>
      <x:c r="E55" s="82"/>
    </x:row>
    <x:row r="56" ht="23" customHeight="1">
      <x:c r="A56" s="21" t="s">
        <x:v>93</x:v>
      </x:c>
      <x:c r="B56" s="46">
        <x:v>42.7350010602975</x:v>
      </x:c>
      <x:c r="C56" s="66">
        <x:v>-73.6639111850773</x:v>
      </x:c>
      <x:c r="D56" s="80"/>
      <x:c r="E56" s="82"/>
    </x:row>
    <x:row r="57" ht="23" customHeight="1">
      <x:c r="A57" s="24" t="s">
        <x:v>171</x:v>
      </x:c>
      <x:c r="B57" s="54">
        <x:v>42.7349771351961</x:v>
      </x:c>
      <x:c r="C57" s="69">
        <x:v>-73.6653996986484</x:v>
      </x:c>
      <x:c r="D57" s="80"/>
      <x:c r="E57" s="82"/>
    </x:row>
    <x:row r="58" ht="23" customHeight="1">
      <x:c r="A58" s="21" t="s">
        <x:v>107</x:v>
      </x:c>
      <x:c r="B58" s="46">
        <x:v>42.7370631311934</x:v>
      </x:c>
      <x:c r="C58" s="66">
        <x:v>-73.6698918455666</x:v>
      </x:c>
      <x:c r="D58" s="80"/>
      <x:c r="E58" s="82"/>
    </x:row>
    <x:row r="59" ht="23" customHeight="1">
      <x:c r="A59" s="24" t="s">
        <x:v>71</x:v>
      </x:c>
      <x:c r="B59" s="54">
        <x:v>42.7274495940891</x:v>
      </x:c>
      <x:c r="C59" s="69">
        <x:v>-73.6786514525317</x:v>
      </x:c>
      <x:c r="D59" s="80"/>
      <x:c r="E59" s="82"/>
    </x:row>
    <x:row r="60" ht="23" customHeight="1">
      <x:c r="A60" s="21" t="s">
        <x:v>119</x:v>
      </x:c>
      <x:c r="B60" s="46">
        <x:v>42.732367962673</x:v>
      </x:c>
      <x:c r="C60" s="66">
        <x:v>-73.6676237933532</x:v>
      </x:c>
      <x:c r="D60" s="80"/>
      <x:c r="E60" s="82"/>
    </x:row>
    <x:row r="61" ht="23" customHeight="1">
      <x:c r="A61" s="24" t="s">
        <x:v>79</x:v>
      </x:c>
      <x:c r="B61" s="54">
        <x:v>42.7290866948623</x:v>
      </x:c>
      <x:c r="C61" s="69">
        <x:v>-73.6740898425949</x:v>
      </x:c>
      <x:c r="D61" s="80"/>
      <x:c r="E61" s="82"/>
    </x:row>
    <x:row r="62" ht="23" customHeight="1">
      <x:c r="A62" s="21" t="s">
        <x:v>101</x:v>
      </x:c>
      <x:c r="B62" s="46">
        <x:v>42.7282253057696</x:v>
      </x:c>
      <x:c r="C62" s="66">
        <x:v>-73.6784512833453</x:v>
      </x:c>
      <x:c r="D62" s="80"/>
      <x:c r="E62" s="82"/>
    </x:row>
    <x:row r="63" ht="23" customHeight="1">
      <x:c r="A63" s="24" t="s">
        <x:v>159</x:v>
      </x:c>
      <x:c r="B63" s="54">
        <x:v>42.7277297315786</x:v>
      </x:c>
      <x:c r="C63" s="69">
        <x:v>-73.681413620707</x:v>
      </x:c>
      <x:c r="D63" s="80"/>
      <x:c r="E63" s="82"/>
    </x:row>
    <x:row r="64" ht="23" customHeight="1">
      <x:c r="A64" s="21" t="s">
        <x:v>121</x:v>
      </x:c>
      <x:c r="B64" s="46">
        <x:v>42.7288955249045</x:v>
      </x:c>
      <x:c r="C64" s="66">
        <x:v>-73.6836128303383</x:v>
      </x:c>
      <x:c r="D64" s="80"/>
      <x:c r="E64" s="82"/>
    </x:row>
    <x:row r="65" ht="23" customHeight="1">
      <x:c r="A65" s="24" t="s">
        <x:v>89</x:v>
      </x:c>
      <x:c r="B65" s="54">
        <x:v>42.7326612612087</x:v>
      </x:c>
      <x:c r="C65" s="69">
        <x:v>-73.6802222033852</x:v>
      </x:c>
      <x:c r="D65" s="80"/>
      <x:c r="E65" s="82"/>
    </x:row>
    <x:row r="66" ht="23" customHeight="1">
      <x:c r="A66" s="21" t="s">
        <x:v>179</x:v>
      </x:c>
      <x:c r="B66" s="46">
        <x:v>42.727225286618</x:v>
      </x:c>
      <x:c r="C66" s="66">
        <x:v>-73.6806606651005</x:v>
      </x:c>
      <x:c r="D66" s="80"/>
      <x:c r="E66" s="82"/>
    </x:row>
    <x:row r="67" ht="23" customHeight="1">
      <x:c r="A67" s="24" t="s">
        <x:v>195</x:v>
      </x:c>
      <x:c r="B67" s="54">
        <x:v>42.7330440756996</x:v>
      </x:c>
      <x:c r="C67" s="69">
        <x:v>-73.6669462049943</x:v>
      </x:c>
      <x:c r="D67" s="80"/>
      <x:c r="E67" s="82"/>
    </x:row>
    <x:row r="68" ht="23" customHeight="1">
      <x:c r="A68" s="21" t="s">
        <x:v>133</x:v>
      </x:c>
      <x:c r="B68" s="46">
        <x:v>42.7331555238384</x:v>
      </x:c>
      <x:c r="C68" s="66">
        <x:v>-73.6689110910544</x:v>
      </x:c>
      <x:c r="D68" s="80"/>
      <x:c r="E68" s="82"/>
    </x:row>
    <x:row r="69" ht="23" customHeight="1">
      <x:c r="A69" s="24" t="s">
        <x:v>187</x:v>
      </x:c>
      <x:c r="B69" s="54">
        <x:v>42.7332453932335</x:v>
      </x:c>
      <x:c r="C69" s="69">
        <x:v>-73.67243780241181</x:v>
      </x:c>
      <x:c r="D69" s="80"/>
      <x:c r="E69" s="82"/>
    </x:row>
    <x:row r="70" ht="23" customHeight="1">
      <x:c r="A70" s="21" t="s">
        <x:v>64</x:v>
      </x:c>
      <x:c r="B70" s="46">
        <x:v>42.7303527304942</x:v>
      </x:c>
      <x:c r="C70" s="66">
        <x:v>-73.6799496283524</x:v>
      </x:c>
      <x:c r="D70" s="80"/>
      <x:c r="E70" s="82"/>
    </x:row>
    <x:row r="71" ht="23" customHeight="1">
      <x:c r="A71" s="24" t="s">
        <x:v>85</x:v>
      </x:c>
      <x:c r="B71" s="54">
        <x:v>42.731351135494</x:v>
      </x:c>
      <x:c r="C71" s="69">
        <x:v>-73.68587001002579</x:v>
      </x:c>
      <x:c r="D71" s="80"/>
      <x:c r="E71" s="82"/>
    </x:row>
    <x:row r="72" ht="23" customHeight="1">
      <x:c r="A72" s="21" t="s">
        <x:v>207</x:v>
      </x:c>
      <x:c r="B72" s="46">
        <x:v>42.7309208693319</x:v>
      </x:c>
      <x:c r="C72" s="66">
        <x:v>-73.68431180246741</x:v>
      </x:c>
      <x:c r="D72" s="80"/>
      <x:c r="E72" s="82"/>
    </x:row>
    <x:row r="73" ht="15" customHeight="1">
      <x:c r="A73" s="60"/>
      <x:c r="B73" s="61"/>
      <x:c r="C73" s="61"/>
      <x:c r="D73" s="39"/>
      <x:c r="E73" s="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8" style="85" customWidth="1"/>
    <x:col min="2" max="3" width="23" style="85" customWidth="1"/>
    <x:col min="4" max="4" width="8.85155963897705" style="85" customWidth="1"/>
    <x:col min="5" max="5" width="87" style="85" customWidth="1"/>
    <x:col min="6" max="16384" width="8.85155963897705" style="85" customWidth="1"/>
  </x:cols>
  <x:sheetData>
    <x:row r="1" ht="36" customHeight="1">
      <x:c r="A1" s="17" t="s">
        <x:v>1281</x:v>
      </x:c>
      <x:c r="B1" s="18" t="s">
        <x:v>1282</x:v>
      </x:c>
      <x:c r="C1" s="19" t="s">
        <x:v>1283</x:v>
      </x:c>
      <x:c r="D1" s="78"/>
      <x:c r="E1" s="79" t="s">
        <x:v>1284</x:v>
      </x:c>
    </x:row>
    <x:row r="2" ht="23" customHeight="1">
      <x:c r="A2" s="21" t="s">
        <x:v>1294</x:v>
      </x:c>
      <x:c r="B2" s="46">
        <x:v>42.73092087</x:v>
      </x:c>
      <x:c r="C2" s="66">
        <x:v>-73.6843118</x:v>
      </x:c>
      <x:c r="D2" s="80"/>
      <x:c r="E2" s="81" t="s">
        <x:v>1295</x:v>
      </x:c>
    </x:row>
    <x:row r="3" ht="23" customHeight="1">
      <x:c r="A3" s="24" t="s">
        <x:v>208</x:v>
      </x:c>
      <x:c r="B3" s="54">
        <x:v>42.732426129427</x:v>
      </x:c>
      <x:c r="C3" s="69">
        <x:v>-73.6716057078776</x:v>
      </x:c>
      <x:c r="D3" s="80"/>
      <x:c r="E3" s="82"/>
    </x:row>
    <x:row r="4" ht="23" customHeight="1">
      <x:c r="A4" s="21" t="s">
        <x:v>211</x:v>
      </x:c>
      <x:c r="B4" s="46">
        <x:v>42.7330583616459</x:v>
      </x:c>
      <x:c r="C4" s="66">
        <x:v>-73.6765397817569</x:v>
      </x:c>
      <x:c r="D4" s="80"/>
      <x:c r="E4" s="81" t="s">
        <x:v>1286</x:v>
      </x:c>
    </x:row>
    <x:row r="5" ht="23" customHeight="1">
      <x:c r="A5" s="24" t="s">
        <x:v>212</x:v>
      </x:c>
      <x:c r="B5" s="54">
        <x:v>42.7307708305265</x:v>
      </x:c>
      <x:c r="C5" s="69">
        <x:v>-73.6772241855531</x:v>
      </x:c>
      <x:c r="D5" s="80"/>
      <x:c r="E5" s="82"/>
    </x:row>
    <x:row r="6" ht="23" customHeight="1">
      <x:c r="A6" s="21" t="s">
        <x:v>213</x:v>
      </x:c>
      <x:c r="B6" s="46">
        <x:v>42.7306443840828</x:v>
      </x:c>
      <x:c r="C6" s="66">
        <x:v>-73.6762214544098</x:v>
      </x:c>
      <x:c r="D6" s="80"/>
      <x:c r="E6" s="83" t="s">
        <x:v>1287</x:v>
      </x:c>
    </x:row>
    <x:row r="7" ht="23" customHeight="1">
      <x:c r="A7" s="24" t="s">
        <x:v>214</x:v>
      </x:c>
      <x:c r="B7" s="54">
        <x:v>42.7309432574953</x:v>
      </x:c>
      <x:c r="C7" s="69">
        <x:v>-73.67564846518511</x:v>
      </x:c>
      <x:c r="D7" s="80"/>
      <x:c r="E7" s="81" t="s">
        <x:v>1296</x:v>
      </x:c>
    </x:row>
    <x:row r="8" ht="23" customHeight="1">
      <x:c r="A8" s="21" t="s">
        <x:v>215</x:v>
      </x:c>
      <x:c r="B8" s="46">
        <x:v>42.7319088485206</x:v>
      </x:c>
      <x:c r="C8" s="66">
        <x:v>-73.6746298176746</x:v>
      </x:c>
      <x:c r="D8" s="80"/>
      <x:c r="E8" s="82"/>
    </x:row>
    <x:row r="9" ht="23" customHeight="1">
      <x:c r="A9" s="24" t="s">
        <x:v>216</x:v>
      </x:c>
      <x:c r="B9" s="54">
        <x:v>42.7327135077083</x:v>
      </x:c>
      <x:c r="C9" s="69">
        <x:v>-73.6743114903275</x:v>
      </x:c>
      <x:c r="D9" s="80"/>
      <x:c r="E9" s="83" t="s">
        <x:v>1289</x:v>
      </x:c>
    </x:row>
    <x:row r="10" ht="48" customHeight="1">
      <x:c r="A10" s="21" t="s">
        <x:v>217</x:v>
      </x:c>
      <x:c r="B10" s="46">
        <x:v>42.7309145196672</x:v>
      </x:c>
      <x:c r="C10" s="66">
        <x:v>-73.6737926167518</x:v>
      </x:c>
      <x:c r="D10" s="80"/>
      <x:c r="E10" s="84" t="s">
        <x:v>1297</x:v>
      </x:c>
    </x:row>
    <x:row r="11" ht="23" customHeight="1">
      <x:c r="A11" s="24" t="s">
        <x:v>218</x:v>
      </x:c>
      <x:c r="B11" s="54">
        <x:v>42.7313455870892</x:v>
      </x:c>
      <x:c r="C11" s="69">
        <x:v>-73.67429557396019</x:v>
      </x:c>
      <x:c r="D11" s="80"/>
      <x:c r="E11" s="82"/>
    </x:row>
    <x:row r="12" ht="23" customHeight="1">
      <x:c r="A12" s="21" t="s">
        <x:v>219</x:v>
      </x:c>
      <x:c r="B12" s="46">
        <x:v>42.7312651211704</x:v>
      </x:c>
      <x:c r="C12" s="66">
        <x:v>-73.6719081188573</x:v>
      </x:c>
      <x:c r="D12" s="80"/>
      <x:c r="E12" s="81" t="s">
        <x:v>1291</x:v>
      </x:c>
    </x:row>
    <x:row r="13" ht="23" customHeight="1">
      <x:c r="A13" s="24" t="s">
        <x:v>220</x:v>
      </x:c>
      <x:c r="B13" s="54">
        <x:v>42.7311271795954</x:v>
      </x:c>
      <x:c r="C13" s="69">
        <x:v>-73.6730381809393</x:v>
      </x:c>
      <x:c r="D13" s="80"/>
      <x:c r="E13" s="82"/>
    </x:row>
    <x:row r="14" ht="23" customHeight="1">
      <x:c r="A14" s="21" t="s">
        <x:v>221</x:v>
      </x:c>
      <x:c r="B14" s="46">
        <x:v>42.7325065953458</x:v>
      </x:c>
      <x:c r="C14" s="66">
        <x:v>-73.6726721044902</x:v>
      </x:c>
      <x:c r="D14" s="80"/>
      <x:c r="E14" s="81" t="s">
        <x:v>1292</x:v>
      </x:c>
    </x:row>
    <x:row r="15" ht="23" customHeight="1">
      <x:c r="A15" s="24" t="s">
        <x:v>222</x:v>
      </x:c>
      <x:c r="B15" s="54">
        <x:v>42.7313685773517</x:v>
      </x:c>
      <x:c r="C15" s="69">
        <x:v>-73.6751073086951</x:v>
      </x:c>
      <x:c r="D15" s="80"/>
      <x:c r="E15" s="82"/>
    </x:row>
    <x:row r="16" ht="23" customHeight="1">
      <x:c r="A16" s="21" t="s">
        <x:v>223</x:v>
      </x:c>
      <x:c r="B16" s="46">
        <x:v>42.7306053006365</x:v>
      </x:c>
      <x:c r="C16" s="66">
        <x:v>-73.6740520535397</x:v>
      </x:c>
      <x:c r="D16" s="80"/>
      <x:c r="E16" s="81" t="s">
        <x:v>1293</x:v>
      </x:c>
    </x:row>
    <x:row r="17" ht="23" customHeight="1">
      <x:c r="A17" s="24" t="s">
        <x:v>224</x:v>
      </x:c>
      <x:c r="B17" s="54">
        <x:v>42.7304294251283</x:v>
      </x:c>
      <x:c r="C17" s="69">
        <x:v>-73.6745868434827</x:v>
      </x:c>
      <x:c r="D17" s="80"/>
      <x:c r="E17" s="82"/>
    </x:row>
    <x:row r="18" ht="23" customHeight="1">
      <x:c r="A18" s="21" t="s">
        <x:v>225</x:v>
      </x:c>
      <x:c r="B18" s="46">
        <x:v>42.7303340155389</x:v>
      </x:c>
      <x:c r="C18" s="66">
        <x:v>-73.6747030329644</x:v>
      </x:c>
      <x:c r="D18" s="80"/>
      <x:c r="E18" s="82"/>
    </x:row>
    <x:row r="19" ht="23" customHeight="1">
      <x:c r="A19" s="24" t="s">
        <x:v>226</x:v>
      </x:c>
      <x:c r="B19" s="54">
        <x:v>42.7300857207039</x:v>
      </x:c>
      <x:c r="C19" s="69">
        <x:v>-73.6750356850421</x:v>
      </x:c>
      <x:c r="D19" s="80"/>
      <x:c r="E19" s="82"/>
    </x:row>
    <x:row r="20" ht="23" customHeight="1">
      <x:c r="A20" s="21" t="s">
        <x:v>227</x:v>
      </x:c>
      <x:c r="B20" s="46">
        <x:v>42.7303075767371</x:v>
      </x:c>
      <x:c r="C20" s="66">
        <x:v>-73.6758617445077</x:v>
      </x:c>
      <x:c r="D20" s="80"/>
      <x:c r="E20" s="82"/>
    </x:row>
    <x:row r="21" ht="23" customHeight="1">
      <x:c r="A21" s="24" t="s">
        <x:v>228</x:v>
      </x:c>
      <x:c r="B21" s="54">
        <x:v>42.7307133548703</x:v>
      </x:c>
      <x:c r="C21" s="69">
        <x:v>-73.6752664723687</x:v>
      </x:c>
      <x:c r="D21" s="80"/>
      <x:c r="E21" s="82"/>
    </x:row>
    <x:row r="22" ht="23" customHeight="1">
      <x:c r="A22" s="21" t="s">
        <x:v>229</x:v>
      </x:c>
      <x:c r="B22" s="46">
        <x:v>42.7316674507643</x:v>
      </x:c>
      <x:c r="C22" s="66">
        <x:v>-73.67221371311039</x:v>
      </x:c>
      <x:c r="D22" s="80"/>
      <x:c r="E22" s="82"/>
    </x:row>
    <x:row r="23" ht="23" customHeight="1">
      <x:c r="A23" s="24" t="s">
        <x:v>230</x:v>
      </x:c>
      <x:c r="B23" s="54">
        <x:v>42.7316594041724</x:v>
      </x:c>
      <x:c r="C23" s="69">
        <x:v>-73.6717967042858</x:v>
      </x:c>
      <x:c r="D23" s="80"/>
      <x:c r="E23" s="82"/>
    </x:row>
    <x:row r="24" ht="23" customHeight="1">
      <x:c r="A24" s="21" t="s">
        <x:v>231</x:v>
      </x:c>
      <x:c r="B24" s="46">
        <x:v>42.7316904410268</x:v>
      </x:c>
      <x:c r="C24" s="66">
        <x:v>-73.6731336791434</x:v>
      </x:c>
      <x:c r="D24" s="80"/>
      <x:c r="E24" s="82"/>
    </x:row>
    <x:row r="25" ht="23" customHeight="1">
      <x:c r="A25" s="24" t="s">
        <x:v>232</x:v>
      </x:c>
      <x:c r="B25" s="54">
        <x:v>42.7316525070937</x:v>
      </x:c>
      <x:c r="C25" s="69">
        <x:v>-73.6729347245515</x:v>
      </x:c>
      <x:c r="D25" s="80"/>
      <x:c r="E25" s="82"/>
    </x:row>
    <x:row r="26" ht="23" customHeight="1">
      <x:c r="A26" s="21" t="s">
        <x:v>233</x:v>
      </x:c>
      <x:c r="B26" s="46">
        <x:v>42.7291212791917</x:v>
      </x:c>
      <x:c r="C26" s="66">
        <x:v>-73.6725208990003</x:v>
      </x:c>
      <x:c r="D26" s="80"/>
      <x:c r="E26" s="82"/>
    </x:row>
    <x:row r="27" ht="23" customHeight="1">
      <x:c r="A27" s="24" t="s">
        <x:v>234</x:v>
      </x:c>
      <x:c r="B27" s="54">
        <x:v>42.7295144126806</x:v>
      </x:c>
      <x:c r="C27" s="69">
        <x:v>-73.67441653835201</x:v>
      </x:c>
      <x:c r="D27" s="80"/>
      <x:c r="E27" s="82"/>
    </x:row>
    <x:row r="28" ht="23" customHeight="1">
      <x:c r="A28" s="21" t="s">
        <x:v>235</x:v>
      </x:c>
      <x:c r="B28" s="46">
        <x:v>42.729362676948</x:v>
      </x:c>
      <x:c r="C28" s="66">
        <x:v>-73.6734360901231</x:v>
      </x:c>
      <x:c r="D28" s="80"/>
      <x:c r="E28" s="82"/>
    </x:row>
    <x:row r="29" ht="23" customHeight="1">
      <x:c r="A29" s="24" t="s">
        <x:v>236</x:v>
      </x:c>
      <x:c r="B29" s="54">
        <x:v>42.7292304829386</x:v>
      </x:c>
      <x:c r="C29" s="69">
        <x:v>-73.6729967983842</x:v>
      </x:c>
      <x:c r="D29" s="80"/>
      <x:c r="E29" s="82"/>
    </x:row>
    <x:row r="30" ht="23" customHeight="1">
      <x:c r="A30" s="21" t="s">
        <x:v>237</x:v>
      </x:c>
      <x:c r="B30" s="46">
        <x:v>42.728793667951</x:v>
      </x:c>
      <x:c r="C30" s="66">
        <x:v>-73.6731177627761</x:v>
      </x:c>
      <x:c r="D30" s="80"/>
      <x:c r="E30" s="82"/>
    </x:row>
    <x:row r="31" ht="23" customHeight="1">
      <x:c r="A31" s="24" t="s">
        <x:v>238</x:v>
      </x:c>
      <x:c r="B31" s="54">
        <x:v>42.7286327361135</x:v>
      </x:c>
      <x:c r="C31" s="69">
        <x:v>-73.6741841593887</x:v>
      </x:c>
      <x:c r="D31" s="80"/>
      <x:c r="E31" s="82"/>
    </x:row>
    <x:row r="32" ht="23" customHeight="1">
      <x:c r="A32" s="21" t="s">
        <x:v>239</x:v>
      </x:c>
      <x:c r="B32" s="46">
        <x:v>42.7284488140134</x:v>
      </x:c>
      <x:c r="C32" s="66">
        <x:v>-73.6733183090047</x:v>
      </x:c>
      <x:c r="D32" s="80"/>
      <x:c r="E32" s="82"/>
    </x:row>
    <x:row r="33" ht="23" customHeight="1">
      <x:c r="A33" s="24" t="s">
        <x:v>240</x:v>
      </x:c>
      <x:c r="B33" s="54">
        <x:v>42.729004028853</x:v>
      </x:c>
      <x:c r="C33" s="69">
        <x:v>-73.6734679228578</x:v>
      </x:c>
      <x:c r="D33" s="80"/>
      <x:c r="E33" s="82"/>
    </x:row>
    <x:row r="34" ht="23" customHeight="1">
      <x:c r="A34" s="21" t="s">
        <x:v>241</x:v>
      </x:c>
      <x:c r="B34" s="46">
        <x:v>42.7288339009104</x:v>
      </x:c>
      <x:c r="C34" s="66">
        <x:v>-73.67378306693141</x:v>
      </x:c>
      <x:c r="D34" s="80"/>
      <x:c r="E34" s="82"/>
    </x:row>
    <x:row r="35" ht="23" customHeight="1">
      <x:c r="A35" s="24" t="s">
        <x:v>242</x:v>
      </x:c>
      <x:c r="B35" s="54">
        <x:v>42.728839648476</x:v>
      </x:c>
      <x:c r="C35" s="69">
        <x:v>-73.6740886611846</x:v>
      </x:c>
      <x:c r="D35" s="80"/>
      <x:c r="E35" s="82"/>
    </x:row>
    <x:row r="36" ht="23" customHeight="1">
      <x:c r="A36" s="21" t="s">
        <x:v>243</x:v>
      </x:c>
      <x:c r="B36" s="46">
        <x:v>42.7289339085523</x:v>
      </x:c>
      <x:c r="C36" s="66">
        <x:v>-73.6744292714459</x:v>
      </x:c>
      <x:c r="D36" s="80"/>
      <x:c r="E36" s="82"/>
    </x:row>
    <x:row r="37" ht="23" customHeight="1">
      <x:c r="A37" s="24" t="s">
        <x:v>244</x:v>
      </x:c>
      <x:c r="B37" s="54">
        <x:v>42.7292649683324</x:v>
      </x:c>
      <x:c r="C37" s="69">
        <x:v>-73.6746298176746</x:v>
      </x:c>
      <x:c r="D37" s="80"/>
      <x:c r="E37" s="82"/>
    </x:row>
    <x:row r="38" ht="23" customHeight="1">
      <x:c r="A38" s="21" t="s">
        <x:v>245</x:v>
      </x:c>
      <x:c r="B38" s="46">
        <x:v>42.7285177848009</x:v>
      </x:c>
      <x:c r="C38" s="66">
        <x:v>-73.6745438692909</x:v>
      </x:c>
      <x:c r="D38" s="80"/>
      <x:c r="E38" s="82"/>
    </x:row>
    <x:row r="39" ht="23" customHeight="1">
      <x:c r="A39" s="24" t="s">
        <x:v>246</x:v>
      </x:c>
      <x:c r="B39" s="54">
        <x:v>42.7283143209778</x:v>
      </x:c>
      <x:c r="C39" s="69">
        <x:v>-73.6747157660583</x:v>
      </x:c>
      <x:c r="D39" s="80"/>
      <x:c r="E39" s="82"/>
    </x:row>
    <x:row r="40" ht="23" customHeight="1">
      <x:c r="A40" s="21" t="s">
        <x:v>247</x:v>
      </x:c>
      <x:c r="B40" s="46">
        <x:v>42.7281039600758</x:v>
      </x:c>
      <x:c r="C40" s="66">
        <x:v>-73.6737225847355</x:v>
      </x:c>
      <x:c r="D40" s="80"/>
      <x:c r="E40" s="82"/>
    </x:row>
    <x:row r="41" ht="23" customHeight="1">
      <x:c r="A41" s="24" t="s">
        <x:v>248</x:v>
      </x:c>
      <x:c r="B41" s="54">
        <x:v>42.7284488140134</x:v>
      </x:c>
      <x:c r="C41" s="69">
        <x:v>-73.67389766477631</x:v>
      </x:c>
      <x:c r="D41" s="80"/>
      <x:c r="E41" s="82"/>
    </x:row>
    <x:row r="42" ht="23" customHeight="1">
      <x:c r="A42" s="21" t="s">
        <x:v>249</x:v>
      </x:c>
      <x:c r="B42" s="46">
        <x:v>42.7280005038946</x:v>
      </x:c>
      <x:c r="C42" s="66">
        <x:v>-73.6728790172658</x:v>
      </x:c>
      <x:c r="D42" s="80"/>
      <x:c r="E42" s="82"/>
    </x:row>
    <x:row r="43" ht="23" customHeight="1">
      <x:c r="A43" s="24" t="s">
        <x:v>250</x:v>
      </x:c>
      <x:c r="B43" s="54">
        <x:v>42.7288511436073</x:v>
      </x:c>
      <x:c r="C43" s="69">
        <x:v>-73.6749958941237</x:v>
      </x:c>
      <x:c r="D43" s="80"/>
      <x:c r="E43" s="82"/>
    </x:row>
    <x:row r="44" ht="23" customHeight="1">
      <x:c r="A44" s="21" t="s">
        <x:v>251</x:v>
      </x:c>
      <x:c r="B44" s="46">
        <x:v>42.7290005803136</x:v>
      </x:c>
      <x:c r="C44" s="66">
        <x:v>-73.6753221796544</x:v>
      </x:c>
      <x:c r="D44" s="80"/>
      <x:c r="E44" s="82"/>
    </x:row>
    <x:row r="45" ht="23" customHeight="1">
      <x:c r="A45" s="24" t="s">
        <x:v>252</x:v>
      </x:c>
      <x:c r="B45" s="54">
        <x:v>42.7292488751486</x:v>
      </x:c>
      <x:c r="C45" s="69">
        <x:v>-73.6757344135688</x:v>
      </x:c>
      <x:c r="D45" s="80"/>
      <x:c r="E45" s="82"/>
    </x:row>
    <x:row r="46" ht="23" customHeight="1">
      <x:c r="A46" s="21" t="s">
        <x:v>253</x:v>
      </x:c>
      <x:c r="B46" s="46">
        <x:v>42.728766079636</x:v>
      </x:c>
      <x:c r="C46" s="66">
        <x:v>-73.6754861182381</x:v>
      </x:c>
      <x:c r="D46" s="80"/>
      <x:c r="E46" s="82"/>
    </x:row>
    <x:row r="47" ht="23" customHeight="1">
      <x:c r="A47" s="24" t="s">
        <x:v>254</x:v>
      </x:c>
      <x:c r="B47" s="54">
        <x:v>42.7284143286197</x:v>
      </x:c>
      <x:c r="C47" s="69">
        <x:v>-73.6755370506137</x:v>
      </x:c>
      <x:c r="D47" s="80"/>
      <x:c r="E47" s="82"/>
    </x:row>
    <x:row r="48" ht="23" customHeight="1">
      <x:c r="A48" s="21" t="s">
        <x:v>255</x:v>
      </x:c>
      <x:c r="B48" s="46">
        <x:v>42.7279165894364</x:v>
      </x:c>
      <x:c r="C48" s="66">
        <x:v>-73.6747030329644</x:v>
      </x:c>
      <x:c r="D48" s="80"/>
      <x:c r="E48" s="82"/>
    </x:row>
    <x:row r="49" ht="23" customHeight="1">
      <x:c r="A49" s="24" t="s">
        <x:v>256</x:v>
      </x:c>
      <x:c r="B49" s="54">
        <x:v>42.7278361235176</x:v>
      </x:c>
      <x:c r="C49" s="69">
        <x:v>-73.67399316298049</x:v>
      </x:c>
      <x:c r="D49" s="80"/>
      <x:c r="E49" s="82"/>
    </x:row>
    <x:row r="50" ht="23" customHeight="1">
      <x:c r="A50" s="21" t="s">
        <x:v>257</x:v>
      </x:c>
      <x:c r="B50" s="46">
        <x:v>42.7274257473319</x:v>
      </x:c>
      <x:c r="C50" s="66">
        <x:v>-73.6741968924826</x:v>
      </x:c>
      <x:c r="D50" s="80"/>
      <x:c r="E50" s="82"/>
    </x:row>
    <x:row r="51" ht="23" customHeight="1">
      <x:c r="A51" s="24" t="s">
        <x:v>258</x:v>
      </x:c>
      <x:c r="B51" s="54">
        <x:v>42.7274441395419</x:v>
      </x:c>
      <x:c r="C51" s="69">
        <x:v>-73.6747014413277</x:v>
      </x:c>
      <x:c r="D51" s="80"/>
      <x:c r="E51" s="82"/>
    </x:row>
    <x:row r="52" ht="23" customHeight="1">
      <x:c r="A52" s="21" t="s">
        <x:v>259</x:v>
      </x:c>
      <x:c r="B52" s="46">
        <x:v>42.7271889476281</x:v>
      </x:c>
      <x:c r="C52" s="66">
        <x:v>-73.67474123224601</x:v>
      </x:c>
      <x:c r="D52" s="80"/>
      <x:c r="E52" s="82"/>
    </x:row>
    <x:row r="53" ht="23" customHeight="1">
      <x:c r="A53" s="24" t="s">
        <x:v>260</x:v>
      </x:c>
      <x:c r="B53" s="54">
        <x:v>42.7271429671031</x:v>
      </x:c>
      <x:c r="C53" s="69">
        <x:v>-73.6742860241398</x:v>
      </x:c>
      <x:c r="D53" s="80"/>
      <x:c r="E53" s="82"/>
    </x:row>
    <x:row r="54" ht="23" customHeight="1">
      <x:c r="A54" s="21" t="s">
        <x:v>261</x:v>
      </x:c>
      <x:c r="B54" s="46">
        <x:v>42.7280441853933</x:v>
      </x:c>
      <x:c r="C54" s="66">
        <x:v>-73.6739294975111</x:v>
      </x:c>
      <x:c r="D54" s="80"/>
      <x:c r="E54" s="82"/>
    </x:row>
    <x:row r="55" ht="23" customHeight="1">
      <x:c r="A55" s="24" t="s">
        <x:v>262</x:v>
      </x:c>
      <x:c r="B55" s="54">
        <x:v>42.729793744370</x:v>
      </x:c>
      <x:c r="C55" s="69">
        <x:v>-73.6757662463036</x:v>
      </x:c>
      <x:c r="D55" s="80"/>
      <x:c r="E55" s="82"/>
    </x:row>
    <x:row r="56" ht="23" customHeight="1">
      <x:c r="A56" s="21" t="s">
        <x:v>263</x:v>
      </x:c>
      <x:c r="B56" s="46">
        <x:v>42.7300581323889</x:v>
      </x:c>
      <x:c r="C56" s="66">
        <x:v>-73.6774263234184</x:v>
      </x:c>
      <x:c r="D56" s="80"/>
      <x:c r="E56" s="82"/>
    </x:row>
    <x:row r="57" ht="23" customHeight="1">
      <x:c r="A57" s="24" t="s">
        <x:v>264</x:v>
      </x:c>
      <x:c r="B57" s="54">
        <x:v>42.7295109641412</x:v>
      </x:c>
      <x:c r="C57" s="69">
        <x:v>-73.6764983992018</x:v>
      </x:c>
      <x:c r="D57" s="80"/>
      <x:c r="E57" s="82"/>
    </x:row>
    <x:row r="58" ht="23" customHeight="1">
      <x:c r="A58" s="21" t="s">
        <x:v>265</x:v>
      </x:c>
      <x:c r="B58" s="46">
        <x:v>42.7302822874483</x:v>
      </x:c>
      <x:c r="C58" s="66">
        <x:v>-73.6780884443003</x:v>
      </x:c>
      <x:c r="D58" s="80"/>
      <x:c r="E58" s="82"/>
    </x:row>
    <x:row r="59" ht="23" customHeight="1">
      <x:c r="A59" s="24" t="s">
        <x:v>266</x:v>
      </x:c>
      <x:c r="B59" s="54">
        <x:v>42.730517937639</x:v>
      </x:c>
      <x:c r="C59" s="69">
        <x:v>-73.678035920288</x:v>
      </x:c>
      <x:c r="D59" s="80"/>
      <x:c r="E59" s="82"/>
    </x:row>
    <x:row r="60" ht="23" customHeight="1">
      <x:c r="A60" s="21" t="s">
        <x:v>267</x:v>
      </x:c>
      <x:c r="B60" s="46">
        <x:v>42.7300121518638</x:v>
      </x:c>
      <x:c r="C60" s="66">
        <x:v>-73.6785134113086</x:v>
      </x:c>
      <x:c r="D60" s="80"/>
      <x:c r="E60" s="82"/>
    </x:row>
    <x:row r="61" ht="23" customHeight="1">
      <x:c r="A61" s="24" t="s">
        <x:v>268</x:v>
      </x:c>
      <x:c r="B61" s="54">
        <x:v>42.7295753368762</x:v>
      </x:c>
      <x:c r="C61" s="69">
        <x:v>-73.6785929931454</x:v>
      </x:c>
      <x:c r="D61" s="80"/>
      <x:c r="E61" s="82"/>
    </x:row>
    <x:row r="62" ht="23" customHeight="1">
      <x:c r="A62" s="21" t="s">
        <x:v>269</x:v>
      </x:c>
      <x:c r="B62" s="46">
        <x:v>42.7293799196449</x:v>
      </x:c>
      <x:c r="C62" s="66">
        <x:v>-73.6779722548186</x:v>
      </x:c>
      <x:c r="D62" s="80"/>
      <x:c r="E62" s="82"/>
    </x:row>
    <x:row r="63" ht="23" customHeight="1">
      <x:c r="A63" s="24" t="s">
        <x:v>270</x:v>
      </x:c>
      <x:c r="B63" s="54">
        <x:v>42.7292948556737</x:v>
      </x:c>
      <x:c r="C63" s="69">
        <x:v>-73.67737857431641</x:v>
      </x:c>
      <x:c r="D63" s="80"/>
      <x:c r="E63" s="82"/>
    </x:row>
    <x:row r="64" ht="23" customHeight="1">
      <x:c r="A64" s="21" t="s">
        <x:v>271</x:v>
      </x:c>
      <x:c r="B64" s="46">
        <x:v>42.7298052395013</x:v>
      </x:c>
      <x:c r="C64" s="66">
        <x:v>-73.6779515635411</x:v>
      </x:c>
      <x:c r="D64" s="80"/>
      <x:c r="E64" s="82"/>
    </x:row>
    <x:row r="65" ht="23" customHeight="1">
      <x:c r="A65" s="24" t="s">
        <x:v>272</x:v>
      </x:c>
      <x:c r="B65" s="54">
        <x:v>42.729609822270</x:v>
      </x:c>
      <x:c r="C65" s="69">
        <x:v>-73.67924556420679</x:v>
      </x:c>
      <x:c r="D65" s="80"/>
      <x:c r="E65" s="82"/>
    </x:row>
    <x:row r="66" ht="23" customHeight="1">
      <x:c r="A66" s="21" t="s">
        <x:v>273</x:v>
      </x:c>
      <x:c r="B66" s="46">
        <x:v>42.7310582088079</x:v>
      </x:c>
      <x:c r="C66" s="66">
        <x:v>-73.6792773969415</x:v>
      </x:c>
      <x:c r="D66" s="80"/>
      <x:c r="E66" s="82"/>
    </x:row>
    <x:row r="67" ht="23" customHeight="1">
      <x:c r="A67" s="24" t="s">
        <x:v>274</x:v>
      </x:c>
      <x:c r="B67" s="54">
        <x:v>42.7306673743453</x:v>
      </x:c>
      <x:c r="C67" s="69">
        <x:v>-73.67938085332931</x:v>
      </x:c>
      <x:c r="D67" s="80"/>
      <x:c r="E67" s="82"/>
    </x:row>
    <x:row r="68" ht="23" customHeight="1">
      <x:c r="A68" s="21" t="s">
        <x:v>275</x:v>
      </x:c>
      <x:c r="B68" s="46">
        <x:v>42.7302569981595</x:v>
      </x:c>
      <x:c r="C68" s="66">
        <x:v>-73.679016368517</x:v>
      </x:c>
      <x:c r="D68" s="80"/>
      <x:c r="E68" s="82"/>
    </x:row>
    <x:row r="69" ht="23" customHeight="1">
      <x:c r="A69" s="24" t="s">
        <x:v>276</x:v>
      </x:c>
      <x:c r="B69" s="54">
        <x:v>42.7298972005513</x:v>
      </x:c>
      <x:c r="C69" s="69">
        <x:v>-73.6793490205946</x:v>
      </x:c>
      <x:c r="D69" s="80"/>
      <x:c r="E69" s="82"/>
    </x:row>
    <x:row r="70" ht="23" customHeight="1">
      <x:c r="A70" s="21" t="s">
        <x:v>277</x:v>
      </x:c>
      <x:c r="B70" s="46">
        <x:v>42.7299891616013</x:v>
      </x:c>
      <x:c r="C70" s="66">
        <x:v>-73.6806080052522</x:v>
      </x:c>
      <x:c r="D70" s="80"/>
      <x:c r="E70" s="82"/>
    </x:row>
    <x:row r="71" ht="23" customHeight="1">
      <x:c r="A71" s="24" t="s">
        <x:v>278</x:v>
      </x:c>
      <x:c r="B71" s="54">
        <x:v>42.7303650523933</x:v>
      </x:c>
      <x:c r="C71" s="69">
        <x:v>-73.6808690336768</x:v>
      </x:c>
      <x:c r="D71" s="80"/>
      <x:c r="E71" s="82"/>
    </x:row>
    <x:row r="72" ht="23" customHeight="1">
      <x:c r="A72" s="21" t="s">
        <x:v>279</x:v>
      </x:c>
      <x:c r="B72" s="46">
        <x:v>42.7307524383165</x:v>
      </x:c>
      <x:c r="C72" s="66">
        <x:v>-73.6803278771868</x:v>
      </x:c>
      <x:c r="D72" s="80"/>
      <x:c r="E72" s="82"/>
    </x:row>
    <x:row r="73" ht="23" customHeight="1">
      <x:c r="A73" s="24" t="s">
        <x:v>280</x:v>
      </x:c>
      <x:c r="B73" s="54">
        <x:v>42.7308168110516</x:v>
      </x:c>
      <x:c r="C73" s="69">
        <x:v>-73.68091678277889</x:v>
      </x:c>
      <x:c r="D73" s="80"/>
      <x:c r="E73" s="82"/>
    </x:row>
    <x:row r="74" ht="23" customHeight="1">
      <x:c r="A74" s="21" t="s">
        <x:v>281</x:v>
      </x:c>
      <x:c r="B74" s="46">
        <x:v>42.7306880655815</x:v>
      </x:c>
      <x:c r="C74" s="66">
        <x:v>-73.6798249199785</x:v>
      </x:c>
      <x:c r="D74" s="80"/>
      <x:c r="E74" s="82"/>
    </x:row>
    <x:row r="75" ht="23" customHeight="1">
      <x:c r="A75" s="24" t="s">
        <x:v>282</x:v>
      </x:c>
      <x:c r="B75" s="54">
        <x:v>42.7296443076638</x:v>
      </x:c>
      <x:c r="C75" s="69">
        <x:v>-73.679659389758</x:v>
      </x:c>
      <x:c r="D75" s="80"/>
      <x:c r="E75" s="82"/>
    </x:row>
    <x:row r="76" ht="23" customHeight="1">
      <x:c r="A76" s="21" t="s">
        <x:v>283</x:v>
      </x:c>
      <x:c r="B76" s="46">
        <x:v>42.7299167422744</x:v>
      </x:c>
      <x:c r="C76" s="66">
        <x:v>-73.6796959974029</x:v>
      </x:c>
      <x:c r="D76" s="80"/>
      <x:c r="E76" s="82"/>
    </x:row>
    <x:row r="77" ht="23" customHeight="1">
      <x:c r="A77" s="24" t="s">
        <x:v>284</x:v>
      </x:c>
      <x:c r="B77" s="54">
        <x:v>42.7296845406231</x:v>
      </x:c>
      <x:c r="C77" s="69">
        <x:v>-73.6801575720561</x:v>
      </x:c>
      <x:c r="D77" s="80"/>
      <x:c r="E77" s="82"/>
    </x:row>
    <x:row r="78" ht="23" customHeight="1">
      <x:c r="A78" s="21" t="s">
        <x:v>285</x:v>
      </x:c>
      <x:c r="B78" s="46">
        <x:v>42.7297902958307</x:v>
      </x:c>
      <x:c r="C78" s="66">
        <x:v>-73.68095975697069</x:v>
      </x:c>
      <x:c r="D78" s="80"/>
      <x:c r="E78" s="82"/>
    </x:row>
    <x:row r="79" ht="23" customHeight="1">
      <x:c r="A79" s="24" t="s">
        <x:v>286</x:v>
      </x:c>
      <x:c r="B79" s="54">
        <x:v>42.7304604619827</x:v>
      </x:c>
      <x:c r="C79" s="69">
        <x:v>-73.6789542946843</x:v>
      </x:c>
      <x:c r="D79" s="80"/>
      <x:c r="E79" s="82"/>
    </x:row>
    <x:row r="80" ht="23" customHeight="1">
      <x:c r="A80" s="21" t="s">
        <x:v>287</x:v>
      </x:c>
      <x:c r="B80" s="46">
        <x:v>42.7304294251283</x:v>
      </x:c>
      <x:c r="C80" s="66">
        <x:v>-73.6785516105903</x:v>
      </x:c>
      <x:c r="D80" s="80"/>
      <x:c r="E80" s="82"/>
    </x:row>
    <x:row r="81" ht="23" customHeight="1">
      <x:c r="A81" s="24" t="s">
        <x:v>288</x:v>
      </x:c>
      <x:c r="B81" s="54">
        <x:v>42.7309283138247</x:v>
      </x:c>
      <x:c r="C81" s="69">
        <x:v>-73.678414729831</x:v>
      </x:c>
      <x:c r="D81" s="80"/>
      <x:c r="E81" s="82"/>
    </x:row>
    <x:row r="82" ht="23" customHeight="1">
      <x:c r="A82" s="21" t="s">
        <x:v>289</x:v>
      </x:c>
      <x:c r="B82" s="46">
        <x:v>42.730609898689</x:v>
      </x:c>
      <x:c r="C82" s="66">
        <x:v>-73.6811666697463</x:v>
      </x:c>
      <x:c r="D82" s="80"/>
      <x:c r="E82" s="82"/>
    </x:row>
    <x:row r="83" ht="23" customHeight="1">
      <x:c r="A83" s="24" t="s">
        <x:v>290</x:v>
      </x:c>
      <x:c r="B83" s="54">
        <x:v>42.7300064042982</x:v>
      </x:c>
      <x:c r="C83" s="69">
        <x:v>-73.68090086641151</x:v>
      </x:c>
      <x:c r="D83" s="80"/>
      <x:c r="E83" s="82"/>
    </x:row>
    <x:row r="84" ht="23" customHeight="1">
      <x:c r="A84" s="21" t="s">
        <x:v>291</x:v>
      </x:c>
      <x:c r="B84" s="46">
        <x:v>42.729839724895</x:v>
      </x:c>
      <x:c r="C84" s="66">
        <x:v>-73.6816330193097</x:v>
      </x:c>
      <x:c r="D84" s="80"/>
      <x:c r="E84" s="82"/>
    </x:row>
    <x:row r="85" ht="23" customHeight="1">
      <x:c r="A85" s="24" t="s">
        <x:v>292</x:v>
      </x:c>
      <x:c r="B85" s="54">
        <x:v>42.7297247735825</x:v>
      </x:c>
      <x:c r="C85" s="69">
        <x:v>-73.68160118657499</x:v>
      </x:c>
      <x:c r="D85" s="80"/>
      <x:c r="E85" s="82"/>
    </x:row>
    <x:row r="86" ht="23" customHeight="1">
      <x:c r="A86" s="21" t="s">
        <x:v>293</x:v>
      </x:c>
      <x:c r="B86" s="46">
        <x:v>42.7297247735825</x:v>
      </x:c>
      <x:c r="C86" s="66">
        <x:v>-73.6817921829833</x:v>
      </x:c>
      <x:c r="D86" s="80"/>
      <x:c r="E86" s="82"/>
    </x:row>
    <x:row r="87" ht="23" customHeight="1">
      <x:c r="A87" s="24" t="s">
        <x:v>294</x:v>
      </x:c>
      <x:c r="B87" s="54">
        <x:v>42.729839724895</x:v>
      </x:c>
      <x:c r="C87" s="69">
        <x:v>-73.6817921829833</x:v>
      </x:c>
      <x:c r="D87" s="80"/>
      <x:c r="E87" s="82"/>
    </x:row>
    <x:row r="88" ht="23" customHeight="1">
      <x:c r="A88" s="21" t="s">
        <x:v>295</x:v>
      </x:c>
      <x:c r="B88" s="46">
        <x:v>42.7300121518638</x:v>
      </x:c>
      <x:c r="C88" s="66">
        <x:v>-73.6816966847791</x:v>
      </x:c>
      <x:c r="D88" s="80"/>
      <x:c r="E88" s="82"/>
    </x:row>
    <x:row r="89" ht="23" customHeight="1">
      <x:c r="A89" s="24" t="s">
        <x:v>296</x:v>
      </x:c>
      <x:c r="B89" s="54">
        <x:v>42.7301776817539</x:v>
      </x:c>
      <x:c r="C89" s="69">
        <x:v>-73.6817126011465</x:v>
      </x:c>
      <x:c r="D89" s="80"/>
      <x:c r="E89" s="82"/>
    </x:row>
    <x:row r="90" ht="23" customHeight="1">
      <x:c r="A90" s="21" t="s">
        <x:v>297</x:v>
      </x:c>
      <x:c r="B90" s="46">
        <x:v>42.7298822568807</x:v>
      </x:c>
      <x:c r="C90" s="66">
        <x:v>-73.6816998680526</x:v>
      </x:c>
      <x:c r="D90" s="80"/>
      <x:c r="E90" s="82"/>
    </x:row>
    <x:row r="91" ht="23" customHeight="1">
      <x:c r="A91" s="24" t="s">
        <x:v>298</x:v>
      </x:c>
      <x:c r="B91" s="54">
        <x:v>42.7303719494721</x:v>
      </x:c>
      <x:c r="C91" s="69">
        <x:v>-73.68174443388121</x:v>
      </x:c>
      <x:c r="D91" s="80"/>
      <x:c r="E91" s="82"/>
    </x:row>
    <x:row r="92" ht="23" customHeight="1">
      <x:c r="A92" s="21" t="s">
        <x:v>299</x:v>
      </x:c>
      <x:c r="B92" s="46">
        <x:v>42.730425976589</x:v>
      </x:c>
      <x:c r="C92" s="66">
        <x:v>-73.68157253711379</x:v>
      </x:c>
      <x:c r="D92" s="80"/>
      <x:c r="E92" s="82"/>
    </x:row>
    <x:row r="93" ht="23" customHeight="1">
      <x:c r="A93" s="24" t="s">
        <x:v>300</x:v>
      </x:c>
      <x:c r="B93" s="54">
        <x:v>42.7303236699208</x:v>
      </x:c>
      <x:c r="C93" s="69">
        <x:v>-73.6814738556362</x:v>
      </x:c>
      <x:c r="D93" s="80"/>
      <x:c r="E93" s="82"/>
    </x:row>
    <x:row r="94" ht="23" customHeight="1">
      <x:c r="A94" s="21" t="s">
        <x:v>301</x:v>
      </x:c>
      <x:c r="B94" s="46">
        <x:v>42.7301466448995</x:v>
      </x:c>
      <x:c r="C94" s="66">
        <x:v>-73.6812303352157</x:v>
      </x:c>
      <x:c r="D94" s="80"/>
      <x:c r="E94" s="82"/>
    </x:row>
    <x:row r="95" ht="23" customHeight="1">
      <x:c r="A95" s="24" t="s">
        <x:v>302</x:v>
      </x:c>
      <x:c r="B95" s="54">
        <x:v>42.7303730989852</x:v>
      </x:c>
      <x:c r="C95" s="69">
        <x:v>-73.68118258611359</x:v>
      </x:c>
      <x:c r="D95" s="80"/>
      <x:c r="E95" s="82"/>
    </x:row>
    <x:row r="96" ht="23" customHeight="1">
      <x:c r="A96" s="21" t="s">
        <x:v>303</x:v>
      </x:c>
      <x:c r="B96" s="46">
        <x:v>42.7306432345696</x:v>
      </x:c>
      <x:c r="C96" s="66">
        <x:v>-73.6817683084322</x:v>
      </x:c>
      <x:c r="D96" s="80"/>
      <x:c r="E96" s="82"/>
    </x:row>
    <x:row r="97" ht="23" customHeight="1">
      <x:c r="A97" s="24" t="s">
        <x:v>304</x:v>
      </x:c>
      <x:c r="B97" s="54">
        <x:v>42.7304144814577</x:v>
      </x:c>
      <x:c r="C97" s="69">
        <x:v>-73.6821105103303</x:v>
      </x:c>
      <x:c r="D97" s="80"/>
      <x:c r="E97" s="82"/>
    </x:row>
    <x:row r="98" ht="23" customHeight="1">
      <x:c r="A98" s="21" t="s">
        <x:v>305</x:v>
      </x:c>
      <x:c r="B98" s="46">
        <x:v>42.730545525954</x:v>
      </x:c>
      <x:c r="C98" s="66">
        <x:v>-73.6821741757997</x:v>
      </x:c>
      <x:c r="D98" s="80"/>
      <x:c r="E98" s="82"/>
    </x:row>
    <x:row r="99" ht="23" customHeight="1">
      <x:c r="A99" s="24" t="s">
        <x:v>306</x:v>
      </x:c>
      <x:c r="B99" s="54">
        <x:v>42.7304489668515</x:v>
      </x:c>
      <x:c r="C99" s="69">
        <x:v>-73.6826723580979</x:v>
      </x:c>
      <x:c r="D99" s="80"/>
      <x:c r="E99" s="82"/>
    </x:row>
    <x:row r="100" ht="23" customHeight="1">
      <x:c r="A100" s="21" t="s">
        <x:v>307</x:v>
      </x:c>
      <x:c r="B100" s="46">
        <x:v>42.7302374564364</x:v>
      </x:c>
      <x:c r="C100" s="66">
        <x:v>-73.68229195691811</x:v>
      </x:c>
      <x:c r="D100" s="80"/>
      <x:c r="E100" s="82"/>
    </x:row>
    <x:row r="101" ht="23" customHeight="1">
      <x:c r="A101" s="24" t="s">
        <x:v>308</x:v>
      </x:c>
      <x:c r="B101" s="54">
        <x:v>42.730628290899</x:v>
      </x:c>
      <x:c r="C101" s="69">
        <x:v>-73.68072101146041</x:v>
      </x:c>
      <x:c r="D101" s="80"/>
      <x:c r="E101" s="82"/>
    </x:row>
    <x:row r="102" ht="23" customHeight="1">
      <x:c r="A102" s="21" t="s">
        <x:v>309</x:v>
      </x:c>
      <x:c r="B102" s="46">
        <x:v>42.7293799196449</x:v>
      </x:c>
      <x:c r="C102" s="66">
        <x:v>-73.6813942737994</x:v>
      </x:c>
      <x:c r="D102" s="80"/>
      <x:c r="E102" s="82"/>
    </x:row>
    <x:row r="103" ht="23" customHeight="1">
      <x:c r="A103" s="24" t="s">
        <x:v>310</x:v>
      </x:c>
      <x:c r="B103" s="54">
        <x:v>42.7295063660887</x:v>
      </x:c>
      <x:c r="C103" s="69">
        <x:v>-73.681036155534</x:v>
      </x:c>
      <x:c r="D103" s="80"/>
      <x:c r="E103" s="82"/>
    </x:row>
    <x:row r="104" ht="23" customHeight="1">
      <x:c r="A104" s="21" t="s">
        <x:v>311</x:v>
      </x:c>
      <x:c r="B104" s="46">
        <x:v>42.7293799196449</x:v>
      </x:c>
      <x:c r="C104" s="66">
        <x:v>-73.6819513466568</x:v>
      </x:c>
      <x:c r="D104" s="80"/>
      <x:c r="E104" s="82"/>
    </x:row>
    <x:row r="105" ht="23" customHeight="1">
      <x:c r="A105" s="24" t="s">
        <x:v>312</x:v>
      </x:c>
      <x:c r="B105" s="54">
        <x:v>42.728325816109</x:v>
      </x:c>
      <x:c r="C105" s="69">
        <x:v>-73.6807528441951</x:v>
      </x:c>
      <x:c r="D105" s="80"/>
      <x:c r="E105" s="82"/>
    </x:row>
    <x:row r="106" ht="23" customHeight="1">
      <x:c r="A106" s="21" t="s">
        <x:v>313</x:v>
      </x:c>
      <x:c r="B106" s="46">
        <x:v>42.7295201602462</x:v>
      </x:c>
      <x:c r="C106" s="66">
        <x:v>-73.6784465625657</x:v>
      </x:c>
      <x:c r="D106" s="80"/>
      <x:c r="E106" s="82"/>
    </x:row>
    <x:row r="107" ht="23" customHeight="1">
      <x:c r="A107" s="24" t="s">
        <x:v>314</x:v>
      </x:c>
      <x:c r="B107" s="54">
        <x:v>42.7290005803136</x:v>
      </x:c>
      <x:c r="C107" s="69">
        <x:v>-73.6785181862188</x:v>
      </x:c>
      <x:c r="D107" s="80"/>
      <x:c r="E107" s="82"/>
    </x:row>
    <x:row r="108" ht="23" customHeight="1">
      <x:c r="A108" s="21" t="s">
        <x:v>315</x:v>
      </x:c>
      <x:c r="B108" s="46">
        <x:v>42.7294419933537</x:v>
      </x:c>
      <x:c r="C108" s="66">
        <x:v>-73.67823487487991</x:v>
      </x:c>
      <x:c r="D108" s="80"/>
      <x:c r="E108" s="82"/>
    </x:row>
    <x:row r="109" ht="23" customHeight="1">
      <x:c r="A109" s="24" t="s">
        <x:v>316</x:v>
      </x:c>
      <x:c r="B109" s="54">
        <x:v>42.7285177848009</x:v>
      </x:c>
      <x:c r="C109" s="69">
        <x:v>-73.6786502920678</x:v>
      </x:c>
      <x:c r="D109" s="80"/>
      <x:c r="E109" s="82"/>
    </x:row>
    <x:row r="110" ht="23" customHeight="1">
      <x:c r="A110" s="21" t="s">
        <x:v>317</x:v>
      </x:c>
      <x:c r="B110" s="46">
        <x:v>42.7286672215072</x:v>
      </x:c>
      <x:c r="C110" s="66">
        <x:v>-73.6798822189009</x:v>
      </x:c>
      <x:c r="D110" s="80"/>
      <x:c r="E110" s="82"/>
    </x:row>
    <x:row r="111" ht="23" customHeight="1">
      <x:c r="A111" s="24" t="s">
        <x:v>318</x:v>
      </x:c>
      <x:c r="B111" s="54">
        <x:v>42.7290810462323</x:v>
      </x:c>
      <x:c r="C111" s="69">
        <x:v>-73.6812128272116</x:v>
      </x:c>
      <x:c r="D111" s="80"/>
      <x:c r="E111" s="82"/>
    </x:row>
    <x:row r="112" ht="23" customHeight="1">
      <x:c r="A112" s="21" t="s">
        <x:v>319</x:v>
      </x:c>
      <x:c r="B112" s="46">
        <x:v>42.7289764405379</x:v>
      </x:c>
      <x:c r="C112" s="66">
        <x:v>-73.6816966847791</x:v>
      </x:c>
      <x:c r="D112" s="80"/>
      <x:c r="E112" s="82"/>
    </x:row>
    <x:row r="113" ht="23" customHeight="1">
      <x:c r="A113" s="24" t="s">
        <x:v>320</x:v>
      </x:c>
      <x:c r="B113" s="54">
        <x:v>42.7290925413636</x:v>
      </x:c>
      <x:c r="C113" s="69">
        <x:v>-73.6804026841134</x:v>
      </x:c>
      <x:c r="D113" s="80"/>
      <x:c r="E113" s="82"/>
    </x:row>
    <x:row r="114" ht="23" customHeight="1">
      <x:c r="A114" s="21" t="s">
        <x:v>321</x:v>
      </x:c>
      <x:c r="B114" s="46">
        <x:v>42.7291845024136</x:v>
      </x:c>
      <x:c r="C114" s="66">
        <x:v>-73.6798599359866</x:v>
      </x:c>
      <x:c r="D114" s="80"/>
      <x:c r="E114" s="82"/>
    </x:row>
    <x:row r="115" ht="23" customHeight="1">
      <x:c r="A115" s="24" t="s">
        <x:v>322</x:v>
      </x:c>
      <x:c r="B115" s="54">
        <x:v>42.7292051936499</x:v>
      </x:c>
      <x:c r="C115" s="69">
        <x:v>-73.6810472969912</x:v>
      </x:c>
      <x:c r="D115" s="80"/>
      <x:c r="E115" s="82"/>
    </x:row>
    <x:row r="116" ht="23" customHeight="1">
      <x:c r="A116" s="21" t="s">
        <x:v>323</x:v>
      </x:c>
      <x:c r="B116" s="46">
        <x:v>42.728784471846</x:v>
      </x:c>
      <x:c r="C116" s="66">
        <x:v>-73.681330608330</x:v>
      </x:c>
      <x:c r="D116" s="80"/>
      <x:c r="E116" s="82"/>
    </x:row>
    <x:row r="117" ht="23" customHeight="1">
      <x:c r="A117" s="24" t="s">
        <x:v>324</x:v>
      </x:c>
      <x:c r="B117" s="54">
        <x:v>42.7286327361135</x:v>
      </x:c>
      <x:c r="C117" s="69">
        <x:v>-73.6812064606647</x:v>
      </x:c>
      <x:c r="D117" s="80"/>
      <x:c r="E117" s="82"/>
    </x:row>
    <x:row r="118" ht="23" customHeight="1">
      <x:c r="A118" s="21" t="s">
        <x:v>325</x:v>
      </x:c>
      <x:c r="B118" s="46">
        <x:v>42.7283936373834</x:v>
      </x:c>
      <x:c r="C118" s="66">
        <x:v>-73.68121760212181</x:v>
      </x:c>
      <x:c r="D118" s="80"/>
      <x:c r="E118" s="82"/>
    </x:row>
    <x:row r="119" ht="23" customHeight="1">
      <x:c r="A119" s="24" t="s">
        <x:v>326</x:v>
      </x:c>
      <x:c r="B119" s="54">
        <x:v>42.7286419322185</x:v>
      </x:c>
      <x:c r="C119" s="69">
        <x:v>-73.6815741287505</x:v>
      </x:c>
      <x:c r="D119" s="80"/>
      <x:c r="E119" s="82"/>
    </x:row>
    <x:row r="120" ht="23" customHeight="1">
      <x:c r="A120" s="21" t="s">
        <x:v>327</x:v>
      </x:c>
      <x:c r="B120" s="46">
        <x:v>42.7286292875741</x:v>
      </x:c>
      <x:c r="C120" s="66">
        <x:v>-73.6819195139221</x:v>
      </x:c>
      <x:c r="D120" s="80"/>
      <x:c r="E120" s="82"/>
    </x:row>
    <x:row r="121" ht="23" customHeight="1">
      <x:c r="A121" s="24" t="s">
        <x:v>328</x:v>
      </x:c>
      <x:c r="B121" s="54">
        <x:v>42.7285120372353</x:v>
      </x:c>
      <x:c r="C121" s="69">
        <x:v>-73.6819163306486</x:v>
      </x:c>
      <x:c r="D121" s="80"/>
      <x:c r="E121" s="82"/>
    </x:row>
    <x:row r="122" ht="23" customHeight="1">
      <x:c r="A122" s="21" t="s">
        <x:v>329</x:v>
      </x:c>
      <x:c r="B122" s="46">
        <x:v>42.7287499864523</x:v>
      </x:c>
      <x:c r="C122" s="66">
        <x:v>-73.68214870961199</x:v>
      </x:c>
      <x:c r="D122" s="80"/>
      <x:c r="E122" s="82"/>
    </x:row>
    <x:row r="123" ht="23" customHeight="1">
      <x:c r="A123" s="24" t="s">
        <x:v>330</x:v>
      </x:c>
      <x:c r="B123" s="54">
        <x:v>42.7289568988148</x:v>
      </x:c>
      <x:c r="C123" s="69">
        <x:v>-73.68226330745691</x:v>
      </x:c>
      <x:c r="D123" s="80"/>
      <x:c r="E123" s="82"/>
    </x:row>
    <x:row r="124" ht="23" customHeight="1">
      <x:c r="A124" s="21" t="s">
        <x:v>331</x:v>
      </x:c>
      <x:c r="B124" s="46">
        <x:v>42.7287361922948</x:v>
      </x:c>
      <x:c r="C124" s="66">
        <x:v>-73.68269464101211</x:v>
      </x:c>
      <x:c r="D124" s="80"/>
      <x:c r="E124" s="82"/>
    </x:row>
    <x:row r="125" ht="23" customHeight="1">
      <x:c r="A125" s="24" t="s">
        <x:v>332</x:v>
      </x:c>
      <x:c r="B125" s="54">
        <x:v>42.728876432896</x:v>
      </x:c>
      <x:c r="C125" s="69">
        <x:v>-73.682497278057</x:v>
      </x:c>
      <x:c r="D125" s="80"/>
      <x:c r="E125" s="82"/>
    </x:row>
    <x:row r="126" ht="23" customHeight="1">
      <x:c r="A126" s="21" t="s">
        <x:v>333</x:v>
      </x:c>
      <x:c r="B126" s="46">
        <x:v>42.7311386747266</x:v>
      </x:c>
      <x:c r="C126" s="66">
        <x:v>-73.6798663025336</x:v>
      </x:c>
      <x:c r="D126" s="80"/>
      <x:c r="E126" s="82"/>
    </x:row>
    <x:row r="127" ht="23" customHeight="1">
      <x:c r="A127" s="24" t="s">
        <x:v>334</x:v>
      </x:c>
      <x:c r="B127" s="54">
        <x:v>42.7289201143948</x:v>
      </x:c>
      <x:c r="C127" s="69">
        <x:v>-73.6781950839616</x:v>
      </x:c>
      <x:c r="D127" s="80"/>
      <x:c r="E127" s="82"/>
    </x:row>
    <x:row r="128" ht="23" customHeight="1">
      <x:c r="A128" s="21" t="s">
        <x:v>335</x:v>
      </x:c>
      <x:c r="B128" s="46">
        <x:v>42.7289729919986</x:v>
      </x:c>
      <x:c r="C128" s="66">
        <x:v>-73.6776793936593</x:v>
      </x:c>
      <x:c r="D128" s="80"/>
      <x:c r="E128" s="82"/>
    </x:row>
    <x:row r="129" ht="23" customHeight="1">
      <x:c r="A129" s="24" t="s">
        <x:v>336</x:v>
      </x:c>
      <x:c r="B129" s="54">
        <x:v>42.7289385066048</x:v>
      </x:c>
      <x:c r="C129" s="69">
        <x:v>-73.67727830120209</x:v>
      </x:c>
      <x:c r="D129" s="80"/>
      <x:c r="E129" s="82"/>
    </x:row>
    <x:row r="130" ht="23" customHeight="1">
      <x:c r="A130" s="21" t="s">
        <x:v>337</x:v>
      </x:c>
      <x:c r="B130" s="46">
        <x:v>42.7294718806949</x:v>
      </x:c>
      <x:c r="C130" s="66">
        <x:v>-73.67713982880611</x:v>
      </x:c>
      <x:c r="D130" s="80"/>
      <x:c r="E130" s="82"/>
    </x:row>
    <x:row r="131" ht="23" customHeight="1">
      <x:c r="A131" s="24" t="s">
        <x:v>338</x:v>
      </x:c>
      <x:c r="B131" s="54">
        <x:v>42.7297190260169</x:v>
      </x:c>
      <x:c r="C131" s="69">
        <x:v>-73.67711277098159</x:v>
      </x:c>
      <x:c r="D131" s="80"/>
      <x:c r="E131" s="82"/>
    </x:row>
    <x:row r="132" ht="23" customHeight="1">
      <x:c r="A132" s="21" t="s">
        <x:v>339</x:v>
      </x:c>
      <x:c r="B132" s="46">
        <x:v>42.7299604237732</x:v>
      </x:c>
      <x:c r="C132" s="66">
        <x:v>-73.6771286873489</x:v>
      </x:c>
      <x:c r="D132" s="80"/>
      <x:c r="E132" s="82"/>
    </x:row>
    <x:row r="133" ht="23" customHeight="1">
      <x:c r="A133" s="24" t="s">
        <x:v>340</x:v>
      </x:c>
      <x:c r="B133" s="54">
        <x:v>42.7290856442848</x:v>
      </x:c>
      <x:c r="C133" s="69">
        <x:v>-73.6769854400428</x:v>
      </x:c>
      <x:c r="D133" s="80"/>
      <x:c r="E133" s="82"/>
    </x:row>
    <x:row r="134" ht="23" customHeight="1">
      <x:c r="A134" s="21" t="s">
        <x:v>341</x:v>
      </x:c>
      <x:c r="B134" s="46">
        <x:v>42.7295523466137</x:v>
      </x:c>
      <x:c r="C134" s="66">
        <x:v>-73.6769376909407</x:v>
      </x:c>
      <x:c r="D134" s="80"/>
      <x:c r="E134" s="82"/>
    </x:row>
    <x:row r="135" ht="23" customHeight="1">
      <x:c r="A135" s="24" t="s">
        <x:v>342</x:v>
      </x:c>
      <x:c r="B135" s="54">
        <x:v>42.7289201143948</x:v>
      </x:c>
      <x:c r="C135" s="69">
        <x:v>-73.6760622907363</x:v>
      </x:c>
      <x:c r="D135" s="80"/>
      <x:c r="E135" s="82"/>
    </x:row>
    <x:row r="136" ht="23" customHeight="1">
      <x:c r="A136" s="21" t="s">
        <x:v>343</x:v>
      </x:c>
      <x:c r="B136" s="46">
        <x:v>42.7286902117697</x:v>
      </x:c>
      <x:c r="C136" s="66">
        <x:v>-73.6760622907363</x:v>
      </x:c>
      <x:c r="D136" s="80"/>
      <x:c r="E136" s="82"/>
    </x:row>
    <x:row r="137" ht="23" customHeight="1">
      <x:c r="A137" s="24" t="s">
        <x:v>344</x:v>
      </x:c>
      <x:c r="B137" s="54">
        <x:v>42.7286603244285</x:v>
      </x:c>
      <x:c r="C137" s="69">
        <x:v>-73.67589516887909</x:v>
      </x:c>
      <x:c r="D137" s="80"/>
      <x:c r="E137" s="82"/>
    </x:row>
    <x:row r="138" ht="23" customHeight="1">
      <x:c r="A138" s="21" t="s">
        <x:v>345</x:v>
      </x:c>
      <x:c r="B138" s="46">
        <x:v>42.7284787013547</x:v>
      </x:c>
      <x:c r="C138" s="66">
        <x:v>-73.6757917124913</x:v>
      </x:c>
      <x:c r="D138" s="80"/>
      <x:c r="E138" s="82"/>
    </x:row>
    <x:row r="139" ht="23" customHeight="1">
      <x:c r="A139" s="24" t="s">
        <x:v>346</x:v>
      </x:c>
      <x:c r="B139" s="54">
        <x:v>42.7282189113884</x:v>
      </x:c>
      <x:c r="C139" s="69">
        <x:v>-73.6779245057166</x:v>
      </x:c>
      <x:c r="D139" s="80"/>
      <x:c r="E139" s="82"/>
    </x:row>
    <x:row r="140" ht="23" customHeight="1">
      <x:c r="A140" s="21" t="s">
        <x:v>347</x:v>
      </x:c>
      <x:c r="B140" s="46">
        <x:v>42.7282591443478</x:v>
      </x:c>
      <x:c r="C140" s="66">
        <x:v>-73.67745019796951</x:v>
      </x:c>
      <x:c r="D140" s="80"/>
      <x:c r="E140" s="82"/>
    </x:row>
    <x:row r="141" ht="23" customHeight="1">
      <x:c r="A141" s="24" t="s">
        <x:v>348</x:v>
      </x:c>
      <x:c r="B141" s="54">
        <x:v>42.7274062056088</x:v>
      </x:c>
      <x:c r="C141" s="69">
        <x:v>-73.6780677530227</x:v>
      </x:c>
      <x:c r="D141" s="80"/>
      <x:c r="E141" s="82"/>
    </x:row>
    <x:row r="142" ht="23" customHeight="1">
      <x:c r="A142" s="21" t="s">
        <x:v>349</x:v>
      </x:c>
      <x:c r="B142" s="46">
        <x:v>42.7284373188822</x:v>
      </x:c>
      <x:c r="C142" s="66">
        <x:v>-73.68023237898269</x:v>
      </x:c>
      <x:c r="D142" s="80"/>
      <x:c r="E142" s="82"/>
    </x:row>
    <x:row r="143" ht="23" customHeight="1">
      <x:c r="A143" s="24" t="s">
        <x:v>350</x:v>
      </x:c>
      <x:c r="B143" s="54">
        <x:v>42.7282419016509</x:v>
      </x:c>
      <x:c r="C143" s="69">
        <x:v>-73.6802801280848</x:v>
      </x:c>
      <x:c r="D143" s="80"/>
      <x:c r="E143" s="82"/>
    </x:row>
    <x:row r="144" ht="23" customHeight="1">
      <x:c r="A144" s="21" t="s">
        <x:v>351</x:v>
      </x:c>
      <x:c r="B144" s="46">
        <x:v>42.7306673743453</x:v>
      </x:c>
      <x:c r="C144" s="66">
        <x:v>-73.6823699471182</x:v>
      </x:c>
      <x:c r="D144" s="80"/>
      <x:c r="E144" s="82"/>
    </x:row>
    <x:row r="145" ht="23" customHeight="1">
      <x:c r="A145" s="24" t="s">
        <x:v>352</x:v>
      </x:c>
      <x:c r="B145" s="54">
        <x:v>42.7306030016103</x:v>
      </x:c>
      <x:c r="C145" s="69">
        <x:v>-73.6826277922693</x:v>
      </x:c>
      <x:c r="D145" s="80"/>
      <x:c r="E145" s="82"/>
    </x:row>
    <x:row r="146" ht="23" customHeight="1">
      <x:c r="A146" s="21" t="s">
        <x:v>353</x:v>
      </x:c>
      <x:c r="B146" s="46">
        <x:v>42.7305754132952</x:v>
      </x:c>
      <x:c r="C146" s="66">
        <x:v>-73.6829381614326</x:v>
      </x:c>
      <x:c r="D146" s="80"/>
      <x:c r="E146" s="82"/>
    </x:row>
    <x:row r="147" ht="23" customHeight="1">
      <x:c r="A147" s="24" t="s">
        <x:v>354</x:v>
      </x:c>
      <x:c r="B147" s="54">
        <x:v>42.7304144814577</x:v>
      </x:c>
      <x:c r="C147" s="69">
        <x:v>-73.6830654923715</x:v>
      </x:c>
      <x:c r="D147" s="80"/>
      <x:c r="E147" s="82"/>
    </x:row>
    <x:row r="148" ht="23" customHeight="1">
      <x:c r="A148" s="21" t="s">
        <x:v>355</x:v>
      </x:c>
      <x:c r="B148" s="46">
        <x:v>42.7271809010362</x:v>
      </x:c>
      <x:c r="C148" s="66">
        <x:v>-73.6773196837572</x:v>
      </x:c>
      <x:c r="D148" s="80"/>
      <x:c r="E148" s="82"/>
    </x:row>
    <x:row r="149" ht="23" customHeight="1">
      <x:c r="A149" s="24" t="s">
        <x:v>356</x:v>
      </x:c>
      <x:c r="B149" s="54">
        <x:v>42.7270429594612</x:v>
      </x:c>
      <x:c r="C149" s="69">
        <x:v>-73.6768581091039</x:v>
      </x:c>
      <x:c r="D149" s="80"/>
      <x:c r="E149" s="82"/>
    </x:row>
    <x:row r="150" ht="23" customHeight="1">
      <x:c r="A150" s="21" t="s">
        <x:v>357</x:v>
      </x:c>
      <x:c r="B150" s="46">
        <x:v>42.726747534588</x:v>
      </x:c>
      <x:c r="C150" s="66">
        <x:v>-73.67633286898131</x:v>
      </x:c>
      <x:c r="D150" s="80"/>
      <x:c r="E150" s="82"/>
    </x:row>
    <x:row r="151" ht="23" customHeight="1">
      <x:c r="A151" s="24" t="s">
        <x:v>358</x:v>
      </x:c>
      <x:c r="B151" s="54">
        <x:v>42.7267050026023</x:v>
      </x:c>
      <x:c r="C151" s="69">
        <x:v>-73.67588721069539</x:v>
      </x:c>
      <x:c r="D151" s="80"/>
      <x:c r="E151" s="82"/>
    </x:row>
    <x:row r="152" ht="23" customHeight="1">
      <x:c r="A152" s="21" t="s">
        <x:v>359</x:v>
      </x:c>
      <x:c r="B152" s="46">
        <x:v>42.7268165053755</x:v>
      </x:c>
      <x:c r="C152" s="66">
        <x:v>-73.6754654269606</x:v>
      </x:c>
      <x:c r="D152" s="80"/>
      <x:c r="E152" s="82"/>
    </x:row>
    <x:row r="153" ht="23" customHeight="1">
      <x:c r="A153" s="24" t="s">
        <x:v>360</x:v>
      </x:c>
      <x:c r="B153" s="54">
        <x:v>42.7270199691987</x:v>
      </x:c>
      <x:c r="C153" s="69">
        <x:v>-73.67535401238911</x:v>
      </x:c>
      <x:c r="D153" s="80"/>
      <x:c r="E153" s="82"/>
    </x:row>
    <x:row r="154" ht="23" customHeight="1">
      <x:c r="A154" s="21" t="s">
        <x:v>361</x:v>
      </x:c>
      <x:c r="B154" s="46">
        <x:v>42.7263187661922</x:v>
      </x:c>
      <x:c r="C154" s="66">
        <x:v>-73.6756962142872</x:v>
      </x:c>
      <x:c r="D154" s="80"/>
      <x:c r="E154" s="82"/>
    </x:row>
    <x:row r="155" ht="23" customHeight="1">
      <x:c r="A155" s="24" t="s">
        <x:v>362</x:v>
      </x:c>
      <x:c r="B155" s="54">
        <x:v>42.7258049338252</x:v>
      </x:c>
      <x:c r="C155" s="69">
        <x:v>-73.6753301378381</x:v>
      </x:c>
      <x:c r="D155" s="80"/>
      <x:c r="E155" s="82"/>
    </x:row>
    <x:row r="156" ht="23" customHeight="1">
      <x:c r="A156" s="21" t="s">
        <x:v>363</x:v>
      </x:c>
      <x:c r="B156" s="46">
        <x:v>42.7251922433294</x:v>
      </x:c>
      <x:c r="C156" s="66">
        <x:v>-73.6753301378381</x:v>
      </x:c>
      <x:c r="D156" s="80"/>
      <x:c r="E156" s="82"/>
    </x:row>
    <x:row r="157" ht="23" customHeight="1">
      <x:c r="A157" s="24" t="s">
        <x:v>364</x:v>
      </x:c>
      <x:c r="B157" s="54">
        <x:v>42.7301845788326</x:v>
      </x:c>
      <x:c r="C157" s="69">
        <x:v>-73.683224656045</x:v>
      </x:c>
      <x:c r="D157" s="80"/>
      <x:c r="E157" s="82"/>
    </x:row>
    <x:row r="158" ht="23" customHeight="1">
      <x:c r="A158" s="21" t="s">
        <x:v>365</x:v>
      </x:c>
      <x:c r="B158" s="46">
        <x:v>42.730178831267</x:v>
      </x:c>
      <x:c r="C158" s="66">
        <x:v>-73.6835079673839</x:v>
      </x:c>
      <x:c r="D158" s="80"/>
      <x:c r="E158" s="82"/>
    </x:row>
    <x:row r="159" ht="23" customHeight="1">
      <x:c r="A159" s="24" t="s">
        <x:v>366</x:v>
      </x:c>
      <x:c r="B159" s="54">
        <x:v>42.7305524230327</x:v>
      </x:c>
      <x:c r="C159" s="69">
        <x:v>-73.68359709904099</x:v>
      </x:c>
      <x:c r="D159" s="80"/>
      <x:c r="E159" s="82"/>
    </x:row>
    <x:row r="160" ht="23" customHeight="1">
      <x:c r="A160" s="21" t="s">
        <x:v>367</x:v>
      </x:c>
      <x:c r="B160" s="46">
        <x:v>42.7308076149466</x:v>
      </x:c>
      <x:c r="C160" s="66">
        <x:v>-73.6834395270043</x:v>
      </x:c>
      <x:c r="D160" s="80"/>
      <x:c r="E160" s="82"/>
    </x:row>
    <x:row r="161" ht="23" customHeight="1">
      <x:c r="A161" s="24" t="s">
        <x:v>368</x:v>
      </x:c>
      <x:c r="B161" s="54">
        <x:v>42.7308949779441</x:v>
      </x:c>
      <x:c r="C161" s="69">
        <x:v>-73.6836225652288</x:v>
      </x:c>
      <x:c r="D161" s="80"/>
      <x:c r="E161" s="82"/>
    </x:row>
    <x:row r="162" ht="23" customHeight="1">
      <x:c r="A162" s="21" t="s">
        <x:v>369</x:v>
      </x:c>
      <x:c r="B162" s="46">
        <x:v>42.7302512505939</x:v>
      </x:c>
      <x:c r="C162" s="66">
        <x:v>-73.68438973413519</x:v>
      </x:c>
      <x:c r="D162" s="80"/>
      <x:c r="E162" s="82"/>
    </x:row>
    <x:row r="163" ht="23" customHeight="1">
      <x:c r="A163" s="24" t="s">
        <x:v>370</x:v>
      </x:c>
      <x:c r="B163" s="54">
        <x:v>42.7297132784513</x:v>
      </x:c>
      <x:c r="C163" s="69">
        <x:v>-73.68452502325771</x:v>
      </x:c>
      <x:c r="D163" s="80"/>
      <x:c r="E163" s="82"/>
    </x:row>
    <x:row r="164" ht="23" customHeight="1">
      <x:c r="A164" s="21" t="s">
        <x:v>371</x:v>
      </x:c>
      <x:c r="B164" s="46">
        <x:v>42.7294718806949</x:v>
      </x:c>
      <x:c r="C164" s="66">
        <x:v>-73.68440246722911</x:v>
      </x:c>
      <x:c r="D164" s="80"/>
      <x:c r="E164" s="82"/>
    </x:row>
    <x:row r="165" ht="23" customHeight="1">
      <x:c r="A165" s="24" t="s">
        <x:v>372</x:v>
      </x:c>
      <x:c r="B165" s="54">
        <x:v>42.7291822033874</x:v>
      </x:c>
      <x:c r="C165" s="69">
        <x:v>-73.6844979654332</x:v>
      </x:c>
      <x:c r="D165" s="80"/>
      <x:c r="E165" s="82"/>
    </x:row>
    <x:row r="166" ht="23" customHeight="1">
      <x:c r="A166" s="21" t="s">
        <x:v>373</x:v>
      </x:c>
      <x:c r="B166" s="46">
        <x:v>42.7290270191155</x:v>
      </x:c>
      <x:c r="C166" s="66">
        <x:v>-73.6845886887271</x:v>
      </x:c>
      <x:c r="D166" s="80"/>
      <x:c r="E166" s="82"/>
    </x:row>
    <x:row r="167" ht="23" customHeight="1">
      <x:c r="A167" s="24" t="s">
        <x:v>374</x:v>
      </x:c>
      <x:c r="B167" s="54">
        <x:v>42.7289936832348</x:v>
      </x:c>
      <x:c r="C167" s="69">
        <x:v>-73.6847367109435</x:v>
      </x:c>
      <x:c r="D167" s="80"/>
      <x:c r="E167" s="82"/>
    </x:row>
    <x:row r="168" ht="23" customHeight="1">
      <x:c r="A168" s="21" t="s">
        <x:v>375</x:v>
      </x:c>
      <x:c r="B168" s="46">
        <x:v>42.7285373265241</x:v>
      </x:c>
      <x:c r="C168" s="66">
        <x:v>-73.6848529004252</x:v>
      </x:c>
      <x:c r="D168" s="80"/>
      <x:c r="E168" s="82"/>
    </x:row>
    <x:row r="169" ht="23" customHeight="1">
      <x:c r="A169" s="24" t="s">
        <x:v>376</x:v>
      </x:c>
      <x:c r="B169" s="54">
        <x:v>42.7284832994072</x:v>
      </x:c>
      <x:c r="C169" s="69">
        <x:v>-73.6846141549149</x:v>
      </x:c>
      <x:c r="D169" s="80"/>
      <x:c r="E169" s="82"/>
    </x:row>
    <x:row r="170" ht="23" customHeight="1">
      <x:c r="A170" s="21" t="s">
        <x:v>377</x:v>
      </x:c>
      <x:c r="B170" s="46">
        <x:v>42.7287246971635</x:v>
      </x:c>
      <x:c r="C170" s="66">
        <x:v>-73.6844661326985</x:v>
      </x:c>
      <x:c r="D170" s="80"/>
      <x:c r="E170" s="82"/>
    </x:row>
    <x:row r="171" ht="23" customHeight="1">
      <x:c r="A171" s="24" t="s">
        <x:v>378</x:v>
      </x:c>
      <x:c r="B171" s="54">
        <x:v>42.7300638799545</x:v>
      </x:c>
      <x:c r="C171" s="69">
        <x:v>-73.6828076472204</x:v>
      </x:c>
      <x:c r="D171" s="80"/>
      <x:c r="E171" s="82"/>
    </x:row>
    <x:row r="172" ht="23" customHeight="1">
      <x:c r="A172" s="21" t="s">
        <x:v>379</x:v>
      </x:c>
      <x:c r="B172" s="46">
        <x:v>42.7298282297638</x:v>
      </x:c>
      <x:c r="C172" s="66">
        <x:v>-73.68278218103259</x:v>
      </x:c>
      <x:c r="D172" s="80"/>
      <x:c r="E172" s="82"/>
    </x:row>
    <x:row r="173" ht="23" customHeight="1">
      <x:c r="A173" s="24" t="s">
        <x:v>380</x:v>
      </x:c>
      <x:c r="B173" s="54">
        <x:v>42.729985713062</x:v>
      </x:c>
      <x:c r="C173" s="69">
        <x:v>-73.68231423983239</x:v>
      </x:c>
      <x:c r="D173" s="80"/>
      <x:c r="E173" s="82"/>
    </x:row>
    <x:row r="174" ht="23" customHeight="1">
      <x:c r="A174" s="21" t="s">
        <x:v>381</x:v>
      </x:c>
      <x:c r="B174" s="46">
        <x:v>42.729692587215</x:v>
      </x:c>
      <x:c r="C174" s="66">
        <x:v>-73.682977952351</x:v>
      </x:c>
      <x:c r="D174" s="80"/>
      <x:c r="E174" s="82"/>
    </x:row>
    <x:row r="175" ht="23" customHeight="1">
      <x:c r="A175" s="24" t="s">
        <x:v>382</x:v>
      </x:c>
      <x:c r="B175" s="54">
        <x:v>42.7294190030912</x:v>
      </x:c>
      <x:c r="C175" s="69">
        <x:v>-73.68305594255099</x:v>
      </x:c>
      <x:c r="D175" s="80"/>
      <x:c r="E175" s="82"/>
    </x:row>
    <x:row r="176" ht="23" customHeight="1">
      <x:c r="A176" s="21" t="s">
        <x:v>383</x:v>
      </x:c>
      <x:c r="B176" s="46">
        <x:v>42.7292074926761</x:v>
      </x:c>
      <x:c r="C176" s="66">
        <x:v>-73.6831021000164</x:v>
      </x:c>
      <x:c r="D176" s="80"/>
      <x:c r="E176" s="82"/>
    </x:row>
    <x:row r="177" ht="23" customHeight="1">
      <x:c r="A177" s="24" t="s">
        <x:v>384</x:v>
      </x:c>
      <x:c r="B177" s="54">
        <x:v>42.7288051630823</x:v>
      </x:c>
      <x:c r="C177" s="69">
        <x:v>-73.6831227912939</x:v>
      </x:c>
      <x:c r="D177" s="80"/>
      <x:c r="E177" s="82"/>
    </x:row>
    <x:row r="178" ht="23" customHeight="1">
      <x:c r="A178" s="21" t="s">
        <x:v>385</x:v>
      </x:c>
      <x:c r="B178" s="46">
        <x:v>42.7291649606905</x:v>
      </x:c>
      <x:c r="C178" s="66">
        <x:v>-73.68228559037119</x:v>
      </x:c>
      <x:c r="D178" s="80"/>
      <x:c r="E178" s="82"/>
    </x:row>
    <x:row r="179" ht="23" customHeight="1">
      <x:c r="A179" s="24" t="s">
        <x:v>386</x:v>
      </x:c>
      <x:c r="B179" s="54">
        <x:v>42.728591353641</x:v>
      </x:c>
      <x:c r="C179" s="69">
        <x:v>-73.6832771800573</x:v>
      </x:c>
      <x:c r="D179" s="80"/>
      <x:c r="E179" s="82"/>
    </x:row>
    <x:row r="180" ht="23" customHeight="1">
      <x:c r="A180" s="21" t="s">
        <x:v>387</x:v>
      </x:c>
      <x:c r="B180" s="46">
        <x:v>42.7283855907915</x:v>
      </x:c>
      <x:c r="C180" s="66">
        <x:v>-73.683326520796</x:v>
      </x:c>
      <x:c r="D180" s="80"/>
      <x:c r="E180" s="82"/>
    </x:row>
    <x:row r="181" ht="23" customHeight="1">
      <x:c r="A181" s="24" t="s">
        <x:v>388</x:v>
      </x:c>
      <x:c r="B181" s="54">
        <x:v>42.7276958829164</x:v>
      </x:c>
      <x:c r="C181" s="69">
        <x:v>-73.6824606704121</x:v>
      </x:c>
      <x:c r="D181" s="80"/>
      <x:c r="E181" s="82"/>
    </x:row>
    <x:row r="182" ht="23" customHeight="1">
      <x:c r="A182" s="21" t="s">
        <x:v>389</x:v>
      </x:c>
      <x:c r="B182" s="46">
        <x:v>42.7280028029208</x:v>
      </x:c>
      <x:c r="C182" s="66">
        <x:v>-73.68154229601581</x:v>
      </x:c>
      <x:c r="D182" s="80"/>
      <x:c r="E182" s="82"/>
    </x:row>
    <x:row r="183" ht="23" customHeight="1">
      <x:c r="A183" s="24" t="s">
        <x:v>390</x:v>
      </x:c>
      <x:c r="B183" s="54">
        <x:v>42.7283016763334</x:v>
      </x:c>
      <x:c r="C183" s="69">
        <x:v>-73.6801480222357</x:v>
      </x:c>
      <x:c r="D183" s="80"/>
      <x:c r="E183" s="82"/>
    </x:row>
    <x:row r="184" ht="23" customHeight="1">
      <x:c r="A184" s="21" t="s">
        <x:v>391</x:v>
      </x:c>
      <x:c r="B184" s="46">
        <x:v>42.7280694746821</x:v>
      </x:c>
      <x:c r="C184" s="66">
        <x:v>-73.6786502920678</x:v>
      </x:c>
      <x:c r="D184" s="80"/>
      <x:c r="E184" s="82"/>
    </x:row>
    <x:row r="185" ht="23" customHeight="1">
      <x:c r="A185" s="24" t="s">
        <x:v>392</x:v>
      </x:c>
      <x:c r="B185" s="54">
        <x:v>42.7278935991739</x:v>
      </x:c>
      <x:c r="C185" s="69">
        <x:v>-73.6786884913495</x:v>
      </x:c>
      <x:c r="D185" s="80"/>
      <x:c r="E185" s="82"/>
    </x:row>
    <x:row r="186" ht="23" customHeight="1">
      <x:c r="A186" s="21" t="s">
        <x:v>393</x:v>
      </x:c>
      <x:c r="B186" s="46">
        <x:v>42.7277706012695</x:v>
      </x:c>
      <x:c r="C186" s="66">
        <x:v>-73.6787680731863</x:v>
      </x:c>
      <x:c r="D186" s="80"/>
      <x:c r="E186" s="82"/>
    </x:row>
    <x:row r="187" ht="23" customHeight="1">
      <x:c r="A187" s="24" t="s">
        <x:v>394</x:v>
      </x:c>
      <x:c r="B187" s="54">
        <x:v>42.7278798050164</x:v>
      </x:c>
      <x:c r="C187" s="69">
        <x:v>-73.67960527410899</x:v>
      </x:c>
      <x:c r="D187" s="80"/>
      <x:c r="E187" s="82"/>
    </x:row>
    <x:row r="188" ht="23" customHeight="1">
      <x:c r="A188" s="21" t="s">
        <x:v>395</x:v>
      </x:c>
      <x:c r="B188" s="46">
        <x:v>42.7280579795508</x:v>
      </x:c>
      <x:c r="C188" s="66">
        <x:v>-73.67991405163561</x:v>
      </x:c>
      <x:c r="D188" s="80"/>
      <x:c r="E188" s="82"/>
    </x:row>
    <x:row r="189" ht="23" customHeight="1">
      <x:c r="A189" s="24" t="s">
        <x:v>396</x:v>
      </x:c>
      <x:c r="B189" s="54">
        <x:v>42.7280832688396</x:v>
      </x:c>
      <x:c r="C189" s="69">
        <x:v>-73.6803597099215</x:v>
      </x:c>
      <x:c r="D189" s="80"/>
      <x:c r="E189" s="82"/>
    </x:row>
    <x:row r="190" ht="23" customHeight="1">
      <x:c r="A190" s="21" t="s">
        <x:v>397</x:v>
      </x:c>
      <x:c r="B190" s="46">
        <x:v>42.7268509907693</x:v>
      </x:c>
      <x:c r="C190" s="66">
        <x:v>-73.6781314184922</x:v>
      </x:c>
      <x:c r="D190" s="80"/>
      <x:c r="E190" s="82"/>
    </x:row>
    <x:row r="191" ht="23" customHeight="1">
      <x:c r="A191" s="24" t="s">
        <x:v>398</x:v>
      </x:c>
      <x:c r="B191" s="54">
        <x:v>42.7270579031318</x:v>
      </x:c>
      <x:c r="C191" s="69">
        <x:v>-73.6775043136185</x:v>
      </x:c>
      <x:c r="D191" s="80"/>
      <x:c r="E191" s="82"/>
    </x:row>
    <x:row r="192" ht="23" customHeight="1">
      <x:c r="A192" s="21" t="s">
        <x:v>399</x:v>
      </x:c>
      <x:c r="B192" s="46">
        <x:v>42.7270785943681</x:v>
      </x:c>
      <x:c r="C192" s="66">
        <x:v>-73.678090035937</x:v>
      </x:c>
      <x:c r="D192" s="80"/>
      <x:c r="E192" s="82"/>
    </x:row>
    <x:row r="193" ht="23" customHeight="1">
      <x:c r="A193" s="24" t="s">
        <x:v>400</x:v>
      </x:c>
      <x:c r="B193" s="54">
        <x:v>42.7257589533002</x:v>
      </x:c>
      <x:c r="C193" s="69">
        <x:v>-73.6784545207494</x:v>
      </x:c>
      <x:c r="D193" s="80"/>
      <x:c r="E193" s="82"/>
    </x:row>
    <x:row r="194" ht="23" customHeight="1">
      <x:c r="A194" s="21" t="s">
        <x:v>401</x:v>
      </x:c>
      <x:c r="B194" s="46">
        <x:v>42.7248899213775</x:v>
      </x:c>
      <x:c r="C194" s="66">
        <x:v>-73.6736812021804</x:v>
      </x:c>
      <x:c r="D194" s="80"/>
      <x:c r="E194" s="82"/>
    </x:row>
    <x:row r="195" ht="23" customHeight="1">
      <x:c r="A195" s="24" t="s">
        <x:v>402</x:v>
      </x:c>
      <x:c r="B195" s="54">
        <x:v>42.7268969712943</x:v>
      </x:c>
      <x:c r="C195" s="69">
        <x:v>-73.6735156719599</x:v>
      </x:c>
      <x:c r="D195" s="80"/>
      <x:c r="E195" s="82"/>
    </x:row>
    <x:row r="196" ht="23" customHeight="1">
      <x:c r="A196" s="21" t="s">
        <x:v>403</x:v>
      </x:c>
      <x:c r="B196" s="46">
        <x:v>42.7268257014805</x:v>
      </x:c>
      <x:c r="C196" s="66">
        <x:v>-73.6731448206006</x:v>
      </x:c>
      <x:c r="D196" s="80"/>
      <x:c r="E196" s="82"/>
    </x:row>
    <x:row r="197" ht="23" customHeight="1">
      <x:c r="A197" s="24" t="s">
        <x:v>404</x:v>
      </x:c>
      <x:c r="B197" s="54">
        <x:v>42.7268889247024</x:v>
      </x:c>
      <x:c r="C197" s="69">
        <x:v>-73.67405682844991</x:v>
      </x:c>
      <x:c r="D197" s="80"/>
      <x:c r="E197" s="82"/>
    </x:row>
    <x:row r="198" ht="23" customHeight="1">
      <x:c r="A198" s="21" t="s">
        <x:v>405</x:v>
      </x:c>
      <x:c r="B198" s="46">
        <x:v>42.7268532897955</x:v>
      </x:c>
      <x:c r="C198" s="66">
        <x:v>-73.67435923942961</x:v>
      </x:c>
      <x:c r="D198" s="80"/>
      <x:c r="E198" s="82"/>
    </x:row>
    <x:row r="199" ht="23" customHeight="1">
      <x:c r="A199" s="24" t="s">
        <x:v>406</x:v>
      </x:c>
      <x:c r="B199" s="54">
        <x:v>42.7282901812021</x:v>
      </x:c>
      <x:c r="C199" s="69">
        <x:v>-73.6761959882221</x:v>
      </x:c>
      <x:c r="D199" s="80"/>
      <x:c r="E199" s="82"/>
    </x:row>
    <x:row r="200" ht="23" customHeight="1">
      <x:c r="A200" s="21" t="s">
        <x:v>407</x:v>
      </x:c>
      <x:c r="B200" s="46">
        <x:v>42.7275981743007</x:v>
      </x:c>
      <x:c r="C200" s="66">
        <x:v>-73.67550521787901</x:v>
      </x:c>
      <x:c r="D200" s="80"/>
      <x:c r="E200" s="82"/>
    </x:row>
    <x:row r="201" ht="23" customHeight="1">
      <x:c r="A201" s="24" t="s">
        <x:v>408</x:v>
      </x:c>
      <x:c r="B201" s="54">
        <x:v>42.7270579031318</x:v>
      </x:c>
      <x:c r="C201" s="69">
        <x:v>-73.6755688833484</x:v>
      </x:c>
      <x:c r="D201" s="80"/>
      <x:c r="E201" s="82"/>
    </x:row>
    <x:row r="202" ht="23" customHeight="1">
      <x:c r="A202" s="21" t="s">
        <x:v>409</x:v>
      </x:c>
      <x:c r="B202" s="46">
        <x:v>42.7278533662145</x:v>
      </x:c>
      <x:c r="C202" s="66">
        <x:v>-73.67464891731539</x:v>
      </x:c>
      <x:c r="D202" s="80"/>
      <x:c r="E202" s="82"/>
    </x:row>
    <x:row r="203" ht="23" customHeight="1">
      <x:c r="A203" s="24" t="s">
        <x:v>410</x:v>
      </x:c>
      <x:c r="B203" s="54">
        <x:v>42.7276384072601</x:v>
      </x:c>
      <x:c r="C203" s="69">
        <x:v>-73.6758824357852</x:v>
      </x:c>
      <x:c r="D203" s="80"/>
      <x:c r="E203" s="82"/>
    </x:row>
    <x:row r="204" ht="23" customHeight="1">
      <x:c r="A204" s="21" t="s">
        <x:v>411</x:v>
      </x:c>
      <x:c r="B204" s="46">
        <x:v>42.7314295015473</x:v>
      </x:c>
      <x:c r="C204" s="66">
        <x:v>-73.6812669428606</x:v>
      </x:c>
      <x:c r="D204" s="80"/>
      <x:c r="E204" s="82"/>
    </x:row>
    <x:row r="205" ht="23" customHeight="1">
      <x:c r="A205" s="24" t="s">
        <x:v>412</x:v>
      </x:c>
      <x:c r="B205" s="54">
        <x:v>42.7321157608832</x:v>
      </x:c>
      <x:c r="C205" s="69">
        <x:v>-73.6818335655384</x:v>
      </x:c>
      <x:c r="D205" s="80"/>
      <x:c r="E205" s="82"/>
    </x:row>
    <x:row r="206" ht="23" customHeight="1">
      <x:c r="A206" s="21" t="s">
        <x:v>413</x:v>
      </x:c>
      <x:c r="B206" s="46">
        <x:v>42.7316961885924</x:v>
      </x:c>
      <x:c r="C206" s="66">
        <x:v>-73.6815900451179</x:v>
      </x:c>
      <x:c r="D206" s="80"/>
      <x:c r="E206" s="82"/>
    </x:row>
    <x:row r="207" ht="23" customHeight="1">
      <x:c r="A207" s="24" t="s">
        <x:v>414</x:v>
      </x:c>
      <x:c r="B207" s="54">
        <x:v>42.731563994583</x:v>
      </x:c>
      <x:c r="C207" s="69">
        <x:v>-73.6814738556362</x:v>
      </x:c>
      <x:c r="D207" s="80"/>
      <x:c r="E207" s="82"/>
    </x:row>
    <x:row r="208" ht="23" customHeight="1">
      <x:c r="A208" s="21" t="s">
        <x:v>415</x:v>
      </x:c>
      <x:c r="B208" s="46">
        <x:v>42.7314961733086</x:v>
      </x:c>
      <x:c r="C208" s="66">
        <x:v>-73.68159322839131</x:v>
      </x:c>
      <x:c r="D208" s="80"/>
      <x:c r="E208" s="82"/>
    </x:row>
    <x:row r="209" ht="23" customHeight="1">
      <x:c r="A209" s="24" t="s">
        <x:v>416</x:v>
      </x:c>
      <x:c r="B209" s="54">
        <x:v>42.7312283367504</x:v>
      </x:c>
      <x:c r="C209" s="69">
        <x:v>-73.6816123280322</x:v>
      </x:c>
      <x:c r="D209" s="80"/>
      <x:c r="E209" s="82"/>
    </x:row>
    <x:row r="210" ht="23" customHeight="1">
      <x:c r="A210" s="21" t="s">
        <x:v>417</x:v>
      </x:c>
      <x:c r="B210" s="46">
        <x:v>42.7321088638044</x:v>
      </x:c>
      <x:c r="C210" s="66">
        <x:v>-73.6827057824693</x:v>
      </x:c>
      <x:c r="D210" s="80"/>
      <x:c r="E210" s="82"/>
    </x:row>
    <x:row r="211" ht="23" customHeight="1">
      <x:c r="A211" s="24" t="s">
        <x:v>418</x:v>
      </x:c>
      <x:c r="B211" s="54">
        <x:v>42.7318513728643</x:v>
      </x:c>
      <x:c r="C211" s="69">
        <x:v>-73.6831450742082</x:v>
      </x:c>
      <x:c r="D211" s="80"/>
      <x:c r="E211" s="82"/>
    </x:row>
    <x:row r="212" ht="23" customHeight="1">
      <x:c r="A212" s="21" t="s">
        <x:v>419</x:v>
      </x:c>
      <x:c r="B212" s="46">
        <x:v>42.7318513728643</x:v>
      </x:c>
      <x:c r="C212" s="66">
        <x:v>-73.68258800135089</x:v>
      </x:c>
      <x:c r="D212" s="80"/>
      <x:c r="E212" s="82"/>
    </x:row>
    <x:row r="213" ht="23" customHeight="1">
      <x:c r="A213" s="24" t="s">
        <x:v>420</x:v>
      </x:c>
      <x:c r="B213" s="54">
        <x:v>42.7314651364542</x:v>
      </x:c>
      <x:c r="C213" s="69">
        <x:v>-73.68275989811831</x:v>
      </x:c>
      <x:c r="D213" s="80"/>
      <x:c r="E213" s="82"/>
    </x:row>
    <x:row r="214" ht="23" customHeight="1">
      <x:c r="A214" s="21" t="s">
        <x:v>421</x:v>
      </x:c>
      <x:c r="B214" s="46">
        <x:v>42.7310306204929</x:v>
      </x:c>
      <x:c r="C214" s="66">
        <x:v>-73.68239223003241</x:v>
      </x:c>
      <x:c r="D214" s="80"/>
      <x:c r="E214" s="82"/>
    </x:row>
    <x:row r="215" ht="23" customHeight="1">
      <x:c r="A215" s="24" t="s">
        <x:v>422</x:v>
      </x:c>
      <x:c r="B215" s="54">
        <x:v>42.7311616649891</x:v>
      </x:c>
      <x:c r="C215" s="69">
        <x:v>-73.6829063286979</x:v>
      </x:c>
      <x:c r="D215" s="80"/>
      <x:c r="E215" s="82"/>
    </x:row>
    <x:row r="216" ht="23" customHeight="1">
      <x:c r="A216" s="21" t="s">
        <x:v>423</x:v>
      </x:c>
      <x:c r="B216" s="46">
        <x:v>42.7309915370466</x:v>
      </x:c>
      <x:c r="C216" s="66">
        <x:v>-73.6831036916531</x:v>
      </x:c>
      <x:c r="D216" s="80"/>
      <x:c r="E216" s="82"/>
    </x:row>
    <x:row r="217" ht="23" customHeight="1">
      <x:c r="A217" s="24" t="s">
        <x:v>424</x:v>
      </x:c>
      <x:c r="B217" s="54">
        <x:v>42.7309616497053</x:v>
      </x:c>
      <x:c r="C217" s="69">
        <x:v>-73.68335835353071</x:v>
      </x:c>
      <x:c r="D217" s="80"/>
      <x:c r="E217" s="82"/>
    </x:row>
    <x:row r="218" ht="23" customHeight="1">
      <x:c r="A218" s="21" t="s">
        <x:v>425</x:v>
      </x:c>
      <x:c r="B218" s="46">
        <x:v>42.730912220641</x:v>
      </x:c>
      <x:c r="C218" s="66">
        <x:v>-73.68232060637941</x:v>
      </x:c>
      <x:c r="D218" s="80"/>
      <x:c r="E218" s="82"/>
    </x:row>
    <x:row r="219" ht="23" customHeight="1">
      <x:c r="A219" s="24" t="s">
        <x:v>426</x:v>
      </x:c>
      <x:c r="B219" s="54">
        <x:v>42.7311041893329</x:v>
      </x:c>
      <x:c r="C219" s="69">
        <x:v>-73.68099636461559</x:v>
      </x:c>
      <x:c r="D219" s="80"/>
      <x:c r="E219" s="82"/>
    </x:row>
    <x:row r="220" ht="23" customHeight="1">
      <x:c r="A220" s="21" t="s">
        <x:v>427</x:v>
      </x:c>
      <x:c r="B220" s="46">
        <x:v>42.7311214320298</x:v>
      </x:c>
      <x:c r="C220" s="66">
        <x:v>-73.6813735825219</x:v>
      </x:c>
      <x:c r="D220" s="80"/>
      <x:c r="E220" s="82"/>
    </x:row>
    <x:row r="221" ht="23" customHeight="1">
      <x:c r="A221" s="24" t="s">
        <x:v>428</x:v>
      </x:c>
      <x:c r="B221" s="54">
        <x:v>42.730793820789</x:v>
      </x:c>
      <x:c r="C221" s="69">
        <x:v>-73.680603230342</x:v>
      </x:c>
      <x:c r="D221" s="80"/>
      <x:c r="E221" s="82"/>
    </x:row>
    <x:row r="222" ht="23" customHeight="1">
      <x:c r="A222" s="21" t="s">
        <x:v>429</x:v>
      </x:c>
      <x:c r="B222" s="46">
        <x:v>42.7312513270129</x:v>
      </x:c>
      <x:c r="C222" s="66">
        <x:v>-73.6803644848317</x:v>
      </x:c>
      <x:c r="D222" s="80"/>
      <x:c r="E222" s="82"/>
    </x:row>
    <x:row r="223" ht="23" customHeight="1">
      <x:c r="A223" s="24" t="s">
        <x:v>430</x:v>
      </x:c>
      <x:c r="B223" s="54">
        <x:v>42.7314191559292</x:v>
      </x:c>
      <x:c r="C223" s="69">
        <x:v>-73.68037562628891</x:v>
      </x:c>
      <x:c r="D223" s="80"/>
      <x:c r="E223" s="82"/>
    </x:row>
    <x:row r="224" ht="23" customHeight="1">
      <x:c r="A224" s="21" t="s">
        <x:v>431</x:v>
      </x:c>
      <x:c r="B224" s="46">
        <x:v>42.7315869848455</x:v>
      </x:c>
      <x:c r="C224" s="66">
        <x:v>-73.6808340176686</x:v>
      </x:c>
      <x:c r="D224" s="80"/>
      <x:c r="E224" s="82"/>
    </x:row>
    <x:row r="225" ht="23" customHeight="1">
      <x:c r="A225" s="24" t="s">
        <x:v>432</x:v>
      </x:c>
      <x:c r="B225" s="54">
        <x:v>42.7319433339144</x:v>
      </x:c>
      <x:c r="C225" s="69">
        <x:v>-73.6811937275708</x:v>
      </x:c>
      <x:c r="D225" s="80"/>
      <x:c r="E225" s="82"/>
    </x:row>
    <x:row r="226" ht="23" customHeight="1">
      <x:c r="A226" s="21" t="s">
        <x:v>433</x:v>
      </x:c>
      <x:c r="B226" s="46">
        <x:v>42.7321548443294</x:v>
      </x:c>
      <x:c r="C226" s="66">
        <x:v>-73.68113961192179</x:v>
      </x:c>
      <x:c r="D226" s="80"/>
      <x:c r="E226" s="82"/>
    </x:row>
    <x:row r="227" ht="23" customHeight="1">
      <x:c r="A227" s="24" t="s">
        <x:v>434</x:v>
      </x:c>
      <x:c r="B227" s="54">
        <x:v>42.7323410654557</x:v>
      </x:c>
      <x:c r="C227" s="69">
        <x:v>-73.6812780843178</x:v>
      </x:c>
      <x:c r="D227" s="80"/>
      <x:c r="E227" s="82"/>
    </x:row>
    <x:row r="228" ht="23" customHeight="1">
      <x:c r="A228" s="21" t="s">
        <x:v>435</x:v>
      </x:c>
      <x:c r="B228" s="46">
        <x:v>42.732527286582</x:v>
      </x:c>
      <x:c r="C228" s="66">
        <x:v>-73.6809645318809</x:v>
      </x:c>
      <x:c r="D228" s="80"/>
      <x:c r="E228" s="82"/>
    </x:row>
    <x:row r="229" ht="23" customHeight="1">
      <x:c r="A229" s="24" t="s">
        <x:v>436</x:v>
      </x:c>
      <x:c r="B229" s="54">
        <x:v>42.7328801871115</x:v>
      </x:c>
      <x:c r="C229" s="69">
        <x:v>-73.68267394973461</x:v>
      </x:c>
      <x:c r="D229" s="80"/>
      <x:c r="E229" s="82"/>
    </x:row>
    <x:row r="230" ht="23" customHeight="1">
      <x:c r="A230" s="21" t="s">
        <x:v>437</x:v>
      </x:c>
      <x:c r="B230" s="46">
        <x:v>42.7281269503383</x:v>
      </x:c>
      <x:c r="C230" s="66">
        <x:v>-73.6849754564538</x:v>
      </x:c>
      <x:c r="D230" s="80"/>
      <x:c r="E230" s="82"/>
    </x:row>
    <x:row r="231" ht="23" customHeight="1">
      <x:c r="A231" s="24" t="s">
        <x:v>438</x:v>
      </x:c>
      <x:c r="B231" s="54">
        <x:v>42.7278315254651</x:v>
      </x:c>
      <x:c r="C231" s="69">
        <x:v>-73.6780470617452</x:v>
      </x:c>
      <x:c r="D231" s="80"/>
      <x:c r="E231" s="82"/>
    </x:row>
    <x:row r="232" ht="23" customHeight="1">
      <x:c r="A232" s="21" t="s">
        <x:v>439</x:v>
      </x:c>
      <x:c r="B232" s="46">
        <x:v>42.7329434103334</x:v>
      </x:c>
      <x:c r="C232" s="66">
        <x:v>-73.6803597099215</x:v>
      </x:c>
      <x:c r="D232" s="80"/>
      <x:c r="E232" s="82"/>
    </x:row>
    <x:row r="233" ht="23" customHeight="1">
      <x:c r="A233" s="24" t="s">
        <x:v>440</x:v>
      </x:c>
      <x:c r="B233" s="54">
        <x:v>42.7328284590208</x:v>
      </x:c>
      <x:c r="C233" s="69">
        <x:v>-73.6798822189009</x:v>
      </x:c>
      <x:c r="D233" s="80"/>
      <x:c r="E233" s="82"/>
    </x:row>
    <x:row r="234" ht="23" customHeight="1">
      <x:c r="A234" s="21" t="s">
        <x:v>441</x:v>
      </x:c>
      <x:c r="B234" s="46">
        <x:v>42.7334606912398</x:v>
      </x:c>
      <x:c r="C234" s="66">
        <x:v>-73.6795957242886</x:v>
      </x:c>
      <x:c r="D234" s="80"/>
      <x:c r="E234" s="82"/>
    </x:row>
    <x:row r="235" ht="23" customHeight="1">
      <x:c r="A235" s="24" t="s">
        <x:v>442</x:v>
      </x:c>
      <x:c r="B235" s="54">
        <x:v>42.7330813519084</x:v>
      </x:c>
      <x:c r="C235" s="69">
        <x:v>-73.6806302881665</x:v>
      </x:c>
      <x:c r="D235" s="80"/>
      <x:c r="E235" s="82"/>
    </x:row>
    <x:row r="236" ht="23" customHeight="1">
      <x:c r="A236" s="21" t="s">
        <x:v>443</x:v>
      </x:c>
      <x:c r="B236" s="46">
        <x:v>42.7336066794067</x:v>
      </x:c>
      <x:c r="C236" s="66">
        <x:v>-73.6804233753909</x:v>
      </x:c>
      <x:c r="D236" s="80"/>
      <x:c r="E236" s="82"/>
    </x:row>
    <x:row r="237" ht="23" customHeight="1">
      <x:c r="A237" s="24" t="s">
        <x:v>444</x:v>
      </x:c>
      <x:c r="B237" s="54">
        <x:v>42.7337986480986</x:v>
      </x:c>
      <x:c r="C237" s="69">
        <x:v>-73.6814261065341</x:v>
      </x:c>
      <x:c r="D237" s="80"/>
      <x:c r="E237" s="82"/>
    </x:row>
    <x:row r="238" ht="23" customHeight="1">
      <x:c r="A238" s="21" t="s">
        <x:v>445</x:v>
      </x:c>
      <x:c r="B238" s="46">
        <x:v>42.733242283746</x:v>
      </x:c>
      <x:c r="C238" s="66">
        <x:v>-73.68155821238319</x:v>
      </x:c>
      <x:c r="D238" s="80"/>
      <x:c r="E238" s="82"/>
    </x:row>
    <x:row r="239" ht="23" customHeight="1">
      <x:c r="A239" s="24" t="s">
        <x:v>446</x:v>
      </x:c>
      <x:c r="B239" s="54">
        <x:v>42.7339365896736</x:v>
      </x:c>
      <x:c r="C239" s="69">
        <x:v>-73.68234925584061</x:v>
      </x:c>
      <x:c r="D239" s="80"/>
      <x:c r="E239" s="82"/>
    </x:row>
    <x:row r="240" ht="23" customHeight="1">
      <x:c r="A240" s="21" t="s">
        <x:v>447</x:v>
      </x:c>
      <x:c r="B240" s="46">
        <x:v>42.7337135841273</x:v>
      </x:c>
      <x:c r="C240" s="66">
        <x:v>-73.6834474851879</x:v>
      </x:c>
      <x:c r="D240" s="80"/>
      <x:c r="E240" s="82"/>
    </x:row>
    <x:row r="241" ht="23" customHeight="1">
      <x:c r="A241" s="24" t="s">
        <x:v>448</x:v>
      </x:c>
      <x:c r="B241" s="54">
        <x:v>42.7330974450922</x:v>
      </x:c>
      <x:c r="C241" s="69">
        <x:v>-73.6836146070451</x:v>
      </x:c>
      <x:c r="D241" s="80"/>
      <x:c r="E241" s="82"/>
    </x:row>
    <x:row r="242" ht="23" customHeight="1">
      <x:c r="A242" s="21" t="s">
        <x:v>449</x:v>
      </x:c>
      <x:c r="B242" s="46">
        <x:v>42.7308892303785</x:v>
      </x:c>
      <x:c r="C242" s="66">
        <x:v>-73.6842114708209</x:v>
      </x:c>
      <x:c r="D242" s="80"/>
      <x:c r="E242" s="82"/>
    </x:row>
    <x:row r="243" ht="23" customHeight="1">
      <x:c r="A243" s="24" t="s">
        <x:v>450</x:v>
      </x:c>
      <x:c r="B243" s="54">
        <x:v>42.730619094794</x:v>
      </x:c>
      <x:c r="C243" s="69">
        <x:v>-73.6856757766173</x:v>
      </x:c>
      <x:c r="D243" s="80"/>
      <x:c r="E243" s="82"/>
    </x:row>
    <x:row r="244" ht="23" customHeight="1">
      <x:c r="A244" s="21" t="s">
        <x:v>451</x:v>
      </x:c>
      <x:c r="B244" s="46">
        <x:v>42.7305294327702</x:v>
      </x:c>
      <x:c r="C244" s="66">
        <x:v>-73.68433880175969</x:v>
      </x:c>
      <x:c r="D244" s="80"/>
      <x:c r="E244" s="82"/>
    </x:row>
    <x:row r="245" ht="23" customHeight="1">
      <x:c r="A245" s="24" t="s">
        <x:v>452</x:v>
      </x:c>
      <x:c r="B245" s="54">
        <x:v>42.7313340919579</x:v>
      </x:c>
      <x:c r="C245" s="69">
        <x:v>-73.6855166129438</x:v>
      </x:c>
      <x:c r="D245" s="80"/>
      <x:c r="E245" s="82"/>
    </x:row>
    <x:row r="246" ht="23" customHeight="1">
      <x:c r="A246" s="21" t="s">
        <x:v>453</x:v>
      </x:c>
      <x:c r="B246" s="46">
        <x:v>42.7315869848455</x:v>
      </x:c>
      <x:c r="C246" s="66">
        <x:v>-73.68552616276421</x:v>
      </x:c>
      <x:c r="D246" s="80"/>
      <x:c r="E246" s="82"/>
    </x:row>
    <x:row r="247" ht="23" customHeight="1">
      <x:c r="A247" s="24" t="s">
        <x:v>454</x:v>
      </x:c>
      <x:c r="B247" s="54">
        <x:v>42.731637563423</x:v>
      </x:c>
      <x:c r="C247" s="69">
        <x:v>-73.686519344087</x:v>
      </x:c>
      <x:c r="D247" s="80"/>
      <x:c r="E247" s="82"/>
    </x:row>
    <x:row r="248" ht="23" customHeight="1">
      <x:c r="A248" s="21" t="s">
        <x:v>455</x:v>
      </x:c>
      <x:c r="B248" s="46">
        <x:v>42.7316214702393</x:v>
      </x:c>
      <x:c r="C248" s="66">
        <x:v>-73.6862089749236</x:v>
      </x:c>
      <x:c r="D248" s="80"/>
      <x:c r="E248" s="82"/>
    </x:row>
    <x:row r="249" ht="23" customHeight="1">
      <x:c r="A249" s="24" t="s">
        <x:v>456</x:v>
      </x:c>
      <x:c r="B249" s="54">
        <x:v>42.7306443840828</x:v>
      </x:c>
      <x:c r="C249" s="69">
        <x:v>-73.6864079295155</x:v>
      </x:c>
      <x:c r="D249" s="80"/>
      <x:c r="E249" s="82"/>
    </x:row>
    <x:row r="250" ht="23" customHeight="1">
      <x:c r="A250" s="21" t="s">
        <x:v>457</x:v>
      </x:c>
      <x:c r="B250" s="46">
        <x:v>42.7336331182086</x:v>
      </x:c>
      <x:c r="C250" s="66">
        <x:v>-73.68593043849491</x:v>
      </x:c>
      <x:c r="D250" s="80"/>
      <x:c r="E250" s="82"/>
    </x:row>
    <x:row r="251" ht="23" customHeight="1">
      <x:c r="A251" s="24" t="s">
        <x:v>458</x:v>
      </x:c>
      <x:c r="B251" s="54">
        <x:v>42.7334377009773</x:v>
      </x:c>
      <x:c r="C251" s="69">
        <x:v>-73.6849054244374</x:v>
      </x:c>
      <x:c r="D251" s="80"/>
      <x:c r="E251" s="82"/>
    </x:row>
    <x:row r="252" ht="23" customHeight="1">
      <x:c r="A252" s="21" t="s">
        <x:v>459</x:v>
      </x:c>
      <x:c r="B252" s="46">
        <x:v>42.7283453578322</x:v>
      </x:c>
      <x:c r="C252" s="66">
        <x:v>-73.6872037478831</x:v>
      </x:c>
      <x:c r="D252" s="80"/>
      <x:c r="E252" s="82"/>
    </x:row>
    <x:row r="253" ht="23" customHeight="1">
      <x:c r="A253" s="24" t="s">
        <x:v>460</x:v>
      </x:c>
      <x:c r="B253" s="54">
        <x:v>42.7294488904324</x:v>
      </x:c>
      <x:c r="C253" s="69">
        <x:v>-73.6861278014501</x:v>
      </x:c>
      <x:c r="D253" s="80"/>
      <x:c r="E253" s="82"/>
    </x:row>
    <x:row r="254" ht="23" customHeight="1">
      <x:c r="A254" s="21" t="s">
        <x:v>461</x:v>
      </x:c>
      <x:c r="B254" s="46">
        <x:v>42.729563841745</x:v>
      </x:c>
      <x:c r="C254" s="66">
        <x:v>-73.6869554525525</x:v>
      </x:c>
      <x:c r="D254" s="80"/>
      <x:c r="E254" s="82"/>
    </x:row>
    <x:row r="255" ht="23" customHeight="1">
      <x:c r="A255" s="24" t="s">
        <x:v>462</x:v>
      </x:c>
      <x:c r="B255" s="54">
        <x:v>42.7281154552071</x:v>
      </x:c>
      <x:c r="C255" s="69">
        <x:v>-73.686567093189</x:v>
      </x:c>
      <x:c r="D255" s="80"/>
      <x:c r="E255" s="82"/>
    </x:row>
    <x:row r="256" ht="23" customHeight="1">
      <x:c r="A256" s="21" t="s">
        <x:v>463</x:v>
      </x:c>
      <x:c r="B256" s="46">
        <x:v>42.7274717278569</x:v>
      </x:c>
      <x:c r="C256" s="66">
        <x:v>-73.68516645286201</x:v>
      </x:c>
      <x:c r="D256" s="80"/>
      <x:c r="E256" s="82"/>
    </x:row>
    <x:row r="257" ht="23" customHeight="1">
      <x:c r="A257" s="24" t="s">
        <x:v>464</x:v>
      </x:c>
      <x:c r="B257" s="54">
        <x:v>42.7278050866633</x:v>
      </x:c>
      <x:c r="C257" s="69">
        <x:v>-73.6860577694338</x:v>
      </x:c>
      <x:c r="D257" s="80"/>
      <x:c r="E257" s="82"/>
    </x:row>
    <x:row r="258" ht="23" customHeight="1">
      <x:c r="A258" s="21" t="s">
        <x:v>465</x:v>
      </x:c>
      <x:c r="B258" s="46">
        <x:v>42.733288264271</x:v>
      </x:c>
      <x:c r="C258" s="66">
        <x:v>-73.6784974949413</x:v>
      </x:c>
      <x:c r="D258" s="80"/>
      <x:c r="E258" s="82"/>
    </x:row>
    <x:row r="259" ht="23" customHeight="1">
      <x:c r="A259" s="24" t="s">
        <x:v>466</x:v>
      </x:c>
      <x:c r="B259" s="54">
        <x:v>42.7327847775221</x:v>
      </x:c>
      <x:c r="C259" s="69">
        <x:v>-73.67863119242701</x:v>
      </x:c>
      <x:c r="D259" s="80"/>
      <x:c r="E259" s="82"/>
    </x:row>
    <x:row r="260" ht="23" customHeight="1">
      <x:c r="A260" s="21" t="s">
        <x:v>467</x:v>
      </x:c>
      <x:c r="B260" s="46">
        <x:v>42.7328434026915</x:v>
      </x:c>
      <x:c r="C260" s="66">
        <x:v>-73.67904979288841</x:v>
      </x:c>
      <x:c r="D260" s="80"/>
      <x:c r="E260" s="82"/>
    </x:row>
    <x:row r="261" ht="23" customHeight="1">
      <x:c r="A261" s="24" t="s">
        <x:v>468</x:v>
      </x:c>
      <x:c r="B261" s="54">
        <x:v>42.7330066335553</x:v>
      </x:c>
      <x:c r="C261" s="69">
        <x:v>-73.6794333773416</x:v>
      </x:c>
      <x:c r="D261" s="80"/>
      <x:c r="E261" s="82"/>
    </x:row>
    <x:row r="262" ht="23" customHeight="1">
      <x:c r="A262" s="21" t="s">
        <x:v>469</x:v>
      </x:c>
      <x:c r="B262" s="46">
        <x:v>42.7327709833646</x:v>
      </x:c>
      <x:c r="C262" s="66">
        <x:v>-73.67931718785989</x:v>
      </x:c>
      <x:c r="D262" s="80"/>
      <x:c r="E262" s="82"/>
    </x:row>
    <x:row r="263" ht="23" customHeight="1">
      <x:c r="A263" s="24" t="s">
        <x:v>470</x:v>
      </x:c>
      <x:c r="B263" s="54">
        <x:v>42.7325778651595</x:v>
      </x:c>
      <x:c r="C263" s="69">
        <x:v>-73.6789686194149</x:v>
      </x:c>
      <x:c r="D263" s="80"/>
      <x:c r="E263" s="82"/>
    </x:row>
    <x:row r="264" ht="23" customHeight="1">
      <x:c r="A264" s="21" t="s">
        <x:v>471</x:v>
      </x:c>
      <x:c r="B264" s="46">
        <x:v>42.7328284590208</x:v>
      </x:c>
      <x:c r="C264" s="66">
        <x:v>-73.67892723685981</x:v>
      </x:c>
      <x:c r="D264" s="80"/>
      <x:c r="E264" s="82"/>
    </x:row>
    <x:row r="265" ht="23" customHeight="1">
      <x:c r="A265" s="24" t="s">
        <x:v>472</x:v>
      </x:c>
      <x:c r="B265" s="54">
        <x:v>42.7333457399272</x:v>
      </x:c>
      <x:c r="C265" s="69">
        <x:v>-73.6788158222883</x:v>
      </x:c>
      <x:c r="D265" s="80"/>
      <x:c r="E265" s="82"/>
    </x:row>
    <x:row r="266" ht="23" customHeight="1">
      <x:c r="A266" s="21" t="s">
        <x:v>473</x:v>
      </x:c>
      <x:c r="B266" s="46">
        <x:v>42.7331112392497</x:v>
      </x:c>
      <x:c r="C266" s="66">
        <x:v>-73.67976284614581</x:v>
      </x:c>
      <x:c r="D266" s="80"/>
      <x:c r="E266" s="82"/>
    </x:row>
    <x:row r="267" ht="23" customHeight="1">
      <x:c r="A267" s="24" t="s">
        <x:v>474</x:v>
      </x:c>
      <x:c r="B267" s="54">
        <x:v>42.7324951002145</x:v>
      </x:c>
      <x:c r="C267" s="69">
        <x:v>-73.67870440771679</x:v>
      </x:c>
      <x:c r="D267" s="80"/>
      <x:c r="E267" s="82"/>
    </x:row>
    <x:row r="268" ht="23" customHeight="1">
      <x:c r="A268" s="21" t="s">
        <x:v>475</x:v>
      </x:c>
      <x:c r="B268" s="46">
        <x:v>42.7324192323482</x:v>
      </x:c>
      <x:c r="C268" s="66">
        <x:v>-73.6777335093083</x:v>
      </x:c>
      <x:c r="D268" s="80"/>
      <x:c r="E268" s="82"/>
    </x:row>
    <x:row r="269" ht="23" customHeight="1">
      <x:c r="A269" s="24" t="s">
        <x:v>476</x:v>
      </x:c>
      <x:c r="B269" s="54">
        <x:v>42.7328744395459</x:v>
      </x:c>
      <x:c r="C269" s="69">
        <x:v>-73.67764437765121</x:v>
      </x:c>
      <x:c r="D269" s="80"/>
      <x:c r="E269" s="82"/>
    </x:row>
    <x:row r="270" ht="23" customHeight="1">
      <x:c r="A270" s="21" t="s">
        <x:v>477</x:v>
      </x:c>
      <x:c r="B270" s="46">
        <x:v>42.7331606683141</x:v>
      </x:c>
      <x:c r="C270" s="66">
        <x:v>-73.6775393296266</x:v>
      </x:c>
      <x:c r="D270" s="80"/>
      <x:c r="E270" s="82"/>
    </x:row>
    <x:row r="271" ht="23" customHeight="1">
      <x:c r="A271" s="24" t="s">
        <x:v>478</x:v>
      </x:c>
      <x:c r="B271" s="54">
        <x:v>42.7319663241769</x:v>
      </x:c>
      <x:c r="C271" s="69">
        <x:v>-73.6788317386557</x:v>
      </x:c>
      <x:c r="D271" s="80"/>
      <x:c r="E271" s="82"/>
    </x:row>
    <x:row r="272" ht="23" customHeight="1">
      <x:c r="A272" s="21" t="s">
        <x:v>479</x:v>
      </x:c>
      <x:c r="B272" s="46">
        <x:v>42.7318697650743</x:v>
      </x:c>
      <x:c r="C272" s="66">
        <x:v>-73.6798440196193</x:v>
      </x:c>
      <x:c r="D272" s="80"/>
      <x:c r="E272" s="82"/>
    </x:row>
    <x:row r="273" ht="23" customHeight="1">
      <x:c r="A273" s="24" t="s">
        <x:v>480</x:v>
      </x:c>
      <x:c r="B273" s="54">
        <x:v>42.7317938972081</x:v>
      </x:c>
      <x:c r="C273" s="69">
        <x:v>-73.6807735354727</x:v>
      </x:c>
      <x:c r="D273" s="80"/>
      <x:c r="E273" s="82"/>
    </x:row>
    <x:row r="274" ht="23" customHeight="1">
      <x:c r="A274" s="21" t="s">
        <x:v>481</x:v>
      </x:c>
      <x:c r="B274" s="46">
        <x:v>42.7306443840828</x:v>
      </x:c>
      <x:c r="C274" s="66">
        <x:v>-73.67208319889809</x:v>
      </x:c>
      <x:c r="D274" s="80"/>
      <x:c r="E274" s="82"/>
    </x:row>
    <x:row r="275" ht="23" customHeight="1">
      <x:c r="A275" s="24" t="s">
        <x:v>482</x:v>
      </x:c>
      <x:c r="B275" s="54">
        <x:v>42.7306443840828</x:v>
      </x:c>
      <x:c r="C275" s="69">
        <x:v>-73.671446544204</x:v>
      </x:c>
      <x:c r="D275" s="80"/>
      <x:c r="E275" s="82"/>
    </x:row>
    <x:row r="276" ht="23" customHeight="1">
      <x:c r="A276" s="21" t="s">
        <x:v>483</x:v>
      </x:c>
      <x:c r="B276" s="46">
        <x:v>42.7306754209371</x:v>
      </x:c>
      <x:c r="C276" s="66">
        <x:v>-73.6707382658569</x:v>
      </x:c>
      <x:c r="D276" s="80"/>
      <x:c r="E276" s="82"/>
    </x:row>
    <x:row r="277" ht="23" customHeight="1">
      <x:c r="A277" s="24" t="s">
        <x:v>484</x:v>
      </x:c>
      <x:c r="B277" s="54">
        <x:v>42.7308512964453</x:v>
      </x:c>
      <x:c r="C277" s="69">
        <x:v>-73.6705902436405</x:v>
      </x:c>
      <x:c r="D277" s="80"/>
      <x:c r="E277" s="82"/>
    </x:row>
    <x:row r="278" ht="23" customHeight="1">
      <x:c r="A278" s="21" t="s">
        <x:v>485</x:v>
      </x:c>
      <x:c r="B278" s="46">
        <x:v>42.7310007331516</x:v>
      </x:c>
      <x:c r="C278" s="66">
        <x:v>-73.6706029767344</x:v>
      </x:c>
      <x:c r="D278" s="80"/>
      <x:c r="E278" s="82"/>
    </x:row>
    <x:row r="279" ht="23" customHeight="1">
      <x:c r="A279" s="24" t="s">
        <x:v>486</x:v>
      </x:c>
      <x:c r="B279" s="54">
        <x:v>42.7314030627455</x:v>
      </x:c>
      <x:c r="C279" s="69">
        <x:v>-73.6704501796078</x:v>
      </x:c>
      <x:c r="D279" s="80"/>
      <x:c r="E279" s="82"/>
    </x:row>
    <x:row r="280" ht="23" customHeight="1">
      <x:c r="A280" s="21" t="s">
        <x:v>487</x:v>
      </x:c>
      <x:c r="B280" s="46">
        <x:v>42.7314697345067</x:v>
      </x:c>
      <x:c r="C280" s="66">
        <x:v>-73.6708210309671</x:v>
      </x:c>
      <x:c r="D280" s="80"/>
      <x:c r="E280" s="82"/>
    </x:row>
    <x:row r="281" ht="23" customHeight="1">
      <x:c r="A281" s="24" t="s">
        <x:v>488</x:v>
      </x:c>
      <x:c r="B281" s="54">
        <x:v>42.731563994583</x:v>
      </x:c>
      <x:c r="C281" s="69">
        <x:v>-73.6708894713467</x:v>
      </x:c>
      <x:c r="D281" s="80"/>
      <x:c r="E281" s="82"/>
    </x:row>
    <x:row r="282" ht="23" customHeight="1">
      <x:c r="A282" s="21" t="s">
        <x:v>489</x:v>
      </x:c>
      <x:c r="B282" s="46">
        <x:v>42.7316053770555</x:v>
      </x:c>
      <x:c r="C282" s="66">
        <x:v>-73.6704597294282</x:v>
      </x:c>
      <x:c r="D282" s="80"/>
      <x:c r="E282" s="82"/>
    </x:row>
    <x:row r="283" ht="23" customHeight="1">
      <x:c r="A283" s="24" t="s">
        <x:v>490</x:v>
      </x:c>
      <x:c r="B283" s="54">
        <x:v>42.7318605689693</x:v>
      </x:c>
      <x:c r="C283" s="69">
        <x:v>-73.6703053406649</x:v>
      </x:c>
      <x:c r="D283" s="80"/>
      <x:c r="E283" s="82"/>
    </x:row>
    <x:row r="284" ht="23" customHeight="1">
      <x:c r="A284" s="21" t="s">
        <x:v>491</x:v>
      </x:c>
      <x:c r="B284" s="46">
        <x:v>42.7320697803581</x:v>
      </x:c>
      <x:c r="C284" s="66">
        <x:v>-73.6706093432813</x:v>
      </x:c>
      <x:c r="D284" s="80"/>
      <x:c r="E284" s="82"/>
    </x:row>
    <x:row r="285" ht="23" customHeight="1">
      <x:c r="A285" s="24" t="s">
        <x:v>492</x:v>
      </x:c>
      <x:c r="B285" s="54">
        <x:v>42.7322870383388</x:v>
      </x:c>
      <x:c r="C285" s="69">
        <x:v>-73.67068574184459</x:v>
      </x:c>
      <x:c r="D285" s="80"/>
      <x:c r="E285" s="82"/>
    </x:row>
    <x:row r="286" ht="23" customHeight="1">
      <x:c r="A286" s="21" t="s">
        <x:v>493</x:v>
      </x:c>
      <x:c r="B286" s="46">
        <x:v>42.7321088638044</x:v>
      </x:c>
      <x:c r="C286" s="66">
        <x:v>-73.6712650976162</x:v>
      </x:c>
      <x:c r="D286" s="80"/>
      <x:c r="E286" s="82"/>
    </x:row>
    <x:row r="287" ht="23" customHeight="1">
      <x:c r="A287" s="24" t="s">
        <x:v>494</x:v>
      </x:c>
      <x:c r="B287" s="54">
        <x:v>42.7323376169163</x:v>
      </x:c>
      <x:c r="C287" s="69">
        <x:v>-73.6712014321468</x:v>
      </x:c>
      <x:c r="D287" s="80"/>
      <x:c r="E287" s="82"/>
    </x:row>
    <x:row r="288" ht="23" customHeight="1">
      <x:c r="A288" s="21" t="s">
        <x:v>495</x:v>
      </x:c>
      <x:c r="B288" s="46">
        <x:v>42.7321456482244</x:v>
      </x:c>
      <x:c r="C288" s="66">
        <x:v>-73.67166459843681</x:v>
      </x:c>
      <x:c r="D288" s="80"/>
      <x:c r="E288" s="82"/>
    </x:row>
    <x:row r="289" ht="23" customHeight="1">
      <x:c r="A289" s="24" t="s">
        <x:v>496</x:v>
      </x:c>
      <x:c r="B289" s="54">
        <x:v>42.7314605384017</x:v>
      </x:c>
      <x:c r="C289" s="69">
        <x:v>-73.67110275066921</x:v>
      </x:c>
      <x:c r="D289" s="80"/>
      <x:c r="E289" s="82"/>
    </x:row>
    <x:row r="290" ht="23" customHeight="1">
      <x:c r="A290" s="21" t="s">
        <x:v>497</x:v>
      </x:c>
      <x:c r="B290" s="46">
        <x:v>42.7315444528599</x:v>
      </x:c>
      <x:c r="C290" s="66">
        <x:v>-73.67183808684091</x:v>
      </x:c>
      <x:c r="D290" s="80"/>
      <x:c r="E290" s="82"/>
    </x:row>
    <x:row r="291" ht="23" customHeight="1">
      <x:c r="A291" s="24" t="s">
        <x:v>498</x:v>
      </x:c>
      <x:c r="B291" s="54">
        <x:v>42.7325410807395</x:v>
      </x:c>
      <x:c r="C291" s="69">
        <x:v>-73.670178009726</x:v>
      </x:c>
      <x:c r="D291" s="80"/>
      <x:c r="E291" s="82"/>
    </x:row>
    <x:row r="292" ht="23" customHeight="1">
      <x:c r="A292" s="21" t="s">
        <x:v>499</x:v>
      </x:c>
      <x:c r="B292" s="46">
        <x:v>42.7324767080045</x:v>
      </x:c>
      <x:c r="C292" s="66">
        <x:v>-73.6696066121381</x:v>
      </x:c>
      <x:c r="D292" s="80"/>
      <x:c r="E292" s="82"/>
    </x:row>
    <x:row r="293" ht="23" customHeight="1">
      <x:c r="A293" s="24" t="s">
        <x:v>500</x:v>
      </x:c>
      <x:c r="B293" s="54">
        <x:v>42.732315776167</x:v>
      </x:c>
      <x:c r="C293" s="69">
        <x:v>-73.6686293471826</x:v>
      </x:c>
      <x:c r="D293" s="80"/>
      <x:c r="E293" s="82"/>
    </x:row>
    <x:row r="294" ht="23" customHeight="1">
      <x:c r="A294" s="21" t="s">
        <x:v>501</x:v>
      </x:c>
      <x:c r="B294" s="46">
        <x:v>42.7317168798287</x:v>
      </x:c>
      <x:c r="C294" s="66">
        <x:v>-73.66882034359089</x:v>
      </x:c>
      <x:c r="D294" s="80"/>
      <x:c r="E294" s="82"/>
    </x:row>
    <x:row r="295" ht="23" customHeight="1">
      <x:c r="A295" s="24" t="s">
        <x:v>502</x:v>
      </x:c>
      <x:c r="B295" s="54">
        <x:v>42.7317732059718</x:v>
      </x:c>
      <x:c r="C295" s="69">
        <x:v>-73.66976418417489</x:v>
      </x:c>
      <x:c r="D295" s="80"/>
      <x:c r="E295" s="82"/>
    </x:row>
    <x:row r="296" ht="23" customHeight="1">
      <x:c r="A296" s="21" t="s">
        <x:v>503</x:v>
      </x:c>
      <x:c r="B296" s="46">
        <x:v>42.731361680273</x:v>
      </x:c>
      <x:c r="C296" s="66">
        <x:v>-73.6690590891012</x:v>
      </x:c>
      <x:c r="D296" s="80"/>
      <x:c r="E296" s="82"/>
    </x:row>
    <x:row r="297" ht="23" customHeight="1">
      <x:c r="A297" s="24" t="s">
        <x:v>504</x:v>
      </x:c>
      <x:c r="B297" s="54">
        <x:v>42.731490425743</x:v>
      </x:c>
      <x:c r="C297" s="69">
        <x:v>-73.6686707297378</x:v>
      </x:c>
      <x:c r="D297" s="80"/>
      <x:c r="E297" s="82"/>
    </x:row>
    <x:row r="298" ht="23" customHeight="1">
      <x:c r="A298" s="21" t="s">
        <x:v>505</x:v>
      </x:c>
      <x:c r="B298" s="46">
        <x:v>42.7315846858193</x:v>
      </x:c>
      <x:c r="C298" s="66">
        <x:v>-73.6688967421542</x:v>
      </x:c>
      <x:c r="D298" s="80"/>
      <x:c r="E298" s="82"/>
    </x:row>
    <x:row r="299" ht="23" customHeight="1">
      <x:c r="A299" s="24" t="s">
        <x:v>506</x:v>
      </x:c>
      <x:c r="B299" s="54">
        <x:v>42.7311202825166</x:v>
      </x:c>
      <x:c r="C299" s="69">
        <x:v>-73.6690368061869</x:v>
      </x:c>
      <x:c r="D299" s="80"/>
      <x:c r="E299" s="82"/>
    </x:row>
    <x:row r="300" ht="23" customHeight="1">
      <x:c r="A300" s="21" t="s">
        <x:v>507</x:v>
      </x:c>
      <x:c r="B300" s="46">
        <x:v>42.7312421309079</x:v>
      </x:c>
      <x:c r="C300" s="66">
        <x:v>-73.6695365801217</x:v>
      </x:c>
      <x:c r="D300" s="80"/>
      <x:c r="E300" s="82"/>
    </x:row>
    <x:row r="301" ht="23" customHeight="1">
      <x:c r="A301" s="24" t="s">
        <x:v>508</x:v>
      </x:c>
      <x:c r="B301" s="54">
        <x:v>42.7312766163017</x:v>
      </x:c>
      <x:c r="C301" s="69">
        <x:v>-73.6701334438975</x:v>
      </x:c>
      <x:c r="D301" s="80"/>
      <x:c r="E301" s="82"/>
    </x:row>
    <x:row r="302" ht="23" customHeight="1">
      <x:c r="A302" s="21" t="s">
        <x:v>509</x:v>
      </x:c>
      <x:c r="B302" s="46">
        <x:v>42.7308489974191</x:v>
      </x:c>
      <x:c r="C302" s="66">
        <x:v>-73.670184376273</x:v>
      </x:c>
      <x:c r="D302" s="80"/>
      <x:c r="E302" s="82"/>
    </x:row>
    <x:row r="303" ht="23" customHeight="1">
      <x:c r="A303" s="24" t="s">
        <x:v>510</x:v>
      </x:c>
      <x:c r="B303" s="54">
        <x:v>42.7309087721016</x:v>
      </x:c>
      <x:c r="C303" s="69">
        <x:v>-73.669132304391</x:v>
      </x:c>
      <x:c r="D303" s="80"/>
      <x:c r="E303" s="82"/>
    </x:row>
    <x:row r="304" ht="23" customHeight="1">
      <x:c r="A304" s="21" t="s">
        <x:v>511</x:v>
      </x:c>
      <x:c r="B304" s="46">
        <x:v>42.7305294327702</x:v>
      </x:c>
      <x:c r="C304" s="66">
        <x:v>-73.66858159808061</x:v>
      </x:c>
      <x:c r="D304" s="80"/>
      <x:c r="E304" s="82"/>
    </x:row>
    <x:row r="305" ht="23" customHeight="1">
      <x:c r="A305" s="24" t="s">
        <x:v>512</x:v>
      </x:c>
      <x:c r="B305" s="54">
        <x:v>42.7307076073047</x:v>
      </x:c>
      <x:c r="C305" s="69">
        <x:v>-73.66829987837841</x:v>
      </x:c>
      <x:c r="D305" s="80"/>
      <x:c r="E305" s="82"/>
    </x:row>
    <x:row r="306" ht="23" customHeight="1">
      <x:c r="A306" s="21" t="s">
        <x:v>513</x:v>
      </x:c>
      <x:c r="B306" s="46">
        <x:v>42.7312536260392</x:v>
      </x:c>
      <x:c r="C306" s="66">
        <x:v>-73.66808341578241</x:v>
      </x:c>
      <x:c r="D306" s="80"/>
      <x:c r="E306" s="82"/>
    </x:row>
    <x:row r="307" ht="23" customHeight="1">
      <x:c r="A307" s="24" t="s">
        <x:v>514</x:v>
      </x:c>
      <x:c r="B307" s="54">
        <x:v>42.7321801336182</x:v>
      </x:c>
      <x:c r="C307" s="69">
        <x:v>-73.6681900554437</x:v>
      </x:c>
      <x:c r="D307" s="80"/>
      <x:c r="E307" s="82"/>
    </x:row>
    <x:row r="308" ht="23" customHeight="1">
      <x:c r="A308" s="21" t="s">
        <x:v>515</x:v>
      </x:c>
      <x:c r="B308" s="46">
        <x:v>42.7323778498757</x:v>
      </x:c>
      <x:c r="C308" s="66">
        <x:v>-73.66813593979469</x:v>
      </x:c>
      <x:c r="D308" s="80"/>
      <x:c r="E308" s="82"/>
    </x:row>
    <x:row r="309" ht="23" customHeight="1">
      <x:c r="A309" s="24" t="s">
        <x:v>516</x:v>
      </x:c>
      <x:c r="B309" s="54">
        <x:v>42.732426129427</x:v>
      </x:c>
      <x:c r="C309" s="69">
        <x:v>-73.6685147493377</x:v>
      </x:c>
      <x:c r="D309" s="80"/>
      <x:c r="E309" s="82"/>
    </x:row>
    <x:row r="310" ht="23" customHeight="1">
      <x:c r="A310" s="21" t="s">
        <x:v>517</x:v>
      </x:c>
      <x:c r="B310" s="46">
        <x:v>42.7308432498534</x:v>
      </x:c>
      <x:c r="C310" s="66">
        <x:v>-73.6670424853576</x:v>
      </x:c>
      <x:c r="D310" s="80"/>
      <x:c r="E310" s="82"/>
    </x:row>
    <x:row r="311" ht="23" customHeight="1">
      <x:c r="A311" s="24" t="s">
        <x:v>518</x:v>
      </x:c>
      <x:c r="B311" s="54">
        <x:v>42.7297650065419</x:v>
      </x:c>
      <x:c r="C311" s="69">
        <x:v>-73.66749291855361</x:v>
      </x:c>
      <x:c r="D311" s="80"/>
      <x:c r="E311" s="82"/>
    </x:row>
    <x:row r="312" ht="23" customHeight="1">
      <x:c r="A312" s="21" t="s">
        <x:v>519</x:v>
      </x:c>
      <x:c r="B312" s="46">
        <x:v>42.7290189725236</x:v>
      </x:c>
      <x:c r="C312" s="66">
        <x:v>-73.6680881906926</x:v>
      </x:c>
      <x:c r="D312" s="80"/>
      <x:c r="E312" s="82"/>
    </x:row>
    <x:row r="313" ht="23" customHeight="1">
      <x:c r="A313" s="24" t="s">
        <x:v>520</x:v>
      </x:c>
      <x:c r="B313" s="54">
        <x:v>42.728885629001</x:v>
      </x:c>
      <x:c r="C313" s="69">
        <x:v>-73.6680881906926</x:v>
      </x:c>
      <x:c r="D313" s="80"/>
      <x:c r="E313" s="82"/>
    </x:row>
    <x:row r="314" ht="23" customHeight="1">
      <x:c r="A314" s="21" t="s">
        <x:v>521</x:v>
      </x:c>
      <x:c r="B314" s="46">
        <x:v>42.7309271643116</x:v>
      </x:c>
      <x:c r="C314" s="66">
        <x:v>-73.6668196562146</x:v>
      </x:c>
      <x:c r="D314" s="80"/>
      <x:c r="E314" s="82"/>
    </x:row>
    <x:row r="315" ht="23" customHeight="1">
      <x:c r="A315" s="24" t="s">
        <x:v>522</x:v>
      </x:c>
      <x:c r="B315" s="54">
        <x:v>42.7307363451328</x:v>
      </x:c>
      <x:c r="C315" s="69">
        <x:v>-73.6663803644757</x:v>
      </x:c>
      <x:c r="D315" s="80"/>
      <x:c r="E315" s="82"/>
    </x:row>
    <x:row r="316" ht="23" customHeight="1">
      <x:c r="A316" s="21" t="s">
        <x:v>523</x:v>
      </x:c>
      <x:c r="B316" s="46">
        <x:v>42.7305236852046</x:v>
      </x:c>
      <x:c r="C316" s="66">
        <x:v>-73.66641378884719</x:v>
      </x:c>
      <x:c r="D316" s="80"/>
      <x:c r="E316" s="82"/>
    </x:row>
    <x:row r="317" ht="23" customHeight="1">
      <x:c r="A317" s="24" t="s">
        <x:v>524</x:v>
      </x:c>
      <x:c r="B317" s="54">
        <x:v>42.7314180064161</x:v>
      </x:c>
      <x:c r="C317" s="69">
        <x:v>-73.6663214739165</x:v>
      </x:c>
      <x:c r="D317" s="80"/>
      <x:c r="E317" s="82"/>
    </x:row>
    <x:row r="318" ht="23" customHeight="1">
      <x:c r="A318" s="21" t="s">
        <x:v>525</x:v>
      </x:c>
      <x:c r="B318" s="46">
        <x:v>42.7320008095706</x:v>
      </x:c>
      <x:c r="C318" s="66">
        <x:v>-73.66773803061091</x:v>
      </x:c>
      <x:c r="D318" s="80"/>
      <x:c r="E318" s="82"/>
    </x:row>
    <x:row r="319" ht="23" customHeight="1">
      <x:c r="A319" s="24" t="s">
        <x:v>526</x:v>
      </x:c>
      <x:c r="B319" s="54">
        <x:v>42.7313605307598</x:v>
      </x:c>
      <x:c r="C319" s="69">
        <x:v>-73.66827918710089</x:v>
      </x:c>
      <x:c r="D319" s="80"/>
      <x:c r="E319" s="82"/>
    </x:row>
    <x:row r="320" ht="23" customHeight="1">
      <x:c r="A320" s="21" t="s">
        <x:v>527</x:v>
      </x:c>
      <x:c r="B320" s="46">
        <x:v>42.7313030551036</x:v>
      </x:c>
      <x:c r="C320" s="66">
        <x:v>-73.6678160208109</x:v>
      </x:c>
      <x:c r="D320" s="80"/>
      <x:c r="E320" s="82"/>
    </x:row>
    <x:row r="321" ht="23" customHeight="1">
      <x:c r="A321" s="24" t="s">
        <x:v>528</x:v>
      </x:c>
      <x:c r="B321" s="54">
        <x:v>42.7318053923393</x:v>
      </x:c>
      <x:c r="C321" s="69">
        <x:v>-73.6672875974148</x:v>
      </x:c>
      <x:c r="D321" s="80"/>
      <x:c r="E321" s="82"/>
    </x:row>
    <x:row r="322" ht="23" customHeight="1">
      <x:c r="A322" s="21" t="s">
        <x:v>529</x:v>
      </x:c>
      <x:c r="B322" s="46">
        <x:v>42.7313168492611</x:v>
      </x:c>
      <x:c r="C322" s="66">
        <x:v>-73.6669151544188</x:v>
      </x:c>
      <x:c r="D322" s="80"/>
      <x:c r="E322" s="82"/>
    </x:row>
    <x:row r="323" ht="23" customHeight="1">
      <x:c r="A323" s="24" t="s">
        <x:v>530</x:v>
      </x:c>
      <x:c r="B323" s="54">
        <x:v>42.7338342830055</x:v>
      </x:c>
      <x:c r="C323" s="69">
        <x:v>-73.6676870982354</x:v>
      </x:c>
      <x:c r="D323" s="80"/>
      <x:c r="E323" s="82"/>
    </x:row>
    <x:row r="324" ht="23" customHeight="1">
      <x:c r="A324" s="21" t="s">
        <x:v>531</x:v>
      </x:c>
      <x:c r="B324" s="46">
        <x:v>42.7337515180605</x:v>
      </x:c>
      <x:c r="C324" s="66">
        <x:v>-73.6671968741209</x:v>
      </x:c>
      <x:c r="D324" s="80"/>
      <x:c r="E324" s="82"/>
    </x:row>
    <x:row r="325" ht="23" customHeight="1">
      <x:c r="A325" s="24" t="s">
        <x:v>532</x:v>
      </x:c>
      <x:c r="B325" s="54">
        <x:v>42.7326824708539</x:v>
      </x:c>
      <x:c r="C325" s="69">
        <x:v>-73.6674563109087</x:v>
      </x:c>
      <x:c r="D325" s="80"/>
      <x:c r="E325" s="82"/>
    </x:row>
    <x:row r="326" ht="23" customHeight="1">
      <x:c r="A326" s="21" t="s">
        <x:v>533</x:v>
      </x:c>
      <x:c r="B326" s="46">
        <x:v>42.7325249875558</x:v>
      </x:c>
      <x:c r="C326" s="66">
        <x:v>-73.6665124703247</x:v>
      </x:c>
      <x:c r="D326" s="80"/>
      <x:c r="E326" s="82"/>
    </x:row>
    <x:row r="327" ht="23" customHeight="1">
      <x:c r="A327" s="24" t="s">
        <x:v>534</x:v>
      </x:c>
      <x:c r="B327" s="54">
        <x:v>42.7336032308673</x:v>
      </x:c>
      <x:c r="C327" s="69">
        <x:v>-73.6661575353328</x:v>
      </x:c>
      <x:c r="D327" s="80"/>
      <x:c r="E327" s="82"/>
    </x:row>
    <x:row r="328" ht="23" customHeight="1">
      <x:c r="A328" s="21" t="s">
        <x:v>535</x:v>
      </x:c>
      <x:c r="B328" s="46">
        <x:v>42.7316502080674</x:v>
      </x:c>
      <x:c r="C328" s="66">
        <x:v>-73.6667925983901</x:v>
      </x:c>
      <x:c r="D328" s="80"/>
      <x:c r="E328" s="82"/>
    </x:row>
    <x:row r="329" ht="23" customHeight="1">
      <x:c r="A329" s="24" t="s">
        <x:v>536</x:v>
      </x:c>
      <x:c r="B329" s="54">
        <x:v>42.7321502462769</x:v>
      </x:c>
      <x:c r="C329" s="69">
        <x:v>-73.665597279202</x:v>
      </x:c>
      <x:c r="D329" s="80"/>
      <x:c r="E329" s="82"/>
    </x:row>
    <x:row r="330" ht="23" customHeight="1">
      <x:c r="A330" s="21" t="s">
        <x:v>537</x:v>
      </x:c>
      <x:c r="B330" s="46">
        <x:v>42.7328284590208</x:v>
      </x:c>
      <x:c r="C330" s="66">
        <x:v>-73.6647616699159</x:v>
      </x:c>
      <x:c r="D330" s="80"/>
      <x:c r="E330" s="82"/>
    </x:row>
    <x:row r="331" ht="23" customHeight="1">
      <x:c r="A331" s="24" t="s">
        <x:v>538</x:v>
      </x:c>
      <x:c r="B331" s="54">
        <x:v>42.7329204200709</x:v>
      </x:c>
      <x:c r="C331" s="69">
        <x:v>-73.665350575508</x:v>
      </x:c>
      <x:c r="D331" s="80"/>
      <x:c r="E331" s="82"/>
    </x:row>
    <x:row r="332" ht="23" customHeight="1">
      <x:c r="A332" s="21" t="s">
        <x:v>539</x:v>
      </x:c>
      <x:c r="B332" s="46">
        <x:v>42.7330123811209</x:v>
      </x:c>
      <x:c r="C332" s="66">
        <x:v>-73.6656880024959</x:v>
      </x:c>
      <x:c r="D332" s="80"/>
      <x:c r="E332" s="82"/>
    </x:row>
    <x:row r="333" ht="23" customHeight="1">
      <x:c r="A333" s="24" t="s">
        <x:v>540</x:v>
      </x:c>
      <x:c r="B333" s="54">
        <x:v>42.7330491655409</x:v>
      </x:c>
      <x:c r="C333" s="69">
        <x:v>-73.6659617640143</x:v>
      </x:c>
      <x:c r="D333" s="80"/>
      <x:c r="E333" s="82"/>
    </x:row>
    <x:row r="334" ht="23" customHeight="1">
      <x:c r="A334" s="21" t="s">
        <x:v>541</x:v>
      </x:c>
      <x:c r="B334" s="46">
        <x:v>42.7330376704096</x:v>
      </x:c>
      <x:c r="C334" s="66">
        <x:v>-73.6660827284062</x:v>
      </x:c>
      <x:c r="D334" s="80"/>
      <x:c r="E334" s="82"/>
    </x:row>
    <x:row r="335" ht="23" customHeight="1">
      <x:c r="A335" s="24" t="s">
        <x:v>542</x:v>
      </x:c>
      <x:c r="B335" s="54">
        <x:v>42.7324951002145</x:v>
      </x:c>
      <x:c r="C335" s="69">
        <x:v>-73.6662450753532</x:v>
      </x:c>
      <x:c r="D335" s="80"/>
      <x:c r="E335" s="82"/>
    </x:row>
    <x:row r="336" ht="23" customHeight="1">
      <x:c r="A336" s="21" t="s">
        <x:v>543</x:v>
      </x:c>
      <x:c r="B336" s="46">
        <x:v>42.7335997823279</x:v>
      </x:c>
      <x:c r="C336" s="66">
        <x:v>-73.6658598992633</x:v>
      </x:c>
      <x:c r="D336" s="80"/>
      <x:c r="E336" s="82"/>
    </x:row>
    <x:row r="337" ht="23" customHeight="1">
      <x:c r="A337" s="24" t="s">
        <x:v>544</x:v>
      </x:c>
      <x:c r="B337" s="54">
        <x:v>42.7339273935686</x:v>
      </x:c>
      <x:c r="C337" s="69">
        <x:v>-73.6634040037808</x:v>
      </x:c>
      <x:c r="D337" s="80"/>
      <x:c r="E337" s="82"/>
    </x:row>
    <x:row r="338" ht="23" customHeight="1">
      <x:c r="A338" s="21" t="s">
        <x:v>545</x:v>
      </x:c>
      <x:c r="B338" s="46">
        <x:v>42.7334032155835</x:v>
      </x:c>
      <x:c r="C338" s="66">
        <x:v>-73.66507999726301</x:v>
      </x:c>
      <x:c r="D338" s="80"/>
      <x:c r="E338" s="82"/>
    </x:row>
    <x:row r="339" ht="23" customHeight="1">
      <x:c r="A339" s="24" t="s">
        <x:v>546</x:v>
      </x:c>
      <x:c r="B339" s="54">
        <x:v>42.7339319916211</x:v>
      </x:c>
      <x:c r="C339" s="69">
        <x:v>-73.6649558495976</x:v>
      </x:c>
      <x:c r="D339" s="80"/>
      <x:c r="E339" s="82"/>
    </x:row>
    <x:row r="340" ht="23" customHeight="1">
      <x:c r="A340" s="21" t="s">
        <x:v>547</x:v>
      </x:c>
      <x:c r="B340" s="46">
        <x:v>42.734260752375</x:v>
      </x:c>
      <x:c r="C340" s="66">
        <x:v>-73.6644863167607</x:v>
      </x:c>
      <x:c r="D340" s="80"/>
      <x:c r="E340" s="82"/>
    </x:row>
    <x:row r="341" ht="23" customHeight="1">
      <x:c r="A341" s="24" t="s">
        <x:v>548</x:v>
      </x:c>
      <x:c r="B341" s="54">
        <x:v>42.7346527363507</x:v>
      </x:c>
      <x:c r="C341" s="69">
        <x:v>-73.66439559346681</x:v>
      </x:c>
      <x:c r="D341" s="80"/>
      <x:c r="E341" s="82"/>
    </x:row>
    <x:row r="342" ht="23" customHeight="1">
      <x:c r="A342" s="21" t="s">
        <x:v>549</x:v>
      </x:c>
      <x:c r="B342" s="46">
        <x:v>42.734481458895</x:v>
      </x:c>
      <x:c r="C342" s="66">
        <x:v>-73.6631875411848</x:v>
      </x:c>
      <x:c r="D342" s="80"/>
      <x:c r="E342" s="82"/>
    </x:row>
    <x:row r="343" ht="23" customHeight="1">
      <x:c r="A343" s="24" t="s">
        <x:v>550</x:v>
      </x:c>
      <x:c r="B343" s="54">
        <x:v>42.7355872905216</x:v>
      </x:c>
      <x:c r="C343" s="69">
        <x:v>-73.6642841788954</x:v>
      </x:c>
      <x:c r="D343" s="80"/>
      <x:c r="E343" s="82"/>
    </x:row>
    <x:row r="344" ht="23" customHeight="1">
      <x:c r="A344" s="21" t="s">
        <x:v>551</x:v>
      </x:c>
      <x:c r="B344" s="46">
        <x:v>42.7355148711947</x:v>
      </x:c>
      <x:c r="C344" s="66">
        <x:v>-73.6635201932624</x:v>
      </x:c>
      <x:c r="D344" s="80"/>
      <x:c r="E344" s="82"/>
    </x:row>
    <x:row r="345" ht="23" customHeight="1">
      <x:c r="A345" s="24" t="s">
        <x:v>552</x:v>
      </x:c>
      <x:c r="B345" s="54">
        <x:v>42.7355298148653</x:v>
      </x:c>
      <x:c r="C345" s="69">
        <x:v>-73.6638305624258</x:v>
      </x:c>
      <x:c r="D345" s="80"/>
      <x:c r="E345" s="82"/>
    </x:row>
    <x:row r="346" ht="23" customHeight="1">
      <x:c r="A346" s="21" t="s">
        <x:v>553</x:v>
      </x:c>
      <x:c r="B346" s="46">
        <x:v>42.7353780791328</x:v>
      </x:c>
      <x:c r="C346" s="66">
        <x:v>-73.66385443697681</x:v>
      </x:c>
      <x:c r="D346" s="80"/>
      <x:c r="E346" s="82"/>
    </x:row>
    <x:row r="347" ht="23" customHeight="1">
      <x:c r="A347" s="24" t="s">
        <x:v>554</x:v>
      </x:c>
      <x:c r="B347" s="54">
        <x:v>42.7354378538153</x:v>
      </x:c>
      <x:c r="C347" s="69">
        <x:v>-73.6632177822827</x:v>
      </x:c>
      <x:c r="D347" s="80"/>
      <x:c r="E347" s="82"/>
    </x:row>
    <x:row r="348" ht="23" customHeight="1">
      <x:c r="A348" s="21" t="s">
        <x:v>555</x:v>
      </x:c>
      <x:c r="B348" s="46">
        <x:v>42.7352918656484</x:v>
      </x:c>
      <x:c r="C348" s="66">
        <x:v>-73.6632384735603</x:v>
      </x:c>
      <x:c r="D348" s="80"/>
      <x:c r="E348" s="82"/>
    </x:row>
    <x:row r="349" ht="23" customHeight="1">
      <x:c r="A349" s="24" t="s">
        <x:v>556</x:v>
      </x:c>
      <x:c r="B349" s="54">
        <x:v>42.7353389956865</x:v>
      </x:c>
      <x:c r="C349" s="69">
        <x:v>-73.6635615758176</x:v>
      </x:c>
      <x:c r="D349" s="80"/>
      <x:c r="E349" s="82"/>
    </x:row>
    <x:row r="350" ht="23" customHeight="1">
      <x:c r="A350" s="21" t="s">
        <x:v>557</x:v>
      </x:c>
      <x:c r="B350" s="46">
        <x:v>42.7349665534339</x:v>
      </x:c>
      <x:c r="C350" s="66">
        <x:v>-73.6633642128624</x:v>
      </x:c>
      <x:c r="D350" s="80"/>
      <x:c r="E350" s="82"/>
    </x:row>
    <x:row r="351" ht="23" customHeight="1">
      <x:c r="A351" s="24" t="s">
        <x:v>558</x:v>
      </x:c>
      <x:c r="B351" s="54">
        <x:v>42.7351010464696</x:v>
      </x:c>
      <x:c r="C351" s="69">
        <x:v>-73.6638974111687</x:v>
      </x:c>
      <x:c r="D351" s="80"/>
      <x:c r="E351" s="82"/>
    </x:row>
    <x:row r="352" ht="23" customHeight="1">
      <x:c r="A352" s="21" t="s">
        <x:v>559</x:v>
      </x:c>
      <x:c r="B352" s="46">
        <x:v>42.7354033684215</x:v>
      </x:c>
      <x:c r="C352" s="66">
        <x:v>-73.66292492112341</x:v>
      </x:c>
      <x:c r="D352" s="80"/>
      <x:c r="E352" s="82"/>
    </x:row>
    <x:row r="353" ht="23" customHeight="1">
      <x:c r="A353" s="24" t="s">
        <x:v>560</x:v>
      </x:c>
      <x:c r="B353" s="54">
        <x:v>42.7327433950496</x:v>
      </x:c>
      <x:c r="C353" s="69">
        <x:v>-73.6683269362029</x:v>
      </x:c>
      <x:c r="D353" s="80"/>
      <x:c r="E353" s="82"/>
    </x:row>
    <x:row r="354" ht="23" customHeight="1">
      <x:c r="A354" s="21" t="s">
        <x:v>561</x:v>
      </x:c>
      <x:c r="B354" s="46">
        <x:v>42.7339319916211</x:v>
      </x:c>
      <x:c r="C354" s="66">
        <x:v>-73.6657325683245</x:v>
      </x:c>
      <x:c r="D354" s="80"/>
      <x:c r="E354" s="82"/>
    </x:row>
    <x:row r="355" ht="23" customHeight="1">
      <x:c r="A355" s="24" t="s">
        <x:v>562</x:v>
      </x:c>
      <x:c r="B355" s="54">
        <x:v>42.7339986633824</x:v>
      </x:c>
      <x:c r="C355" s="69">
        <x:v>-73.6661718600634</x:v>
      </x:c>
      <x:c r="D355" s="80"/>
      <x:c r="E355" s="82"/>
    </x:row>
    <x:row r="356" ht="23" customHeight="1">
      <x:c r="A356" s="21" t="s">
        <x:v>563</x:v>
      </x:c>
      <x:c r="B356" s="46">
        <x:v>42.7348860875151</x:v>
      </x:c>
      <x:c r="C356" s="66">
        <x:v>-73.6659553974674</x:v>
      </x:c>
      <x:c r="D356" s="80"/>
      <x:c r="E356" s="82"/>
    </x:row>
    <x:row r="357" ht="23" customHeight="1">
      <x:c r="A357" s="24" t="s">
        <x:v>564</x:v>
      </x:c>
      <x:c r="B357" s="54">
        <x:v>42.7357884553185</x:v>
      </x:c>
      <x:c r="C357" s="69">
        <x:v>-73.66570073558979</x:v>
      </x:c>
      <x:c r="D357" s="80"/>
      <x:c r="E357" s="82"/>
    </x:row>
    <x:row r="358" ht="23" customHeight="1">
      <x:c r="A358" s="21" t="s">
        <x:v>565</x:v>
      </x:c>
      <x:c r="B358" s="46">
        <x:v>42.735958583261</x:v>
      </x:c>
      <x:c r="C358" s="66">
        <x:v>-73.6669422122433</x:v>
      </x:c>
      <x:c r="D358" s="80"/>
      <x:c r="E358" s="82"/>
    </x:row>
    <x:row r="359" ht="23" customHeight="1">
      <x:c r="A359" s="24" t="s">
        <x:v>566</x:v>
      </x:c>
      <x:c r="B359" s="54">
        <x:v>42.7350746076677</x:v>
      </x:c>
      <x:c r="C359" s="69">
        <x:v>-73.66720483230461</x:v>
      </x:c>
      <x:c r="D359" s="80"/>
      <x:c r="E359" s="82"/>
    </x:row>
    <x:row r="360" ht="23" customHeight="1">
      <x:c r="A360" s="21" t="s">
        <x:v>567</x:v>
      </x:c>
      <x:c r="B360" s="46">
        <x:v>42.7348171167276</x:v>
      </x:c>
      <x:c r="C360" s="66">
        <x:v>-73.66548427299379</x:v>
      </x:c>
      <x:c r="D360" s="80"/>
      <x:c r="E360" s="82"/>
    </x:row>
    <x:row r="361" ht="23" customHeight="1">
      <x:c r="A361" s="24" t="s">
        <x:v>568</x:v>
      </x:c>
      <x:c r="B361" s="54">
        <x:v>42.7338975062274</x:v>
      </x:c>
      <x:c r="C361" s="69">
        <x:v>-73.66531874277329</x:v>
      </x:c>
      <x:c r="D361" s="80"/>
      <x:c r="E361" s="82"/>
    </x:row>
    <x:row r="362" ht="23" customHeight="1">
      <x:c r="A362" s="21" t="s">
        <x:v>569</x:v>
      </x:c>
      <x:c r="B362" s="46">
        <x:v>42.7346159519307</x:v>
      </x:c>
      <x:c r="C362" s="66">
        <x:v>-73.66494948305071</x:v>
      </x:c>
      <x:c r="D362" s="80"/>
      <x:c r="E362" s="82"/>
    </x:row>
    <x:row r="363" ht="23" customHeight="1">
      <x:c r="A363" s="24" t="s">
        <x:v>570</x:v>
      </x:c>
      <x:c r="B363" s="54">
        <x:v>42.7356620088747</x:v>
      </x:c>
      <x:c r="C363" s="69">
        <x:v>-73.66493674995679</x:v>
      </x:c>
      <x:c r="D363" s="80"/>
      <x:c r="E363" s="82"/>
    </x:row>
    <x:row r="364" ht="23" customHeight="1">
      <x:c r="A364" s="21" t="s">
        <x:v>571</x:v>
      </x:c>
      <x:c r="B364" s="46">
        <x:v>42.736224120793</x:v>
      </x:c>
      <x:c r="C364" s="66">
        <x:v>-73.6638146460585</x:v>
      </x:c>
      <x:c r="D364" s="80"/>
      <x:c r="E364" s="82"/>
    </x:row>
    <x:row r="365" ht="23" customHeight="1">
      <x:c r="A365" s="24" t="s">
        <x:v>572</x:v>
      </x:c>
      <x:c r="B365" s="54">
        <x:v>42.7366678328594</x:v>
      </x:c>
      <x:c r="C365" s="69">
        <x:v>-73.6633928623236</x:v>
      </x:c>
      <x:c r="D365" s="80"/>
      <x:c r="E365" s="82"/>
    </x:row>
    <x:row r="366" ht="23" customHeight="1">
      <x:c r="A366" s="21" t="s">
        <x:v>573</x:v>
      </x:c>
      <x:c r="B366" s="46">
        <x:v>42.7377368800659</x:v>
      </x:c>
      <x:c r="C366" s="66">
        <x:v>-73.66645676303899</x:v>
      </x:c>
      <x:c r="D366" s="80"/>
      <x:c r="E366" s="82"/>
    </x:row>
    <x:row r="367" ht="23" customHeight="1">
      <x:c r="A367" s="24" t="s">
        <x:v>574</x:v>
      </x:c>
      <x:c r="B367" s="54">
        <x:v>42.7382311707098</x:v>
      </x:c>
      <x:c r="C367" s="69">
        <x:v>-73.67002998750969</x:v>
      </x:c>
      <x:c r="D367" s="80"/>
      <x:c r="E367" s="82"/>
    </x:row>
    <x:row r="368" ht="23" customHeight="1">
      <x:c r="A368" s="21" t="s">
        <x:v>575</x:v>
      </x:c>
      <x:c r="B368" s="46">
        <x:v>42.7368057744344</x:v>
      </x:c>
      <x:c r="C368" s="66">
        <x:v>-73.6703960639588</x:v>
      </x:c>
      <x:c r="D368" s="80"/>
      <x:c r="E368" s="82"/>
    </x:row>
    <x:row r="369" ht="23" customHeight="1">
      <x:c r="A369" s="24" t="s">
        <x:v>576</x:v>
      </x:c>
      <x:c r="B369" s="54">
        <x:v>42.7364183885112</x:v>
      </x:c>
      <x:c r="C369" s="69">
        <x:v>-73.67054886108539</x:v>
      </x:c>
      <x:c r="D369" s="80"/>
      <x:c r="E369" s="82"/>
    </x:row>
    <x:row r="370" ht="23" customHeight="1">
      <x:c r="A370" s="21" t="s">
        <x:v>577</x:v>
      </x:c>
      <x:c r="B370" s="46">
        <x:v>42.7345757189713</x:v>
      </x:c>
      <x:c r="C370" s="66">
        <x:v>-73.6710422684733</x:v>
      </x:c>
      <x:c r="D370" s="80"/>
      <x:c r="E370" s="82"/>
    </x:row>
    <x:row r="371" ht="23" customHeight="1">
      <x:c r="A371" s="24" t="s">
        <x:v>578</x:v>
      </x:c>
      <x:c r="B371" s="54">
        <x:v>42.7350125339589</x:v>
      </x:c>
      <x:c r="C371" s="69">
        <x:v>-73.67399316298049</x:v>
      </x:c>
      <x:c r="D371" s="80"/>
      <x:c r="E371" s="82"/>
    </x:row>
    <x:row r="372" ht="23" customHeight="1">
      <x:c r="A372" s="21" t="s">
        <x:v>579</x:v>
      </x:c>
      <x:c r="B372" s="46">
        <x:v>42.7342308650337</x:v>
      </x:c>
      <x:c r="C372" s="66">
        <x:v>-73.6742478248581</x:v>
      </x:c>
      <x:c r="D372" s="80"/>
      <x:c r="E372" s="82"/>
    </x:row>
    <x:row r="373" ht="23" customHeight="1">
      <x:c r="A373" s="24" t="s">
        <x:v>580</x:v>
      </x:c>
      <x:c r="B373" s="54">
        <x:v>42.7372195991595</x:v>
      </x:c>
      <x:c r="C373" s="69">
        <x:v>-73.6733978908415</x:v>
      </x:c>
      <x:c r="D373" s="80"/>
      <x:c r="E373" s="82"/>
    </x:row>
    <x:row r="374" ht="23" customHeight="1">
      <x:c r="A374" s="21" t="s">
        <x:v>581</x:v>
      </x:c>
      <x:c r="B374" s="46">
        <x:v>42.7352688753859</x:v>
      </x:c>
      <x:c r="C374" s="66">
        <x:v>-73.6759508761648</x:v>
      </x:c>
      <x:c r="D374" s="80"/>
      <x:c r="E374" s="82"/>
    </x:row>
    <x:row r="375" ht="23" customHeight="1">
      <x:c r="A375" s="24" t="s">
        <x:v>582</x:v>
      </x:c>
      <x:c r="B375" s="54">
        <x:v>42.738920878585</x:v>
      </x:c>
      <x:c r="C375" s="69">
        <x:v>-73.6749322286543</x:v>
      </x:c>
      <x:c r="D375" s="80"/>
      <x:c r="E375" s="82"/>
    </x:row>
    <x:row r="376" ht="23" customHeight="1">
      <x:c r="A376" s="21" t="s">
        <x:v>583</x:v>
      </x:c>
      <x:c r="B376" s="46">
        <x:v>42.7367540463438</x:v>
      </x:c>
      <x:c r="C376" s="66">
        <x:v>-73.669961547130</x:v>
      </x:c>
      <x:c r="D376" s="80"/>
      <x:c r="E376" s="82"/>
    </x:row>
    <x:row r="377" ht="23" customHeight="1">
      <x:c r="A377" s="24" t="s">
        <x:v>584</x:v>
      </x:c>
      <x:c r="B377" s="54">
        <x:v>42.7295615427187</x:v>
      </x:c>
      <x:c r="C377" s="69">
        <x:v>-73.6796275570233</x:v>
      </x:c>
      <x:c r="D377" s="80"/>
      <x:c r="E377" s="82"/>
    </x:row>
    <x:row r="378" ht="23" customHeight="1">
      <x:c r="A378" s="21" t="s">
        <x:v>585</x:v>
      </x:c>
      <x:c r="B378" s="46">
        <x:v>42.7304891998108</x:v>
      </x:c>
      <x:c r="C378" s="66">
        <x:v>-73.67771759294099</x:v>
      </x:c>
      <x:c r="D378" s="80"/>
      <x:c r="E378" s="82"/>
    </x:row>
    <x:row r="379" ht="15" customHeight="1">
      <x:c r="A379" s="60"/>
      <x:c r="B379" s="61"/>
      <x:c r="C379" s="61"/>
      <x:c r="D379" s="39"/>
      <x:c r="E379" s="4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2" width="64" style="86" customWidth="1"/>
    <x:col min="3" max="3" width="20" style="86" customWidth="1"/>
    <x:col min="4" max="4" width="8.85155963897705" style="86" customWidth="1"/>
    <x:col min="5" max="5" width="87" style="86" customWidth="1"/>
    <x:col min="6" max="16384" width="8.85155963897705" style="86" customWidth="1"/>
  </x:cols>
  <x:sheetData>
    <x:row r="1" ht="36" customHeight="1">
      <x:c r="A1" s="17" t="s">
        <x:v>1298</x:v>
      </x:c>
      <x:c r="B1" s="18" t="s">
        <x:v>1299</x:v>
      </x:c>
      <x:c r="C1" s="19" t="s">
        <x:v>1300</x:v>
      </x:c>
      <x:c r="D1" s="78"/>
      <x:c r="E1" s="79" t="s">
        <x:v>1284</x:v>
      </x:c>
    </x:row>
    <x:row r="2" ht="23" customHeight="1">
      <x:c r="A2" s="21" t="s">
        <x:v>215</x:v>
      </x:c>
      <x:c r="B2" s="45" t="s">
        <x:v>216</x:v>
      </x:c>
      <x:c r="C2" s="52" t="b">
        <x:v>1</x:v>
      </x:c>
      <x:c r="D2" s="80"/>
      <x:c r="E2" s="81" t="s">
        <x:v>1301</x:v>
      </x:c>
    </x:row>
    <x:row r="3" ht="23" customHeight="1">
      <x:c r="A3" s="24" t="s">
        <x:v>211</x:v>
      </x:c>
      <x:c r="B3" s="53" t="s">
        <x:v>216</x:v>
      </x:c>
      <x:c r="C3" s="57" t="b">
        <x:v>1</x:v>
      </x:c>
      <x:c r="D3" s="80"/>
      <x:c r="E3" s="82"/>
    </x:row>
    <x:row r="4" ht="23" customHeight="1">
      <x:c r="A4" s="21" t="s">
        <x:v>212</x:v>
      </x:c>
      <x:c r="B4" s="45" t="s">
        <x:v>211</x:v>
      </x:c>
      <x:c r="C4" s="52" t="b">
        <x:v>1</x:v>
      </x:c>
      <x:c r="D4" s="80"/>
      <x:c r="E4" s="81" t="s">
        <x:v>1286</x:v>
      </x:c>
    </x:row>
    <x:row r="5" ht="23" customHeight="1">
      <x:c r="A5" s="24" t="s">
        <x:v>212</x:v>
      </x:c>
      <x:c r="B5" s="53" t="s">
        <x:v>213</x:v>
      </x:c>
      <x:c r="C5" s="57" t="b">
        <x:v>1</x:v>
      </x:c>
      <x:c r="D5" s="80"/>
      <x:c r="E5" s="82"/>
    </x:row>
    <x:row r="6" ht="23" customHeight="1">
      <x:c r="A6" s="21" t="s">
        <x:v>214</x:v>
      </x:c>
      <x:c r="B6" s="45" t="s">
        <x:v>213</x:v>
      </x:c>
      <x:c r="C6" s="52" t="b">
        <x:v>1</x:v>
      </x:c>
      <x:c r="D6" s="80"/>
      <x:c r="E6" s="83" t="s">
        <x:v>1287</x:v>
      </x:c>
    </x:row>
    <x:row r="7" ht="23" customHeight="1">
      <x:c r="A7" s="24" t="s">
        <x:v>215</x:v>
      </x:c>
      <x:c r="B7" s="53" t="s">
        <x:v>218</x:v>
      </x:c>
      <x:c r="C7" s="57" t="b">
        <x:v>1</x:v>
      </x:c>
      <x:c r="D7" s="80"/>
      <x:c r="E7" s="81" t="s">
        <x:v>1302</x:v>
      </x:c>
    </x:row>
    <x:row r="8" ht="23" customHeight="1">
      <x:c r="A8" s="21" t="s">
        <x:v>217</x:v>
      </x:c>
      <x:c r="B8" s="45" t="s">
        <x:v>218</x:v>
      </x:c>
      <x:c r="C8" s="52" t="b">
        <x:v>1</x:v>
      </x:c>
      <x:c r="D8" s="80"/>
      <x:c r="E8" s="82"/>
    </x:row>
    <x:row r="9" ht="23" customHeight="1">
      <x:c r="A9" s="24" t="s">
        <x:v>220</x:v>
      </x:c>
      <x:c r="B9" s="53" t="s">
        <x:v>217</x:v>
      </x:c>
      <x:c r="C9" s="57" t="b">
        <x:v>1</x:v>
      </x:c>
      <x:c r="D9" s="80"/>
      <x:c r="E9" s="83" t="s">
        <x:v>1289</x:v>
      </x:c>
    </x:row>
    <x:row r="10" ht="48" customHeight="1">
      <x:c r="A10" s="21" t="s">
        <x:v>220</x:v>
      </x:c>
      <x:c r="B10" s="45" t="s">
        <x:v>219</x:v>
      </x:c>
      <x:c r="C10" s="52" t="b">
        <x:v>1</x:v>
      </x:c>
      <x:c r="D10" s="80"/>
      <x:c r="E10" s="84" t="s">
        <x:v>1303</x:v>
      </x:c>
    </x:row>
    <x:row r="11" ht="23" customHeight="1">
      <x:c r="A11" s="24" t="s">
        <x:v>208</x:v>
      </x:c>
      <x:c r="B11" s="53" t="s">
        <x:v>221</x:v>
      </x:c>
      <x:c r="C11" s="57" t="b">
        <x:v>1</x:v>
      </x:c>
      <x:c r="D11" s="80"/>
      <x:c r="E11" s="82"/>
    </x:row>
    <x:row r="12" ht="23" customHeight="1">
      <x:c r="A12" s="21" t="s">
        <x:v>216</x:v>
      </x:c>
      <x:c r="B12" s="45" t="s">
        <x:v>221</x:v>
      </x:c>
      <x:c r="C12" s="52" t="b">
        <x:v>1</x:v>
      </x:c>
      <x:c r="D12" s="80"/>
      <x:c r="E12" s="81" t="s">
        <x:v>1291</x:v>
      </x:c>
    </x:row>
    <x:row r="13" ht="23" customHeight="1">
      <x:c r="A13" s="24" t="s">
        <x:v>215</x:v>
      </x:c>
      <x:c r="B13" s="53" t="s">
        <x:v>222</x:v>
      </x:c>
      <x:c r="C13" s="57" t="b">
        <x:v>1</x:v>
      </x:c>
      <x:c r="D13" s="80"/>
      <x:c r="E13" s="82"/>
    </x:row>
    <x:row r="14" ht="23" customHeight="1">
      <x:c r="A14" s="21" t="s">
        <x:v>214</x:v>
      </x:c>
      <x:c r="B14" s="45" t="s">
        <x:v>222</x:v>
      </x:c>
      <x:c r="C14" s="52" t="b">
        <x:v>1</x:v>
      </x:c>
      <x:c r="D14" s="80"/>
      <x:c r="E14" s="81" t="s">
        <x:v>1292</x:v>
      </x:c>
    </x:row>
    <x:row r="15" ht="23" customHeight="1">
      <x:c r="A15" s="24" t="s">
        <x:v>217</x:v>
      </x:c>
      <x:c r="B15" s="53" t="s">
        <x:v>223</x:v>
      </x:c>
      <x:c r="C15" s="57" t="b">
        <x:v>1</x:v>
      </x:c>
      <x:c r="D15" s="80"/>
      <x:c r="E15" s="82"/>
    </x:row>
    <x:row r="16" ht="23" customHeight="1">
      <x:c r="A16" s="21" t="s">
        <x:v>224</x:v>
      </x:c>
      <x:c r="B16" s="45" t="s">
        <x:v>223</x:v>
      </x:c>
      <x:c r="C16" s="52" t="b">
        <x:v>1</x:v>
      </x:c>
      <x:c r="D16" s="80"/>
      <x:c r="E16" s="81" t="s">
        <x:v>1293</x:v>
      </x:c>
    </x:row>
    <x:row r="17" ht="23" customHeight="1">
      <x:c r="A17" s="24" t="s">
        <x:v>225</x:v>
      </x:c>
      <x:c r="B17" s="53" t="s">
        <x:v>224</x:v>
      </x:c>
      <x:c r="C17" s="57" t="b">
        <x:v>1</x:v>
      </x:c>
      <x:c r="D17" s="80"/>
      <x:c r="E17" s="82"/>
    </x:row>
    <x:row r="18" ht="23" customHeight="1">
      <x:c r="A18" s="21" t="s">
        <x:v>213</x:v>
      </x:c>
      <x:c r="B18" s="45" t="s">
        <x:v>227</x:v>
      </x:c>
      <x:c r="C18" s="52" t="b">
        <x:v>1</x:v>
      </x:c>
      <x:c r="D18" s="80"/>
      <x:c r="E18" s="82"/>
    </x:row>
    <x:row r="19" ht="23" customHeight="1">
      <x:c r="A19" s="24" t="s">
        <x:v>226</x:v>
      </x:c>
      <x:c r="B19" s="53" t="s">
        <x:v>227</x:v>
      </x:c>
      <x:c r="C19" s="57" t="b">
        <x:v>1</x:v>
      </x:c>
      <x:c r="D19" s="80"/>
      <x:c r="E19" s="82"/>
    </x:row>
    <x:row r="20" ht="23" customHeight="1">
      <x:c r="A20" s="21" t="s">
        <x:v>225</x:v>
      </x:c>
      <x:c r="B20" s="45" t="s">
        <x:v>226</x:v>
      </x:c>
      <x:c r="C20" s="52" t="b">
        <x:v>1</x:v>
      </x:c>
      <x:c r="D20" s="80"/>
      <x:c r="E20" s="82"/>
    </x:row>
    <x:row r="21" ht="23" customHeight="1">
      <x:c r="A21" s="24" t="s">
        <x:v>214</x:v>
      </x:c>
      <x:c r="B21" s="53" t="s">
        <x:v>228</x:v>
      </x:c>
      <x:c r="C21" s="57" t="b">
        <x:v>1</x:v>
      </x:c>
      <x:c r="D21" s="80"/>
      <x:c r="E21" s="82"/>
    </x:row>
    <x:row r="22" ht="23" customHeight="1">
      <x:c r="A22" s="21" t="s">
        <x:v>73</x:v>
      </x:c>
      <x:c r="B22" s="45" t="s">
        <x:v>228</x:v>
      </x:c>
      <x:c r="C22" s="52" t="b">
        <x:v>1</x:v>
      </x:c>
      <x:c r="D22" s="80"/>
      <x:c r="E22" s="82"/>
    </x:row>
    <x:row r="23" ht="23" customHeight="1">
      <x:c r="A23" s="24" t="s">
        <x:v>225</x:v>
      </x:c>
      <x:c r="B23" s="53" t="s">
        <x:v>228</x:v>
      </x:c>
      <x:c r="C23" s="57" t="b">
        <x:v>1</x:v>
      </x:c>
      <x:c r="D23" s="80"/>
      <x:c r="E23" s="82"/>
    </x:row>
    <x:row r="24" ht="23" customHeight="1">
      <x:c r="A24" s="21" t="s">
        <x:v>103</x:v>
      </x:c>
      <x:c r="B24" s="45" t="s">
        <x:v>229</x:v>
      </x:c>
      <x:c r="C24" s="52" t="b">
        <x:v>1</x:v>
      </x:c>
      <x:c r="D24" s="80"/>
      <x:c r="E24" s="82"/>
    </x:row>
    <x:row r="25" ht="23" customHeight="1">
      <x:c r="A25" s="24" t="s">
        <x:v>230</x:v>
      </x:c>
      <x:c r="B25" s="53" t="s">
        <x:v>229</x:v>
      </x:c>
      <x:c r="C25" s="57" t="b">
        <x:v>1</x:v>
      </x:c>
      <x:c r="D25" s="80"/>
      <x:c r="E25" s="82"/>
    </x:row>
    <x:row r="26" ht="23" customHeight="1">
      <x:c r="A26" s="21" t="s">
        <x:v>220</x:v>
      </x:c>
      <x:c r="B26" s="45" t="s">
        <x:v>232</x:v>
      </x:c>
      <x:c r="C26" s="52" t="b">
        <x:v>1</x:v>
      </x:c>
      <x:c r="D26" s="80"/>
      <x:c r="E26" s="82"/>
    </x:row>
    <x:row r="27" ht="23" customHeight="1">
      <x:c r="A27" s="24" t="s">
        <x:v>231</x:v>
      </x:c>
      <x:c r="B27" s="53" t="s">
        <x:v>232</x:v>
      </x:c>
      <x:c r="C27" s="57" t="b">
        <x:v>1</x:v>
      </x:c>
      <x:c r="D27" s="80"/>
      <x:c r="E27" s="82"/>
    </x:row>
    <x:row r="28" ht="23" customHeight="1">
      <x:c r="A28" s="21" t="s">
        <x:v>221</x:v>
      </x:c>
      <x:c r="B28" s="45" t="s">
        <x:v>232</x:v>
      </x:c>
      <x:c r="C28" s="52" t="b">
        <x:v>1</x:v>
      </x:c>
      <x:c r="D28" s="80"/>
      <x:c r="E28" s="82"/>
    </x:row>
    <x:row r="29" ht="23" customHeight="1">
      <x:c r="A29" s="24" t="s">
        <x:v>234</x:v>
      </x:c>
      <x:c r="B29" s="53" t="s">
        <x:v>226</x:v>
      </x:c>
      <x:c r="C29" s="57" t="b">
        <x:v>1</x:v>
      </x:c>
      <x:c r="D29" s="80"/>
      <x:c r="E29" s="82"/>
    </x:row>
    <x:row r="30" ht="23" customHeight="1">
      <x:c r="A30" s="21" t="s">
        <x:v>234</x:v>
      </x:c>
      <x:c r="B30" s="45" t="s">
        <x:v>235</x:v>
      </x:c>
      <x:c r="C30" s="52" t="b">
        <x:v>1</x:v>
      </x:c>
      <x:c r="D30" s="80"/>
      <x:c r="E30" s="82"/>
    </x:row>
    <x:row r="31" ht="23" customHeight="1">
      <x:c r="A31" s="24" t="s">
        <x:v>233</x:v>
      </x:c>
      <x:c r="B31" s="53" t="s">
        <x:v>236</x:v>
      </x:c>
      <x:c r="C31" s="57" t="b">
        <x:v>1</x:v>
      </x:c>
      <x:c r="D31" s="80"/>
      <x:c r="E31" s="82"/>
    </x:row>
    <x:row r="32" ht="23" customHeight="1">
      <x:c r="A32" s="21" t="s">
        <x:v>235</x:v>
      </x:c>
      <x:c r="B32" s="45" t="s">
        <x:v>236</x:v>
      </x:c>
      <x:c r="C32" s="52" t="b">
        <x:v>1</x:v>
      </x:c>
      <x:c r="D32" s="80"/>
      <x:c r="E32" s="82"/>
    </x:row>
    <x:row r="33" ht="23" customHeight="1">
      <x:c r="A33" s="24" t="s">
        <x:v>237</x:v>
      </x:c>
      <x:c r="B33" s="53" t="s">
        <x:v>236</x:v>
      </x:c>
      <x:c r="C33" s="57" t="b">
        <x:v>1</x:v>
      </x:c>
      <x:c r="D33" s="80"/>
      <x:c r="E33" s="82"/>
    </x:row>
    <x:row r="34" ht="23" customHeight="1">
      <x:c r="A34" s="21" t="s">
        <x:v>237</x:v>
      </x:c>
      <x:c r="B34" s="45" t="s">
        <x:v>239</x:v>
      </x:c>
      <x:c r="C34" s="52" t="b">
        <x:v>1</x:v>
      </x:c>
      <x:c r="D34" s="80"/>
      <x:c r="E34" s="82"/>
    </x:row>
    <x:row r="35" ht="23" customHeight="1">
      <x:c r="A35" s="24" t="s">
        <x:v>99</x:v>
      </x:c>
      <x:c r="B35" s="53" t="s">
        <x:v>238</x:v>
      </x:c>
      <x:c r="C35" s="57" t="b">
        <x:v>1</x:v>
      </x:c>
      <x:c r="D35" s="80"/>
      <x:c r="E35" s="82"/>
    </x:row>
    <x:row r="36" ht="23" customHeight="1">
      <x:c r="A36" s="21" t="s">
        <x:v>91</x:v>
      </x:c>
      <x:c r="B36" s="45" t="s">
        <x:v>238</x:v>
      </x:c>
      <x:c r="C36" s="52" t="b">
        <x:v>1</x:v>
      </x:c>
      <x:c r="D36" s="80"/>
      <x:c r="E36" s="82"/>
    </x:row>
    <x:row r="37" ht="23" customHeight="1">
      <x:c r="A37" s="24" t="s">
        <x:v>239</x:v>
      </x:c>
      <x:c r="B37" s="53" t="s">
        <x:v>238</x:v>
      </x:c>
      <x:c r="C37" s="57" t="b">
        <x:v>1</x:v>
      </x:c>
      <x:c r="D37" s="80"/>
      <x:c r="E37" s="82"/>
    </x:row>
    <x:row r="38" ht="23" customHeight="1">
      <x:c r="A38" s="21" t="s">
        <x:v>240</x:v>
      </x:c>
      <x:c r="B38" s="45" t="s">
        <x:v>236</x:v>
      </x:c>
      <x:c r="C38" s="52" t="b">
        <x:v>1</x:v>
      </x:c>
      <x:c r="D38" s="80"/>
      <x:c r="E38" s="82"/>
    </x:row>
    <x:row r="39" ht="23" customHeight="1">
      <x:c r="A39" s="24" t="s">
        <x:v>234</x:v>
      </x:c>
      <x:c r="B39" s="53" t="s">
        <x:v>244</x:v>
      </x:c>
      <x:c r="C39" s="57" t="b">
        <x:v>1</x:v>
      </x:c>
      <x:c r="D39" s="80"/>
      <x:c r="E39" s="82"/>
    </x:row>
    <x:row r="40" ht="23" customHeight="1">
      <x:c r="A40" s="21" t="s">
        <x:v>243</x:v>
      </x:c>
      <x:c r="B40" s="45" t="s">
        <x:v>244</x:v>
      </x:c>
      <x:c r="C40" s="52" t="b">
        <x:v>1</x:v>
      </x:c>
      <x:c r="D40" s="80"/>
      <x:c r="E40" s="82"/>
    </x:row>
    <x:row r="41" ht="23" customHeight="1">
      <x:c r="A41" s="24" t="s">
        <x:v>79</x:v>
      </x:c>
      <x:c r="B41" s="53" t="s">
        <x:v>242</x:v>
      </x:c>
      <x:c r="C41" s="57" t="b">
        <x:v>1</x:v>
      </x:c>
      <x:c r="D41" s="80"/>
      <x:c r="E41" s="82"/>
    </x:row>
    <x:row r="42" ht="23" customHeight="1">
      <x:c r="A42" s="21" t="s">
        <x:v>238</x:v>
      </x:c>
      <x:c r="B42" s="45" t="s">
        <x:v>242</x:v>
      </x:c>
      <x:c r="C42" s="52" t="b">
        <x:v>1</x:v>
      </x:c>
      <x:c r="D42" s="80"/>
      <x:c r="E42" s="82"/>
    </x:row>
    <x:row r="43" ht="23" customHeight="1">
      <x:c r="A43" s="24" t="s">
        <x:v>243</x:v>
      </x:c>
      <x:c r="B43" s="53" t="s">
        <x:v>242</x:v>
      </x:c>
      <x:c r="C43" s="57" t="b">
        <x:v>1</x:v>
      </x:c>
      <x:c r="D43" s="80"/>
      <x:c r="E43" s="82"/>
    </x:row>
    <x:row r="44" ht="23" customHeight="1">
      <x:c r="A44" s="21" t="s">
        <x:v>241</x:v>
      </x:c>
      <x:c r="B44" s="45" t="s">
        <x:v>242</x:v>
      </x:c>
      <x:c r="C44" s="52" t="b">
        <x:v>1</x:v>
      </x:c>
      <x:c r="D44" s="80"/>
      <x:c r="E44" s="82"/>
    </x:row>
    <x:row r="45" ht="23" customHeight="1">
      <x:c r="A45" s="24" t="s">
        <x:v>240</x:v>
      </x:c>
      <x:c r="B45" s="53" t="s">
        <x:v>241</x:v>
      </x:c>
      <x:c r="C45" s="57" t="b">
        <x:v>1</x:v>
      </x:c>
      <x:c r="D45" s="80"/>
      <x:c r="E45" s="82"/>
    </x:row>
    <x:row r="46" ht="23" customHeight="1">
      <x:c r="A46" s="21" t="s">
        <x:v>238</x:v>
      </x:c>
      <x:c r="B46" s="45" t="s">
        <x:v>245</x:v>
      </x:c>
      <x:c r="C46" s="52" t="b">
        <x:v>1</x:v>
      </x:c>
      <x:c r="D46" s="80"/>
      <x:c r="E46" s="82"/>
    </x:row>
    <x:row r="47" ht="23" customHeight="1">
      <x:c r="A47" s="24" t="s">
        <x:v>131</x:v>
      </x:c>
      <x:c r="B47" s="53" t="s">
        <x:v>246</x:v>
      </x:c>
      <x:c r="C47" s="57" t="b">
        <x:v>1</x:v>
      </x:c>
      <x:c r="D47" s="80"/>
      <x:c r="E47" s="82"/>
    </x:row>
    <x:row r="48" ht="23" customHeight="1">
      <x:c r="A48" s="21" t="s">
        <x:v>245</x:v>
      </x:c>
      <x:c r="B48" s="45" t="s">
        <x:v>246</x:v>
      </x:c>
      <x:c r="C48" s="52" t="b">
        <x:v>1</x:v>
      </x:c>
      <x:c r="D48" s="80"/>
      <x:c r="E48" s="82"/>
    </x:row>
    <x:row r="49" ht="23" customHeight="1">
      <x:c r="A49" s="24" t="s">
        <x:v>245</x:v>
      </x:c>
      <x:c r="B49" s="53" t="s">
        <x:v>109</x:v>
      </x:c>
      <x:c r="C49" s="57" t="b">
        <x:v>1</x:v>
      </x:c>
      <x:c r="D49" s="80"/>
      <x:c r="E49" s="82"/>
    </x:row>
    <x:row r="50" ht="23" customHeight="1">
      <x:c r="A50" s="21" t="s">
        <x:v>238</x:v>
      </x:c>
      <x:c r="B50" s="45" t="s">
        <x:v>248</x:v>
      </x:c>
      <x:c r="C50" s="52" t="b">
        <x:v>1</x:v>
      </x:c>
      <x:c r="D50" s="80"/>
      <x:c r="E50" s="82"/>
    </x:row>
    <x:row r="51" ht="23" customHeight="1">
      <x:c r="A51" s="24" t="s">
        <x:v>247</x:v>
      </x:c>
      <x:c r="B51" s="53" t="s">
        <x:v>248</x:v>
      </x:c>
      <x:c r="C51" s="57" t="b">
        <x:v>1</x:v>
      </x:c>
      <x:c r="D51" s="80"/>
      <x:c r="E51" s="82"/>
    </x:row>
    <x:row r="52" ht="23" customHeight="1">
      <x:c r="A52" s="21" t="s">
        <x:v>111</x:v>
      </x:c>
      <x:c r="B52" s="45" t="s">
        <x:v>247</x:v>
      </x:c>
      <x:c r="C52" s="52" t="b">
        <x:v>1</x:v>
      </x:c>
      <x:c r="D52" s="80"/>
      <x:c r="E52" s="82"/>
    </x:row>
    <x:row r="53" ht="23" customHeight="1">
      <x:c r="A53" s="24" t="s">
        <x:v>233</x:v>
      </x:c>
      <x:c r="B53" s="53" t="s">
        <x:v>249</x:v>
      </x:c>
      <x:c r="C53" s="57" t="b">
        <x:v>1</x:v>
      </x:c>
      <x:c r="D53" s="80"/>
      <x:c r="E53" s="82"/>
    </x:row>
    <x:row r="54" ht="23" customHeight="1">
      <x:c r="A54" s="21" t="s">
        <x:v>247</x:v>
      </x:c>
      <x:c r="B54" s="45" t="s">
        <x:v>249</x:v>
      </x:c>
      <x:c r="C54" s="52" t="b">
        <x:v>1</x:v>
      </x:c>
      <x:c r="D54" s="80"/>
      <x:c r="E54" s="82"/>
    </x:row>
    <x:row r="55" ht="23" customHeight="1">
      <x:c r="A55" s="24" t="s">
        <x:v>245</x:v>
      </x:c>
      <x:c r="B55" s="53" t="s">
        <x:v>250</x:v>
      </x:c>
      <x:c r="C55" s="57" t="b">
        <x:v>1</x:v>
      </x:c>
      <x:c r="D55" s="80"/>
      <x:c r="E55" s="82"/>
    </x:row>
    <x:row r="56" ht="23" customHeight="1">
      <x:c r="A56" s="21" t="s">
        <x:v>252</x:v>
      </x:c>
      <x:c r="B56" s="45" t="s">
        <x:v>251</x:v>
      </x:c>
      <x:c r="C56" s="52" t="b">
        <x:v>0</x:v>
      </x:c>
      <x:c r="D56" s="80"/>
      <x:c r="E56" s="82"/>
    </x:row>
    <x:row r="57" ht="23" customHeight="1">
      <x:c r="A57" s="24" t="s">
        <x:v>250</x:v>
      </x:c>
      <x:c r="B57" s="53" t="s">
        <x:v>251</x:v>
      </x:c>
      <x:c r="C57" s="57" t="b">
        <x:v>1</x:v>
      </x:c>
      <x:c r="D57" s="80"/>
      <x:c r="E57" s="82"/>
    </x:row>
    <x:row r="58" ht="23" customHeight="1">
      <x:c r="A58" s="21" t="s">
        <x:v>253</x:v>
      </x:c>
      <x:c r="B58" s="45" t="s">
        <x:v>251</x:v>
      </x:c>
      <x:c r="C58" s="52" t="b">
        <x:v>1</x:v>
      </x:c>
      <x:c r="D58" s="80"/>
      <x:c r="E58" s="82"/>
    </x:row>
    <x:row r="59" ht="23" customHeight="1">
      <x:c r="A59" s="24" t="s">
        <x:v>246</x:v>
      </x:c>
      <x:c r="B59" s="53" t="s">
        <x:v>254</x:v>
      </x:c>
      <x:c r="C59" s="57" t="b">
        <x:v>1</x:v>
      </x:c>
      <x:c r="D59" s="80"/>
      <x:c r="E59" s="82"/>
    </x:row>
    <x:row r="60" ht="23" customHeight="1">
      <x:c r="A60" s="21" t="s">
        <x:v>253</x:v>
      </x:c>
      <x:c r="B60" s="45" t="s">
        <x:v>254</x:v>
      </x:c>
      <x:c r="C60" s="52" t="b">
        <x:v>1</x:v>
      </x:c>
      <x:c r="D60" s="80"/>
      <x:c r="E60" s="82"/>
    </x:row>
    <x:row r="61" ht="23" customHeight="1">
      <x:c r="A61" s="24" t="s">
        <x:v>246</x:v>
      </x:c>
      <x:c r="B61" s="53" t="s">
        <x:v>255</x:v>
      </x:c>
      <x:c r="C61" s="57" t="b">
        <x:v>1</x:v>
      </x:c>
      <x:c r="D61" s="80"/>
      <x:c r="E61" s="82"/>
    </x:row>
    <x:row r="62" ht="23" customHeight="1">
      <x:c r="A62" s="21" t="s">
        <x:v>258</x:v>
      </x:c>
      <x:c r="B62" s="45" t="s">
        <x:v>157</x:v>
      </x:c>
      <x:c r="C62" s="52" t="b">
        <x:v>1</x:v>
      </x:c>
      <x:c r="D62" s="80"/>
      <x:c r="E62" s="82"/>
    </x:row>
    <x:row r="63" ht="23" customHeight="1">
      <x:c r="A63" s="24" t="s">
        <x:v>115</x:v>
      </x:c>
      <x:c r="B63" s="53" t="s">
        <x:v>257</x:v>
      </x:c>
      <x:c r="C63" s="57" t="b">
        <x:v>1</x:v>
      </x:c>
      <x:c r="D63" s="80"/>
      <x:c r="E63" s="82"/>
    </x:row>
    <x:row r="64" ht="23" customHeight="1">
      <x:c r="A64" s="21" t="s">
        <x:v>260</x:v>
      </x:c>
      <x:c r="B64" s="45" t="s">
        <x:v>257</x:v>
      </x:c>
      <x:c r="C64" s="52" t="b">
        <x:v>1</x:v>
      </x:c>
      <x:c r="D64" s="80"/>
      <x:c r="E64" s="82"/>
    </x:row>
    <x:row r="65" ht="23" customHeight="1">
      <x:c r="A65" s="24" t="s">
        <x:v>259</x:v>
      </x:c>
      <x:c r="B65" s="53" t="s">
        <x:v>257</x:v>
      </x:c>
      <x:c r="C65" s="57" t="b">
        <x:v>1</x:v>
      </x:c>
      <x:c r="D65" s="80"/>
      <x:c r="E65" s="82"/>
    </x:row>
    <x:row r="66" ht="23" customHeight="1">
      <x:c r="A66" s="21" t="s">
        <x:v>258</x:v>
      </x:c>
      <x:c r="B66" s="45" t="s">
        <x:v>260</x:v>
      </x:c>
      <x:c r="C66" s="52" t="b">
        <x:v>1</x:v>
      </x:c>
      <x:c r="D66" s="80"/>
      <x:c r="E66" s="82"/>
    </x:row>
    <x:row r="67" ht="23" customHeight="1">
      <x:c r="A67" s="24" t="s">
        <x:v>259</x:v>
      </x:c>
      <x:c r="B67" s="53" t="s">
        <x:v>258</x:v>
      </x:c>
      <x:c r="C67" s="57" t="b">
        <x:v>1</x:v>
      </x:c>
      <x:c r="D67" s="80"/>
      <x:c r="E67" s="82"/>
    </x:row>
    <x:row r="68" ht="23" customHeight="1">
      <x:c r="A68" s="21" t="s">
        <x:v>257</x:v>
      </x:c>
      <x:c r="B68" s="45" t="s">
        <x:v>258</x:v>
      </x:c>
      <x:c r="C68" s="52" t="b">
        <x:v>1</x:v>
      </x:c>
      <x:c r="D68" s="80"/>
      <x:c r="E68" s="82"/>
    </x:row>
    <x:row r="69" ht="23" customHeight="1">
      <x:c r="A69" s="24" t="s">
        <x:v>259</x:v>
      </x:c>
      <x:c r="B69" s="53" t="s">
        <x:v>260</x:v>
      </x:c>
      <x:c r="C69" s="57" t="b">
        <x:v>1</x:v>
      </x:c>
      <x:c r="D69" s="80"/>
      <x:c r="E69" s="82"/>
    </x:row>
    <x:row r="70" ht="23" customHeight="1">
      <x:c r="A70" s="21" t="s">
        <x:v>191</x:v>
      </x:c>
      <x:c r="B70" s="45" t="s">
        <x:v>259</x:v>
      </x:c>
      <x:c r="C70" s="52" t="b">
        <x:v>1</x:v>
      </x:c>
      <x:c r="D70" s="80"/>
      <x:c r="E70" s="82"/>
    </x:row>
    <x:row r="71" ht="23" customHeight="1">
      <x:c r="A71" s="24" t="s">
        <x:v>260</x:v>
      </x:c>
      <x:c r="B71" s="53" t="s">
        <x:v>191</x:v>
      </x:c>
      <x:c r="C71" s="57" t="b">
        <x:v>1</x:v>
      </x:c>
      <x:c r="D71" s="80"/>
      <x:c r="E71" s="82"/>
    </x:row>
    <x:row r="72" ht="23" customHeight="1">
      <x:c r="A72" s="21" t="s">
        <x:v>257</x:v>
      </x:c>
      <x:c r="B72" s="45" t="s">
        <x:v>256</x:v>
      </x:c>
      <x:c r="C72" s="52" t="b">
        <x:v>1</x:v>
      </x:c>
      <x:c r="D72" s="80"/>
      <x:c r="E72" s="82"/>
    </x:row>
    <x:row r="73" ht="23" customHeight="1">
      <x:c r="A73" s="24" t="s">
        <x:v>247</x:v>
      </x:c>
      <x:c r="B73" s="53" t="s">
        <x:v>261</x:v>
      </x:c>
      <x:c r="C73" s="57" t="b">
        <x:v>1</x:v>
      </x:c>
      <x:c r="D73" s="80"/>
      <x:c r="E73" s="82"/>
    </x:row>
    <x:row r="74" ht="23" customHeight="1">
      <x:c r="A74" s="21" t="s">
        <x:v>256</x:v>
      </x:c>
      <x:c r="B74" s="45" t="s">
        <x:v>261</x:v>
      </x:c>
      <x:c r="C74" s="52" t="b">
        <x:v>1</x:v>
      </x:c>
      <x:c r="D74" s="80"/>
      <x:c r="E74" s="82"/>
    </x:row>
    <x:row r="75" ht="23" customHeight="1">
      <x:c r="A75" s="24" t="s">
        <x:v>256</x:v>
      </x:c>
      <x:c r="B75" s="53" t="s">
        <x:v>255</x:v>
      </x:c>
      <x:c r="C75" s="57" t="b">
        <x:v>1</x:v>
      </x:c>
      <x:c r="D75" s="80"/>
      <x:c r="E75" s="82"/>
    </x:row>
    <x:row r="76" ht="23" customHeight="1">
      <x:c r="A76" s="21" t="s">
        <x:v>153</x:v>
      </x:c>
      <x:c r="B76" s="45" t="s">
        <x:v>256</x:v>
      </x:c>
      <x:c r="C76" s="52" t="b">
        <x:v>1</x:v>
      </x:c>
      <x:c r="D76" s="80"/>
      <x:c r="E76" s="82"/>
    </x:row>
    <x:row r="77" ht="23" customHeight="1">
      <x:c r="A77" s="24" t="s">
        <x:v>203</x:v>
      </x:c>
      <x:c r="B77" s="53" t="s">
        <x:v>255</x:v>
      </x:c>
      <x:c r="C77" s="57" t="b">
        <x:v>1</x:v>
      </x:c>
      <x:c r="D77" s="80"/>
      <x:c r="E77" s="82"/>
    </x:row>
    <x:row r="78" ht="23" customHeight="1">
      <x:c r="A78" s="21" t="s">
        <x:v>227</x:v>
      </x:c>
      <x:c r="B78" s="45" t="s">
        <x:v>262</x:v>
      </x:c>
      <x:c r="C78" s="52" t="b">
        <x:v>1</x:v>
      </x:c>
      <x:c r="D78" s="80"/>
      <x:c r="E78" s="82"/>
    </x:row>
    <x:row r="79" ht="23" customHeight="1">
      <x:c r="A79" s="24" t="s">
        <x:v>252</x:v>
      </x:c>
      <x:c r="B79" s="53" t="s">
        <x:v>262</x:v>
      </x:c>
      <x:c r="C79" s="57" t="b">
        <x:v>1</x:v>
      </x:c>
      <x:c r="D79" s="80"/>
      <x:c r="E79" s="82"/>
    </x:row>
    <x:row r="80" ht="23" customHeight="1">
      <x:c r="A80" s="21" t="s">
        <x:v>165</x:v>
      </x:c>
      <x:c r="B80" s="45" t="s">
        <x:v>263</x:v>
      </x:c>
      <x:c r="C80" s="52" t="b">
        <x:v>1</x:v>
      </x:c>
      <x:c r="D80" s="80"/>
      <x:c r="E80" s="82"/>
    </x:row>
    <x:row r="81" ht="23" customHeight="1">
      <x:c r="A81" s="24" t="s">
        <x:v>212</x:v>
      </x:c>
      <x:c r="B81" s="53" t="s">
        <x:v>263</x:v>
      </x:c>
      <x:c r="C81" s="57" t="b">
        <x:v>1</x:v>
      </x:c>
      <x:c r="D81" s="80"/>
      <x:c r="E81" s="82"/>
    </x:row>
    <x:row r="82" ht="23" customHeight="1">
      <x:c r="A82" s="21" t="s">
        <x:v>262</x:v>
      </x:c>
      <x:c r="B82" s="45" t="s">
        <x:v>173</x:v>
      </x:c>
      <x:c r="C82" s="52" t="b">
        <x:v>1</x:v>
      </x:c>
      <x:c r="D82" s="80"/>
      <x:c r="E82" s="82"/>
    </x:row>
    <x:row r="83" ht="23" customHeight="1">
      <x:c r="A83" s="24" t="s">
        <x:v>213</x:v>
      </x:c>
      <x:c r="B83" s="53" t="s">
        <x:v>173</x:v>
      </x:c>
      <x:c r="C83" s="57" t="b">
        <x:v>1</x:v>
      </x:c>
      <x:c r="D83" s="80"/>
      <x:c r="E83" s="82"/>
    </x:row>
    <x:row r="84" ht="23" customHeight="1">
      <x:c r="A84" s="21" t="s">
        <x:v>264</x:v>
      </x:c>
      <x:c r="B84" s="45" t="s">
        <x:v>173</x:v>
      </x:c>
      <x:c r="C84" s="52" t="b">
        <x:v>1</x:v>
      </x:c>
      <x:c r="D84" s="80"/>
      <x:c r="E84" s="82"/>
    </x:row>
    <x:row r="85" ht="23" customHeight="1">
      <x:c r="A85" s="24" t="s">
        <x:v>264</x:v>
      </x:c>
      <x:c r="B85" s="53" t="s">
        <x:v>252</x:v>
      </x:c>
      <x:c r="C85" s="57" t="b">
        <x:v>1</x:v>
      </x:c>
      <x:c r="D85" s="80"/>
      <x:c r="E85" s="82"/>
    </x:row>
    <x:row r="86" ht="23" customHeight="1">
      <x:c r="A86" s="21" t="s">
        <x:v>165</x:v>
      </x:c>
      <x:c r="B86" s="45" t="s">
        <x:v>265</x:v>
      </x:c>
      <x:c r="C86" s="52" t="b">
        <x:v>0</x:v>
      </x:c>
      <x:c r="D86" s="80"/>
      <x:c r="E86" s="82"/>
    </x:row>
    <x:row r="87" ht="23" customHeight="1">
      <x:c r="A87" s="24" t="s">
        <x:v>266</x:v>
      </x:c>
      <x:c r="B87" s="53" t="s">
        <x:v>265</x:v>
      </x:c>
      <x:c r="C87" s="57" t="b">
        <x:v>1</x:v>
      </x:c>
      <x:c r="D87" s="80"/>
      <x:c r="E87" s="82"/>
    </x:row>
    <x:row r="88" ht="23" customHeight="1">
      <x:c r="A88" s="21" t="s">
        <x:v>267</x:v>
      </x:c>
      <x:c r="B88" s="45" t="s">
        <x:v>265</x:v>
      </x:c>
      <x:c r="C88" s="52" t="b">
        <x:v>1</x:v>
      </x:c>
      <x:c r="D88" s="80"/>
      <x:c r="E88" s="82"/>
    </x:row>
    <x:row r="89" ht="23" customHeight="1">
      <x:c r="A89" s="24" t="s">
        <x:v>267</x:v>
      </x:c>
      <x:c r="B89" s="53" t="s">
        <x:v>268</x:v>
      </x:c>
      <x:c r="C89" s="57" t="b">
        <x:v>0</x:v>
      </x:c>
      <x:c r="D89" s="80"/>
      <x:c r="E89" s="82"/>
    </x:row>
    <x:row r="90" ht="23" customHeight="1">
      <x:c r="A90" s="21" t="s">
        <x:v>183</x:v>
      </x:c>
      <x:c r="B90" s="45" t="s">
        <x:v>268</x:v>
      </x:c>
      <x:c r="C90" s="52" t="b">
        <x:v>1</x:v>
      </x:c>
      <x:c r="D90" s="80"/>
      <x:c r="E90" s="82"/>
    </x:row>
    <x:row r="91" ht="23" customHeight="1">
      <x:c r="A91" s="24" t="s">
        <x:v>269</x:v>
      </x:c>
      <x:c r="B91" s="53" t="s">
        <x:v>270</x:v>
      </x:c>
      <x:c r="C91" s="57" t="b">
        <x:v>1</x:v>
      </x:c>
      <x:c r="D91" s="80"/>
      <x:c r="E91" s="82"/>
    </x:row>
    <x:row r="92" ht="23" customHeight="1">
      <x:c r="A92" s="21" t="s">
        <x:v>269</x:v>
      </x:c>
      <x:c r="B92" s="45" t="s">
        <x:v>271</x:v>
      </x:c>
      <x:c r="C92" s="52" t="b">
        <x:v>0</x:v>
      </x:c>
      <x:c r="D92" s="80"/>
      <x:c r="E92" s="82"/>
    </x:row>
    <x:row r="93" ht="23" customHeight="1">
      <x:c r="A93" s="24" t="s">
        <x:v>265</x:v>
      </x:c>
      <x:c r="B93" s="53" t="s">
        <x:v>271</x:v>
      </x:c>
      <x:c r="C93" s="57" t="b">
        <x:v>1</x:v>
      </x:c>
      <x:c r="D93" s="80"/>
      <x:c r="E93" s="82"/>
    </x:row>
    <x:row r="94" ht="23" customHeight="1">
      <x:c r="A94" s="21" t="s">
        <x:v>268</x:v>
      </x:c>
      <x:c r="B94" s="45" t="s">
        <x:v>147</x:v>
      </x:c>
      <x:c r="C94" s="52" t="b">
        <x:v>1</x:v>
      </x:c>
      <x:c r="D94" s="80"/>
      <x:c r="E94" s="82"/>
    </x:row>
    <x:row r="95" ht="23" customHeight="1">
      <x:c r="A95" s="24" t="s">
        <x:v>113</x:v>
      </x:c>
      <x:c r="B95" s="53" t="s">
        <x:v>272</x:v>
      </x:c>
      <x:c r="C95" s="57" t="b">
        <x:v>1</x:v>
      </x:c>
      <x:c r="D95" s="80"/>
      <x:c r="E95" s="82"/>
    </x:row>
    <x:row r="96" ht="23" customHeight="1">
      <x:c r="A96" s="21" t="s">
        <x:v>268</x:v>
      </x:c>
      <x:c r="B96" s="45" t="s">
        <x:v>272</x:v>
      </x:c>
      <x:c r="C96" s="52" t="b">
        <x:v>1</x:v>
      </x:c>
      <x:c r="D96" s="80"/>
      <x:c r="E96" s="82"/>
    </x:row>
    <x:row r="97" ht="23" customHeight="1">
      <x:c r="A97" s="24" t="s">
        <x:v>274</x:v>
      </x:c>
      <x:c r="B97" s="53" t="s">
        <x:v>273</x:v>
      </x:c>
      <x:c r="C97" s="57" t="b">
        <x:v>1</x:v>
      </x:c>
      <x:c r="D97" s="80"/>
      <x:c r="E97" s="82"/>
    </x:row>
    <x:row r="98" ht="23" customHeight="1">
      <x:c r="A98" s="21" t="s">
        <x:v>274</x:v>
      </x:c>
      <x:c r="B98" s="45" t="s">
        <x:v>275</x:v>
      </x:c>
      <x:c r="C98" s="52" t="b">
        <x:v>1</x:v>
      </x:c>
      <x:c r="D98" s="80"/>
      <x:c r="E98" s="82"/>
    </x:row>
    <x:row r="99" ht="23" customHeight="1">
      <x:c r="A99" s="24" t="s">
        <x:v>276</x:v>
      </x:c>
      <x:c r="B99" s="53" t="s">
        <x:v>275</x:v>
      </x:c>
      <x:c r="C99" s="57" t="b">
        <x:v>1</x:v>
      </x:c>
      <x:c r="D99" s="80"/>
      <x:c r="E99" s="82"/>
    </x:row>
    <x:row r="100" ht="23" customHeight="1">
      <x:c r="A100" s="21" t="s">
        <x:v>278</x:v>
      </x:c>
      <x:c r="B100" s="45" t="s">
        <x:v>277</x:v>
      </x:c>
      <x:c r="C100" s="52" t="b">
        <x:v>1</x:v>
      </x:c>
      <x:c r="D100" s="80"/>
      <x:c r="E100" s="82"/>
    </x:row>
    <x:row r="101" ht="23" customHeight="1">
      <x:c r="A101" s="24" t="s">
        <x:v>274</x:v>
      </x:c>
      <x:c r="B101" s="53" t="s">
        <x:v>281</x:v>
      </x:c>
      <x:c r="C101" s="57" t="b">
        <x:v>1</x:v>
      </x:c>
      <x:c r="D101" s="80"/>
      <x:c r="E101" s="82"/>
    </x:row>
    <x:row r="102" ht="23" customHeight="1">
      <x:c r="A102" s="21" t="s">
        <x:v>64</x:v>
      </x:c>
      <x:c r="B102" s="45" t="s">
        <x:v>281</x:v>
      </x:c>
      <x:c r="C102" s="52" t="b">
        <x:v>1</x:v>
      </x:c>
      <x:c r="D102" s="80"/>
      <x:c r="E102" s="82"/>
    </x:row>
    <x:row r="103" ht="23" customHeight="1">
      <x:c r="A103" s="24" t="s">
        <x:v>175</x:v>
      </x:c>
      <x:c r="B103" s="53" t="s">
        <x:v>281</x:v>
      </x:c>
      <x:c r="C103" s="57" t="b">
        <x:v>1</x:v>
      </x:c>
      <x:c r="D103" s="80"/>
      <x:c r="E103" s="82"/>
    </x:row>
    <x:row r="104" ht="23" customHeight="1">
      <x:c r="A104" s="21" t="s">
        <x:v>279</x:v>
      </x:c>
      <x:c r="B104" s="45" t="s">
        <x:v>281</x:v>
      </x:c>
      <x:c r="C104" s="52" t="b">
        <x:v>1</x:v>
      </x:c>
      <x:c r="D104" s="80"/>
      <x:c r="E104" s="82"/>
    </x:row>
    <x:row r="105" ht="23" customHeight="1">
      <x:c r="A105" s="24" t="s">
        <x:v>276</x:v>
      </x:c>
      <x:c r="B105" s="53" t="s">
        <x:v>283</x:v>
      </x:c>
      <x:c r="C105" s="57" t="b">
        <x:v>1</x:v>
      </x:c>
      <x:c r="D105" s="80"/>
      <x:c r="E105" s="82"/>
    </x:row>
    <x:row r="106" ht="23" customHeight="1">
      <x:c r="A106" s="21" t="s">
        <x:v>277</x:v>
      </x:c>
      <x:c r="B106" s="45" t="s">
        <x:v>283</x:v>
      </x:c>
      <x:c r="C106" s="52" t="b">
        <x:v>1</x:v>
      </x:c>
      <x:c r="D106" s="80"/>
      <x:c r="E106" s="82"/>
    </x:row>
    <x:row r="107" ht="23" customHeight="1">
      <x:c r="A107" s="24" t="s">
        <x:v>272</x:v>
      </x:c>
      <x:c r="B107" s="53" t="s">
        <x:v>282</x:v>
      </x:c>
      <x:c r="C107" s="57" t="b">
        <x:v>1</x:v>
      </x:c>
      <x:c r="D107" s="80"/>
      <x:c r="E107" s="82"/>
    </x:row>
    <x:row r="108" ht="23" customHeight="1">
      <x:c r="A108" s="21" t="s">
        <x:v>284</x:v>
      </x:c>
      <x:c r="B108" s="45" t="s">
        <x:v>282</x:v>
      </x:c>
      <x:c r="C108" s="52" t="b">
        <x:v>1</x:v>
      </x:c>
      <x:c r="D108" s="80"/>
      <x:c r="E108" s="82"/>
    </x:row>
    <x:row r="109" ht="23" customHeight="1">
      <x:c r="A109" s="24" t="s">
        <x:v>284</x:v>
      </x:c>
      <x:c r="B109" s="53" t="s">
        <x:v>141</x:v>
      </x:c>
      <x:c r="C109" s="57" t="b">
        <x:v>1</x:v>
      </x:c>
      <x:c r="D109" s="80"/>
      <x:c r="E109" s="82"/>
    </x:row>
    <x:row r="110" ht="23" customHeight="1">
      <x:c r="A110" s="21" t="s">
        <x:v>285</x:v>
      </x:c>
      <x:c r="B110" s="45" t="s">
        <x:v>284</x:v>
      </x:c>
      <x:c r="C110" s="52" t="b">
        <x:v>1</x:v>
      </x:c>
      <x:c r="D110" s="80"/>
      <x:c r="E110" s="82"/>
    </x:row>
    <x:row r="111" ht="23" customHeight="1">
      <x:c r="A111" s="24" t="s">
        <x:v>274</x:v>
      </x:c>
      <x:c r="B111" s="53" t="s">
        <x:v>286</x:v>
      </x:c>
      <x:c r="C111" s="57" t="b">
        <x:v>1</x:v>
      </x:c>
      <x:c r="D111" s="80"/>
      <x:c r="E111" s="82"/>
    </x:row>
    <x:row r="112" ht="23" customHeight="1">
      <x:c r="A112" s="21" t="s">
        <x:v>69</x:v>
      </x:c>
      <x:c r="B112" s="45" t="s">
        <x:v>286</x:v>
      </x:c>
      <x:c r="C112" s="52" t="b">
        <x:v>1</x:v>
      </x:c>
      <x:c r="D112" s="80"/>
      <x:c r="E112" s="82"/>
    </x:row>
    <x:row r="113" ht="23" customHeight="1">
      <x:c r="A113" s="24" t="s">
        <x:v>287</x:v>
      </x:c>
      <x:c r="B113" s="53" t="s">
        <x:v>286</x:v>
      </x:c>
      <x:c r="C113" s="57" t="b">
        <x:v>0</x:v>
      </x:c>
      <x:c r="D113" s="80"/>
      <x:c r="E113" s="82"/>
    </x:row>
    <x:row r="114" ht="23" customHeight="1">
      <x:c r="A114" s="21" t="s">
        <x:v>287</x:v>
      </x:c>
      <x:c r="B114" s="45" t="s">
        <x:v>265</x:v>
      </x:c>
      <x:c r="C114" s="52" t="b">
        <x:v>1</x:v>
      </x:c>
      <x:c r="D114" s="80"/>
      <x:c r="E114" s="82"/>
    </x:row>
    <x:row r="115" ht="23" customHeight="1">
      <x:c r="A115" s="24" t="s">
        <x:v>273</x:v>
      </x:c>
      <x:c r="B115" s="53" t="s">
        <x:v>288</x:v>
      </x:c>
      <x:c r="C115" s="57" t="b">
        <x:v>1</x:v>
      </x:c>
      <x:c r="D115" s="80"/>
      <x:c r="E115" s="82"/>
    </x:row>
    <x:row r="116" ht="23" customHeight="1">
      <x:c r="A116" s="21" t="s">
        <x:v>212</x:v>
      </x:c>
      <x:c r="B116" s="45" t="s">
        <x:v>288</x:v>
      </x:c>
      <x:c r="C116" s="52" t="b">
        <x:v>1</x:v>
      </x:c>
      <x:c r="D116" s="80"/>
      <x:c r="E116" s="82"/>
    </x:row>
    <x:row r="117" ht="23" customHeight="1">
      <x:c r="A117" s="24" t="s">
        <x:v>287</x:v>
      </x:c>
      <x:c r="B117" s="53" t="s">
        <x:v>288</x:v>
      </x:c>
      <x:c r="C117" s="57" t="b">
        <x:v>0</x:v>
      </x:c>
      <x:c r="D117" s="80"/>
      <x:c r="E117" s="82"/>
    </x:row>
    <x:row r="118" ht="23" customHeight="1">
      <x:c r="A118" s="21" t="s">
        <x:v>280</x:v>
      </x:c>
      <x:c r="B118" s="45" t="s">
        <x:v>289</x:v>
      </x:c>
      <x:c r="C118" s="52" t="b">
        <x:v>1</x:v>
      </x:c>
      <x:c r="D118" s="80"/>
      <x:c r="E118" s="82"/>
    </x:row>
    <x:row r="119" ht="23" customHeight="1">
      <x:c r="A119" s="24" t="s">
        <x:v>285</x:v>
      </x:c>
      <x:c r="B119" s="53" t="s">
        <x:v>290</x:v>
      </x:c>
      <x:c r="C119" s="57" t="b">
        <x:v>1</x:v>
      </x:c>
      <x:c r="D119" s="80"/>
      <x:c r="E119" s="82"/>
    </x:row>
    <x:row r="120" ht="23" customHeight="1">
      <x:c r="A120" s="21" t="s">
        <x:v>277</x:v>
      </x:c>
      <x:c r="B120" s="45" t="s">
        <x:v>290</x:v>
      </x:c>
      <x:c r="C120" s="52" t="b">
        <x:v>0</x:v>
      </x:c>
      <x:c r="D120" s="80"/>
      <x:c r="E120" s="82"/>
    </x:row>
    <x:row r="121" ht="23" customHeight="1">
      <x:c r="A121" s="24" t="s">
        <x:v>125</x:v>
      </x:c>
      <x:c r="B121" s="53" t="s">
        <x:v>290</x:v>
      </x:c>
      <x:c r="C121" s="57" t="b">
        <x:v>1</x:v>
      </x:c>
      <x:c r="D121" s="80"/>
      <x:c r="E121" s="82"/>
    </x:row>
    <x:row r="122" ht="23" customHeight="1">
      <x:c r="A122" s="21" t="s">
        <x:v>293</x:v>
      </x:c>
      <x:c r="B122" s="45" t="s">
        <x:v>292</x:v>
      </x:c>
      <x:c r="C122" s="52" t="b">
        <x:v>1</x:v>
      </x:c>
      <x:c r="D122" s="80"/>
      <x:c r="E122" s="82"/>
    </x:row>
    <x:row r="123" ht="23" customHeight="1">
      <x:c r="A123" s="24" t="s">
        <x:v>291</x:v>
      </x:c>
      <x:c r="B123" s="53" t="s">
        <x:v>292</x:v>
      </x:c>
      <x:c r="C123" s="57" t="b">
        <x:v>1</x:v>
      </x:c>
      <x:c r="D123" s="80"/>
      <x:c r="E123" s="82"/>
    </x:row>
    <x:row r="124" ht="23" customHeight="1">
      <x:c r="A124" s="21" t="s">
        <x:v>294</x:v>
      </x:c>
      <x:c r="B124" s="45" t="s">
        <x:v>293</x:v>
      </x:c>
      <x:c r="C124" s="52" t="b">
        <x:v>1</x:v>
      </x:c>
      <x:c r="D124" s="80"/>
      <x:c r="E124" s="82"/>
    </x:row>
    <x:row r="125" ht="23" customHeight="1">
      <x:c r="A125" s="24" t="s">
        <x:v>285</x:v>
      </x:c>
      <x:c r="B125" s="53" t="s">
        <x:v>291</x:v>
      </x:c>
      <x:c r="C125" s="57" t="b">
        <x:v>1</x:v>
      </x:c>
      <x:c r="D125" s="80"/>
      <x:c r="E125" s="82"/>
    </x:row>
    <x:row r="126" ht="23" customHeight="1">
      <x:c r="A126" s="21" t="s">
        <x:v>294</x:v>
      </x:c>
      <x:c r="B126" s="45" t="s">
        <x:v>297</x:v>
      </x:c>
      <x:c r="C126" s="52" t="b">
        <x:v>1</x:v>
      </x:c>
      <x:c r="D126" s="80"/>
      <x:c r="E126" s="82"/>
    </x:row>
    <x:row r="127" ht="23" customHeight="1">
      <x:c r="A127" s="24" t="s">
        <x:v>291</x:v>
      </x:c>
      <x:c r="B127" s="53" t="s">
        <x:v>297</x:v>
      </x:c>
      <x:c r="C127" s="57" t="b">
        <x:v>1</x:v>
      </x:c>
      <x:c r="D127" s="80"/>
      <x:c r="E127" s="82"/>
    </x:row>
    <x:row r="128" ht="23" customHeight="1">
      <x:c r="A128" s="21" t="s">
        <x:v>295</x:v>
      </x:c>
      <x:c r="B128" s="45" t="s">
        <x:v>297</x:v>
      </x:c>
      <x:c r="C128" s="52" t="b">
        <x:v>1</x:v>
      </x:c>
      <x:c r="D128" s="80"/>
      <x:c r="E128" s="82"/>
    </x:row>
    <x:row r="129" ht="23" customHeight="1">
      <x:c r="A129" s="24" t="s">
        <x:v>296</x:v>
      </x:c>
      <x:c r="B129" s="53" t="s">
        <x:v>295</x:v>
      </x:c>
      <x:c r="C129" s="57" t="b">
        <x:v>1</x:v>
      </x:c>
      <x:c r="D129" s="80"/>
      <x:c r="E129" s="82"/>
    </x:row>
    <x:row r="130" ht="23" customHeight="1">
      <x:c r="A130" s="21" t="s">
        <x:v>145</x:v>
      </x:c>
      <x:c r="B130" s="45" t="s">
        <x:v>295</x:v>
      </x:c>
      <x:c r="C130" s="52" t="b">
        <x:v>1</x:v>
      </x:c>
      <x:c r="D130" s="80"/>
      <x:c r="E130" s="82"/>
    </x:row>
    <x:row r="131" ht="23" customHeight="1">
      <x:c r="A131" s="24" t="s">
        <x:v>301</x:v>
      </x:c>
      <x:c r="B131" s="53" t="s">
        <x:v>296</x:v>
      </x:c>
      <x:c r="C131" s="57" t="b">
        <x:v>1</x:v>
      </x:c>
      <x:c r="D131" s="80"/>
      <x:c r="E131" s="82"/>
    </x:row>
    <x:row r="132" ht="23" customHeight="1">
      <x:c r="A132" s="21" t="s">
        <x:v>300</x:v>
      </x:c>
      <x:c r="B132" s="45" t="s">
        <x:v>296</x:v>
      </x:c>
      <x:c r="C132" s="52" t="b">
        <x:v>1</x:v>
      </x:c>
      <x:c r="D132" s="80"/>
      <x:c r="E132" s="82"/>
    </x:row>
    <x:row r="133" ht="23" customHeight="1">
      <x:c r="A133" s="24" t="s">
        <x:v>301</x:v>
      </x:c>
      <x:c r="B133" s="53" t="s">
        <x:v>300</x:v>
      </x:c>
      <x:c r="C133" s="57" t="b">
        <x:v>1</x:v>
      </x:c>
      <x:c r="D133" s="80"/>
      <x:c r="E133" s="82"/>
    </x:row>
    <x:row r="134" ht="23" customHeight="1">
      <x:c r="A134" s="21" t="s">
        <x:v>302</x:v>
      </x:c>
      <x:c r="B134" s="45" t="s">
        <x:v>278</x:v>
      </x:c>
      <x:c r="C134" s="52" t="b">
        <x:v>0</x:v>
      </x:c>
      <x:c r="D134" s="80"/>
      <x:c r="E134" s="82"/>
    </x:row>
    <x:row r="135" ht="23" customHeight="1">
      <x:c r="A135" s="24" t="s">
        <x:v>289</x:v>
      </x:c>
      <x:c r="B135" s="53" t="s">
        <x:v>302</x:v>
      </x:c>
      <x:c r="C135" s="57" t="b">
        <x:v>1</x:v>
      </x:c>
      <x:c r="D135" s="80"/>
      <x:c r="E135" s="82"/>
    </x:row>
    <x:row r="136" ht="23" customHeight="1">
      <x:c r="A136" s="21" t="s">
        <x:v>301</x:v>
      </x:c>
      <x:c r="B136" s="45" t="s">
        <x:v>302</x:v>
      </x:c>
      <x:c r="C136" s="52" t="b">
        <x:v>1</x:v>
      </x:c>
      <x:c r="D136" s="80"/>
      <x:c r="E136" s="82"/>
    </x:row>
    <x:row r="137" ht="23" customHeight="1">
      <x:c r="A137" s="24" t="s">
        <x:v>299</x:v>
      </x:c>
      <x:c r="B137" s="53" t="s">
        <x:v>300</x:v>
      </x:c>
      <x:c r="C137" s="57" t="b">
        <x:v>1</x:v>
      </x:c>
      <x:c r="D137" s="80"/>
      <x:c r="E137" s="82"/>
    </x:row>
    <x:row r="138" ht="23" customHeight="1">
      <x:c r="A138" s="21" t="s">
        <x:v>289</x:v>
      </x:c>
      <x:c r="B138" s="45" t="s">
        <x:v>299</x:v>
      </x:c>
      <x:c r="C138" s="52" t="b">
        <x:v>1</x:v>
      </x:c>
      <x:c r="D138" s="80"/>
      <x:c r="E138" s="82"/>
    </x:row>
    <x:row r="139" ht="23" customHeight="1">
      <x:c r="A139" s="24" t="s">
        <x:v>289</x:v>
      </x:c>
      <x:c r="B139" s="53" t="s">
        <x:v>300</x:v>
      </x:c>
      <x:c r="C139" s="57" t="b">
        <x:v>1</x:v>
      </x:c>
      <x:c r="D139" s="80"/>
      <x:c r="E139" s="82"/>
    </x:row>
    <x:row r="140" ht="23" customHeight="1">
      <x:c r="A140" s="21" t="s">
        <x:v>303</x:v>
      </x:c>
      <x:c r="B140" s="45" t="s">
        <x:v>299</x:v>
      </x:c>
      <x:c r="C140" s="52" t="b">
        <x:v>1</x:v>
      </x:c>
      <x:c r="D140" s="80"/>
      <x:c r="E140" s="82"/>
    </x:row>
    <x:row r="141" ht="23" customHeight="1">
      <x:c r="A141" s="24" t="s">
        <x:v>303</x:v>
      </x:c>
      <x:c r="B141" s="53" t="s">
        <x:v>298</x:v>
      </x:c>
      <x:c r="C141" s="57" t="b">
        <x:v>1</x:v>
      </x:c>
      <x:c r="D141" s="80"/>
      <x:c r="E141" s="82"/>
    </x:row>
    <x:row r="142" ht="23" customHeight="1">
      <x:c r="A142" s="21" t="s">
        <x:v>296</x:v>
      </x:c>
      <x:c r="B142" s="45" t="s">
        <x:v>298</x:v>
      </x:c>
      <x:c r="C142" s="52" t="b">
        <x:v>1</x:v>
      </x:c>
      <x:c r="D142" s="80"/>
      <x:c r="E142" s="82"/>
    </x:row>
    <x:row r="143" ht="23" customHeight="1">
      <x:c r="A143" s="24" t="s">
        <x:v>289</x:v>
      </x:c>
      <x:c r="B143" s="53" t="s">
        <x:v>303</x:v>
      </x:c>
      <x:c r="C143" s="57" t="b">
        <x:v>1</x:v>
      </x:c>
      <x:c r="D143" s="80"/>
      <x:c r="E143" s="82"/>
    </x:row>
    <x:row r="144" ht="23" customHeight="1">
      <x:c r="A144" s="21" t="s">
        <x:v>304</x:v>
      </x:c>
      <x:c r="B144" s="45" t="s">
        <x:v>303</x:v>
      </x:c>
      <x:c r="C144" s="52" t="b">
        <x:v>1</x:v>
      </x:c>
      <x:c r="D144" s="80"/>
      <x:c r="E144" s="82"/>
    </x:row>
    <x:row r="145" ht="23" customHeight="1">
      <x:c r="A145" s="24" t="s">
        <x:v>305</x:v>
      </x:c>
      <x:c r="B145" s="53" t="s">
        <x:v>303</x:v>
      </x:c>
      <x:c r="C145" s="57" t="b">
        <x:v>1</x:v>
      </x:c>
      <x:c r="D145" s="80"/>
      <x:c r="E145" s="82"/>
    </x:row>
    <x:row r="146" ht="23" customHeight="1">
      <x:c r="A146" s="21" t="s">
        <x:v>304</x:v>
      </x:c>
      <x:c r="B146" s="45" t="s">
        <x:v>305</x:v>
      </x:c>
      <x:c r="C146" s="52" t="b">
        <x:v>1</x:v>
      </x:c>
      <x:c r="D146" s="80"/>
      <x:c r="E146" s="82"/>
    </x:row>
    <x:row r="147" ht="23" customHeight="1">
      <x:c r="A147" s="24" t="s">
        <x:v>306</x:v>
      </x:c>
      <x:c r="B147" s="53" t="s">
        <x:v>305</x:v>
      </x:c>
      <x:c r="C147" s="57" t="b">
        <x:v>1</x:v>
      </x:c>
      <x:c r="D147" s="80"/>
      <x:c r="E147" s="82"/>
    </x:row>
    <x:row r="148" ht="23" customHeight="1">
      <x:c r="A148" s="21" t="s">
        <x:v>307</x:v>
      </x:c>
      <x:c r="B148" s="45" t="s">
        <x:v>304</x:v>
      </x:c>
      <x:c r="C148" s="52" t="b">
        <x:v>1</x:v>
      </x:c>
      <x:c r="D148" s="80"/>
      <x:c r="E148" s="82"/>
    </x:row>
    <x:row r="149" ht="23" customHeight="1">
      <x:c r="A149" s="24" t="s">
        <x:v>306</x:v>
      </x:c>
      <x:c r="B149" s="53" t="s">
        <x:v>307</x:v>
      </x:c>
      <x:c r="C149" s="57" t="b">
        <x:v>1</x:v>
      </x:c>
      <x:c r="D149" s="80"/>
      <x:c r="E149" s="82"/>
    </x:row>
    <x:row r="150" ht="23" customHeight="1">
      <x:c r="A150" s="21" t="s">
        <x:v>296</x:v>
      </x:c>
      <x:c r="B150" s="45" t="s">
        <x:v>304</x:v>
      </x:c>
      <x:c r="C150" s="52" t="b">
        <x:v>1</x:v>
      </x:c>
      <x:c r="D150" s="80"/>
      <x:c r="E150" s="82"/>
    </x:row>
    <x:row r="151" ht="23" customHeight="1">
      <x:c r="A151" s="24" t="s">
        <x:v>301</x:v>
      </x:c>
      <x:c r="B151" s="53" t="s">
        <x:v>125</x:v>
      </x:c>
      <x:c r="C151" s="57" t="b">
        <x:v>1</x:v>
      </x:c>
      <x:c r="D151" s="80"/>
      <x:c r="E151" s="82"/>
    </x:row>
    <x:row r="152" ht="23" customHeight="1">
      <x:c r="A152" s="21" t="s">
        <x:v>279</x:v>
      </x:c>
      <x:c r="B152" s="45" t="s">
        <x:v>308</x:v>
      </x:c>
      <x:c r="C152" s="52" t="b">
        <x:v>1</x:v>
      </x:c>
      <x:c r="D152" s="80"/>
      <x:c r="E152" s="82"/>
    </x:row>
    <x:row r="153" ht="23" customHeight="1">
      <x:c r="A153" s="24" t="s">
        <x:v>280</x:v>
      </x:c>
      <x:c r="B153" s="53" t="s">
        <x:v>308</x:v>
      </x:c>
      <x:c r="C153" s="57" t="b">
        <x:v>1</x:v>
      </x:c>
      <x:c r="D153" s="80"/>
      <x:c r="E153" s="82"/>
    </x:row>
    <x:row r="154" ht="23" customHeight="1">
      <x:c r="A154" s="21" t="s">
        <x:v>278</x:v>
      </x:c>
      <x:c r="B154" s="45" t="s">
        <x:v>308</x:v>
      </x:c>
      <x:c r="C154" s="52" t="b">
        <x:v>1</x:v>
      </x:c>
      <x:c r="D154" s="80"/>
      <x:c r="E154" s="82"/>
    </x:row>
    <x:row r="155" ht="23" customHeight="1">
      <x:c r="A155" s="24" t="s">
        <x:v>285</x:v>
      </x:c>
      <x:c r="B155" s="53" t="s">
        <x:v>310</x:v>
      </x:c>
      <x:c r="C155" s="57" t="b">
        <x:v>1</x:v>
      </x:c>
      <x:c r="D155" s="80"/>
      <x:c r="E155" s="82"/>
    </x:row>
    <x:row r="156" ht="23" customHeight="1">
      <x:c r="A156" s="21" t="s">
        <x:v>309</x:v>
      </x:c>
      <x:c r="B156" s="45" t="s">
        <x:v>310</x:v>
      </x:c>
      <x:c r="C156" s="52" t="b">
        <x:v>1</x:v>
      </x:c>
      <x:c r="D156" s="80"/>
      <x:c r="E156" s="82"/>
    </x:row>
    <x:row r="157" ht="23" customHeight="1">
      <x:c r="A157" s="24" t="s">
        <x:v>141</x:v>
      </x:c>
      <x:c r="B157" s="53" t="s">
        <x:v>310</x:v>
      </x:c>
      <x:c r="C157" s="57" t="b">
        <x:v>1</x:v>
      </x:c>
      <x:c r="D157" s="80"/>
      <x:c r="E157" s="82"/>
    </x:row>
    <x:row r="158" ht="23" customHeight="1">
      <x:c r="A158" s="21" t="s">
        <x:v>292</x:v>
      </x:c>
      <x:c r="B158" s="45" t="s">
        <x:v>309</x:v>
      </x:c>
      <x:c r="C158" s="52" t="b">
        <x:v>1</x:v>
      </x:c>
      <x:c r="D158" s="80"/>
      <x:c r="E158" s="82"/>
    </x:row>
    <x:row r="159" ht="23" customHeight="1">
      <x:c r="A159" s="24" t="s">
        <x:v>293</x:v>
      </x:c>
      <x:c r="B159" s="53" t="s">
        <x:v>123</x:v>
      </x:c>
      <x:c r="C159" s="57" t="b">
        <x:v>1</x:v>
      </x:c>
      <x:c r="D159" s="80"/>
      <x:c r="E159" s="82"/>
    </x:row>
    <x:row r="160" ht="23" customHeight="1">
      <x:c r="A160" s="21" t="s">
        <x:v>309</x:v>
      </x:c>
      <x:c r="B160" s="45" t="s">
        <x:v>311</x:v>
      </x:c>
      <x:c r="C160" s="52" t="b">
        <x:v>1</x:v>
      </x:c>
      <x:c r="D160" s="80"/>
      <x:c r="E160" s="82"/>
    </x:row>
    <x:row r="161" ht="23" customHeight="1">
      <x:c r="A161" s="24" t="s">
        <x:v>123</x:v>
      </x:c>
      <x:c r="B161" s="53" t="s">
        <x:v>311</x:v>
      </x:c>
      <x:c r="C161" s="57" t="b">
        <x:v>1</x:v>
      </x:c>
      <x:c r="D161" s="80"/>
      <x:c r="E161" s="82"/>
    </x:row>
    <x:row r="162" ht="23" customHeight="1">
      <x:c r="A162" s="21" t="s">
        <x:v>199</x:v>
      </x:c>
      <x:c r="B162" s="45" t="s">
        <x:v>311</x:v>
      </x:c>
      <x:c r="C162" s="52" t="b">
        <x:v>1</x:v>
      </x:c>
      <x:c r="D162" s="80"/>
      <x:c r="E162" s="82"/>
    </x:row>
    <x:row r="163" ht="23" customHeight="1">
      <x:c r="A163" s="24" t="s">
        <x:v>268</x:v>
      </x:c>
      <x:c r="B163" s="53" t="s">
        <x:v>313</x:v>
      </x:c>
      <x:c r="C163" s="57" t="b">
        <x:v>1</x:v>
      </x:c>
      <x:c r="D163" s="80"/>
      <x:c r="E163" s="82"/>
    </x:row>
    <x:row r="164" ht="23" customHeight="1">
      <x:c r="A164" s="21" t="s">
        <x:v>269</x:v>
      </x:c>
      <x:c r="B164" s="45" t="s">
        <x:v>315</x:v>
      </x:c>
      <x:c r="C164" s="52" t="b">
        <x:v>1</x:v>
      </x:c>
      <x:c r="D164" s="80"/>
      <x:c r="E164" s="82"/>
    </x:row>
    <x:row r="165" ht="23" customHeight="1">
      <x:c r="A165" s="24" t="s">
        <x:v>313</x:v>
      </x:c>
      <x:c r="B165" s="53" t="s">
        <x:v>315</x:v>
      </x:c>
      <x:c r="C165" s="57" t="b">
        <x:v>1</x:v>
      </x:c>
      <x:c r="D165" s="80"/>
      <x:c r="E165" s="82"/>
    </x:row>
    <x:row r="166" ht="23" customHeight="1">
      <x:c r="A166" s="21" t="s">
        <x:v>181</x:v>
      </x:c>
      <x:c r="B166" s="45" t="s">
        <x:v>315</x:v>
      </x:c>
      <x:c r="C166" s="52" t="b">
        <x:v>1</x:v>
      </x:c>
      <x:c r="D166" s="80"/>
      <x:c r="E166" s="82"/>
    </x:row>
    <x:row r="167" ht="23" customHeight="1">
      <x:c r="A167" s="24" t="s">
        <x:v>313</x:v>
      </x:c>
      <x:c r="B167" s="53" t="s">
        <x:v>314</x:v>
      </x:c>
      <x:c r="C167" s="57" t="b">
        <x:v>1</x:v>
      </x:c>
      <x:c r="D167" s="80"/>
      <x:c r="E167" s="82"/>
    </x:row>
    <x:row r="168" ht="23" customHeight="1">
      <x:c r="A168" s="21" t="s">
        <x:v>316</x:v>
      </x:c>
      <x:c r="B168" s="45" t="s">
        <x:v>314</x:v>
      </x:c>
      <x:c r="C168" s="52" t="b">
        <x:v>1</x:v>
      </x:c>
      <x:c r="D168" s="80"/>
      <x:c r="E168" s="82"/>
    </x:row>
    <x:row r="169" ht="23" customHeight="1">
      <x:c r="A169" s="24" t="s">
        <x:v>317</x:v>
      </x:c>
      <x:c r="B169" s="53" t="s">
        <x:v>316</x:v>
      </x:c>
      <x:c r="C169" s="57" t="b">
        <x:v>1</x:v>
      </x:c>
      <x:c r="D169" s="80"/>
      <x:c r="E169" s="82"/>
    </x:row>
    <x:row r="170" ht="23" customHeight="1">
      <x:c r="A170" s="21" t="s">
        <x:v>309</x:v>
      </x:c>
      <x:c r="B170" s="45" t="s">
        <x:v>318</x:v>
      </x:c>
      <x:c r="C170" s="52" t="b">
        <x:v>1</x:v>
      </x:c>
      <x:c r="D170" s="80"/>
      <x:c r="E170" s="82"/>
    </x:row>
    <x:row r="171" ht="23" customHeight="1">
      <x:c r="A171" s="24" t="s">
        <x:v>319</x:v>
      </x:c>
      <x:c r="B171" s="53" t="s">
        <x:v>318</x:v>
      </x:c>
      <x:c r="C171" s="57" t="b">
        <x:v>1</x:v>
      </x:c>
      <x:c r="D171" s="80"/>
      <x:c r="E171" s="82"/>
    </x:row>
    <x:row r="172" ht="23" customHeight="1">
      <x:c r="A172" s="21" t="s">
        <x:v>199</x:v>
      </x:c>
      <x:c r="B172" s="45" t="s">
        <x:v>319</x:v>
      </x:c>
      <x:c r="C172" s="52" t="b">
        <x:v>1</x:v>
      </x:c>
      <x:c r="D172" s="80"/>
      <x:c r="E172" s="82"/>
    </x:row>
    <x:row r="173" ht="23" customHeight="1">
      <x:c r="A173" s="24" t="s">
        <x:v>320</x:v>
      </x:c>
      <x:c r="B173" s="53" t="s">
        <x:v>321</x:v>
      </x:c>
      <x:c r="C173" s="57" t="b">
        <x:v>1</x:v>
      </x:c>
      <x:c r="D173" s="80"/>
      <x:c r="E173" s="82"/>
    </x:row>
    <x:row r="174" ht="23" customHeight="1">
      <x:c r="A174" s="21" t="s">
        <x:v>317</x:v>
      </x:c>
      <x:c r="B174" s="45" t="s">
        <x:v>321</x:v>
      </x:c>
      <x:c r="C174" s="52" t="b">
        <x:v>1</x:v>
      </x:c>
      <x:c r="D174" s="80"/>
      <x:c r="E174" s="82"/>
    </x:row>
    <x:row r="175" ht="23" customHeight="1">
      <x:c r="A175" s="24" t="s">
        <x:v>320</x:v>
      </x:c>
      <x:c r="B175" s="53" t="s">
        <x:v>143</x:v>
      </x:c>
      <x:c r="C175" s="57" t="b">
        <x:v>1</x:v>
      </x:c>
      <x:c r="D175" s="80"/>
      <x:c r="E175" s="82"/>
    </x:row>
    <x:row r="176" ht="23" customHeight="1">
      <x:c r="A176" s="21" t="s">
        <x:v>310</x:v>
      </x:c>
      <x:c r="B176" s="45" t="s">
        <x:v>322</x:v>
      </x:c>
      <x:c r="C176" s="52" t="b">
        <x:v>1</x:v>
      </x:c>
      <x:c r="D176" s="80"/>
      <x:c r="E176" s="82"/>
    </x:row>
    <x:row r="177" ht="23" customHeight="1">
      <x:c r="A177" s="24" t="s">
        <x:v>318</x:v>
      </x:c>
      <x:c r="B177" s="53" t="s">
        <x:v>322</x:v>
      </x:c>
      <x:c r="C177" s="57" t="b">
        <x:v>1</x:v>
      </x:c>
      <x:c r="D177" s="80"/>
      <x:c r="E177" s="82"/>
    </x:row>
    <x:row r="178" ht="23" customHeight="1">
      <x:c r="A178" s="21" t="s">
        <x:v>320</x:v>
      </x:c>
      <x:c r="B178" s="45" t="s">
        <x:v>322</x:v>
      </x:c>
      <x:c r="C178" s="52" t="b">
        <x:v>1</x:v>
      </x:c>
      <x:c r="D178" s="80"/>
      <x:c r="E178" s="82"/>
    </x:row>
    <x:row r="179" ht="23" customHeight="1">
      <x:c r="A179" s="24" t="s">
        <x:v>318</x:v>
      </x:c>
      <x:c r="B179" s="53" t="s">
        <x:v>312</x:v>
      </x:c>
      <x:c r="C179" s="57" t="b">
        <x:v>1</x:v>
      </x:c>
      <x:c r="D179" s="80"/>
      <x:c r="E179" s="82"/>
    </x:row>
    <x:row r="180" ht="23" customHeight="1">
      <x:c r="A180" s="21" t="s">
        <x:v>319</x:v>
      </x:c>
      <x:c r="B180" s="45" t="s">
        <x:v>323</x:v>
      </x:c>
      <x:c r="C180" s="52" t="b">
        <x:v>1</x:v>
      </x:c>
      <x:c r="D180" s="80"/>
      <x:c r="E180" s="82"/>
    </x:row>
    <x:row r="181" ht="23" customHeight="1">
      <x:c r="A181" s="24" t="s">
        <x:v>318</x:v>
      </x:c>
      <x:c r="B181" s="53" t="s">
        <x:v>323</x:v>
      </x:c>
      <x:c r="C181" s="57" t="b">
        <x:v>1</x:v>
      </x:c>
      <x:c r="D181" s="80"/>
      <x:c r="E181" s="82"/>
    </x:row>
    <x:row r="182" ht="23" customHeight="1">
      <x:c r="A182" s="21" t="s">
        <x:v>324</x:v>
      </x:c>
      <x:c r="B182" s="45" t="s">
        <x:v>323</x:v>
      </x:c>
      <x:c r="C182" s="52" t="b">
        <x:v>1</x:v>
      </x:c>
      <x:c r="D182" s="80"/>
      <x:c r="E182" s="82"/>
    </x:row>
    <x:row r="183" ht="23" customHeight="1">
      <x:c r="A183" s="24" t="s">
        <x:v>325</x:v>
      </x:c>
      <x:c r="B183" s="53" t="s">
        <x:v>324</x:v>
      </x:c>
      <x:c r="C183" s="57" t="b">
        <x:v>1</x:v>
      </x:c>
      <x:c r="D183" s="80"/>
      <x:c r="E183" s="82"/>
    </x:row>
    <x:row r="184" ht="23" customHeight="1">
      <x:c r="A184" s="21" t="s">
        <x:v>319</x:v>
      </x:c>
      <x:c r="B184" s="45" t="s">
        <x:v>330</x:v>
      </x:c>
      <x:c r="C184" s="52" t="b">
        <x:v>1</x:v>
      </x:c>
      <x:c r="D184" s="80"/>
      <x:c r="E184" s="82"/>
    </x:row>
    <x:row r="185" ht="23" customHeight="1">
      <x:c r="A185" s="24" t="s">
        <x:v>329</x:v>
      </x:c>
      <x:c r="B185" s="53" t="s">
        <x:v>330</x:v>
      </x:c>
      <x:c r="C185" s="57" t="b">
        <x:v>1</x:v>
      </x:c>
      <x:c r="D185" s="80"/>
      <x:c r="E185" s="82"/>
    </x:row>
    <x:row r="186" ht="23" customHeight="1">
      <x:c r="A186" s="21" t="s">
        <x:v>327</x:v>
      </x:c>
      <x:c r="B186" s="45" t="s">
        <x:v>329</x:v>
      </x:c>
      <x:c r="C186" s="52" t="b">
        <x:v>1</x:v>
      </x:c>
      <x:c r="D186" s="80"/>
      <x:c r="E186" s="82"/>
    </x:row>
    <x:row r="187" ht="23" customHeight="1">
      <x:c r="A187" s="24" t="s">
        <x:v>327</x:v>
      </x:c>
      <x:c r="B187" s="53" t="s">
        <x:v>326</x:v>
      </x:c>
      <x:c r="C187" s="57" t="b">
        <x:v>1</x:v>
      </x:c>
      <x:c r="D187" s="80"/>
      <x:c r="E187" s="82"/>
    </x:row>
    <x:row r="188" ht="23" customHeight="1">
      <x:c r="A188" s="21" t="s">
        <x:v>323</x:v>
      </x:c>
      <x:c r="B188" s="45" t="s">
        <x:v>326</x:v>
      </x:c>
      <x:c r="C188" s="52" t="b">
        <x:v>1</x:v>
      </x:c>
      <x:c r="D188" s="80"/>
      <x:c r="E188" s="82"/>
    </x:row>
    <x:row r="189" ht="23" customHeight="1">
      <x:c r="A189" s="24" t="s">
        <x:v>325</x:v>
      </x:c>
      <x:c r="B189" s="53" t="s">
        <x:v>328</x:v>
      </x:c>
      <x:c r="C189" s="57" t="b">
        <x:v>1</x:v>
      </x:c>
      <x:c r="D189" s="80"/>
      <x:c r="E189" s="82"/>
    </x:row>
    <x:row r="190" ht="23" customHeight="1">
      <x:c r="A190" s="21" t="s">
        <x:v>312</x:v>
      </x:c>
      <x:c r="B190" s="45" t="s">
        <x:v>325</x:v>
      </x:c>
      <x:c r="C190" s="52" t="b">
        <x:v>1</x:v>
      </x:c>
      <x:c r="D190" s="80"/>
      <x:c r="E190" s="82"/>
    </x:row>
    <x:row r="191" ht="23" customHeight="1">
      <x:c r="A191" s="24" t="s">
        <x:v>328</x:v>
      </x:c>
      <x:c r="B191" s="53" t="s">
        <x:v>327</x:v>
      </x:c>
      <x:c r="C191" s="57" t="b">
        <x:v>1</x:v>
      </x:c>
      <x:c r="D191" s="80"/>
      <x:c r="E191" s="82"/>
    </x:row>
    <x:row r="192" ht="23" customHeight="1">
      <x:c r="A192" s="21" t="s">
        <x:v>330</x:v>
      </x:c>
      <x:c r="B192" s="45" t="s">
        <x:v>332</x:v>
      </x:c>
      <x:c r="C192" s="52" t="b">
        <x:v>1</x:v>
      </x:c>
      <x:c r="D192" s="80"/>
      <x:c r="E192" s="82"/>
    </x:row>
    <x:row r="193" ht="23" customHeight="1">
      <x:c r="A193" s="24" t="s">
        <x:v>331</x:v>
      </x:c>
      <x:c r="B193" s="53" t="s">
        <x:v>332</x:v>
      </x:c>
      <x:c r="C193" s="57" t="b">
        <x:v>1</x:v>
      </x:c>
      <x:c r="D193" s="80"/>
      <x:c r="E193" s="82"/>
    </x:row>
    <x:row r="194" ht="23" customHeight="1">
      <x:c r="A194" s="21" t="s">
        <x:v>327</x:v>
      </x:c>
      <x:c r="B194" s="45" t="s">
        <x:v>331</x:v>
      </x:c>
      <x:c r="C194" s="52" t="b">
        <x:v>1</x:v>
      </x:c>
      <x:c r="D194" s="80"/>
      <x:c r="E194" s="82"/>
    </x:row>
    <x:row r="195" ht="23" customHeight="1">
      <x:c r="A195" s="24" t="s">
        <x:v>117</x:v>
      </x:c>
      <x:c r="B195" s="53" t="s">
        <x:v>273</x:v>
      </x:c>
      <x:c r="C195" s="57" t="b">
        <x:v>0</x:v>
      </x:c>
      <x:c r="D195" s="80"/>
      <x:c r="E195" s="82"/>
    </x:row>
    <x:row r="196" ht="23" customHeight="1">
      <x:c r="A196" s="21" t="s">
        <x:v>155</x:v>
      </x:c>
      <x:c r="B196" s="45" t="s">
        <x:v>333</x:v>
      </x:c>
      <x:c r="C196" s="52" t="b">
        <x:v>1</x:v>
      </x:c>
      <x:c r="D196" s="80"/>
      <x:c r="E196" s="82"/>
    </x:row>
    <x:row r="197" ht="23" customHeight="1">
      <x:c r="A197" s="24" t="s">
        <x:v>273</x:v>
      </x:c>
      <x:c r="B197" s="53" t="s">
        <x:v>333</x:v>
      </x:c>
      <x:c r="C197" s="57" t="b">
        <x:v>1</x:v>
      </x:c>
      <x:c r="D197" s="80"/>
      <x:c r="E197" s="82"/>
    </x:row>
    <x:row r="198" ht="23" customHeight="1">
      <x:c r="A198" s="21" t="s">
        <x:v>221</x:v>
      </x:c>
      <x:c r="B198" s="45" t="s">
        <x:v>187</x:v>
      </x:c>
      <x:c r="C198" s="52" t="b">
        <x:v>1</x:v>
      </x:c>
      <x:c r="D198" s="80"/>
      <x:c r="E198" s="82"/>
    </x:row>
    <x:row r="199" ht="23" customHeight="1">
      <x:c r="A199" s="24" t="s">
        <x:v>314</x:v>
      </x:c>
      <x:c r="B199" s="53" t="s">
        <x:v>334</x:v>
      </x:c>
      <x:c r="C199" s="57" t="b">
        <x:v>1</x:v>
      </x:c>
      <x:c r="D199" s="80"/>
      <x:c r="E199" s="82"/>
    </x:row>
    <x:row r="200" ht="23" customHeight="1">
      <x:c r="A200" s="21" t="s">
        <x:v>101</x:v>
      </x:c>
      <x:c r="B200" s="45" t="s">
        <x:v>334</x:v>
      </x:c>
      <x:c r="C200" s="52" t="b">
        <x:v>1</x:v>
      </x:c>
      <x:c r="D200" s="80"/>
      <x:c r="E200" s="82"/>
    </x:row>
    <x:row r="201" ht="23" customHeight="1">
      <x:c r="A201" s="24" t="s">
        <x:v>181</x:v>
      </x:c>
      <x:c r="B201" s="53" t="s">
        <x:v>334</x:v>
      </x:c>
      <x:c r="C201" s="57" t="b">
        <x:v>1</x:v>
      </x:c>
      <x:c r="D201" s="80"/>
      <x:c r="E201" s="82"/>
    </x:row>
    <x:row r="202" ht="23" customHeight="1">
      <x:c r="A202" s="21" t="s">
        <x:v>263</x:v>
      </x:c>
      <x:c r="B202" s="45" t="s">
        <x:v>335</x:v>
      </x:c>
      <x:c r="C202" s="52" t="b">
        <x:v>1</x:v>
      </x:c>
      <x:c r="D202" s="80"/>
      <x:c r="E202" s="82"/>
    </x:row>
    <x:row r="203" ht="23" customHeight="1">
      <x:c r="A203" s="24" t="s">
        <x:v>334</x:v>
      </x:c>
      <x:c r="B203" s="53" t="s">
        <x:v>335</x:v>
      </x:c>
      <x:c r="C203" s="57" t="b">
        <x:v>1</x:v>
      </x:c>
      <x:c r="D203" s="80"/>
      <x:c r="E203" s="82"/>
    </x:row>
    <x:row r="204" ht="23" customHeight="1">
      <x:c r="A204" s="21" t="s">
        <x:v>336</x:v>
      </x:c>
      <x:c r="B204" s="45" t="s">
        <x:v>335</x:v>
      </x:c>
      <x:c r="C204" s="52" t="b">
        <x:v>1</x:v>
      </x:c>
      <x:c r="D204" s="80"/>
      <x:c r="E204" s="82"/>
    </x:row>
    <x:row r="205" ht="23" customHeight="1">
      <x:c r="A205" s="24" t="s">
        <x:v>173</x:v>
      </x:c>
      <x:c r="B205" s="53" t="s">
        <x:v>339</x:v>
      </x:c>
      <x:c r="C205" s="57" t="b">
        <x:v>1</x:v>
      </x:c>
      <x:c r="D205" s="80"/>
      <x:c r="E205" s="82"/>
    </x:row>
    <x:row r="206" ht="23" customHeight="1">
      <x:c r="A206" s="21" t="s">
        <x:v>263</x:v>
      </x:c>
      <x:c r="B206" s="45" t="s">
        <x:v>339</x:v>
      </x:c>
      <x:c r="C206" s="52" t="b">
        <x:v>1</x:v>
      </x:c>
      <x:c r="D206" s="80"/>
      <x:c r="E206" s="82"/>
    </x:row>
    <x:row r="207" ht="23" customHeight="1">
      <x:c r="A207" s="24" t="s">
        <x:v>338</x:v>
      </x:c>
      <x:c r="B207" s="53" t="s">
        <x:v>339</x:v>
      </x:c>
      <x:c r="C207" s="57" t="b">
        <x:v>0</x:v>
      </x:c>
      <x:c r="D207" s="80"/>
      <x:c r="E207" s="82"/>
    </x:row>
    <x:row r="208" ht="23" customHeight="1">
      <x:c r="A208" s="21" t="s">
        <x:v>270</x:v>
      </x:c>
      <x:c r="B208" s="45" t="s">
        <x:v>337</x:v>
      </x:c>
      <x:c r="C208" s="52" t="b">
        <x:v>1</x:v>
      </x:c>
      <x:c r="D208" s="80"/>
      <x:c r="E208" s="82"/>
    </x:row>
    <x:row r="209" ht="23" customHeight="1">
      <x:c r="A209" s="24" t="s">
        <x:v>270</x:v>
      </x:c>
      <x:c r="B209" s="53" t="s">
        <x:v>163</x:v>
      </x:c>
      <x:c r="C209" s="57" t="b">
        <x:v>1</x:v>
      </x:c>
      <x:c r="D209" s="80"/>
      <x:c r="E209" s="82"/>
    </x:row>
    <x:row r="210" ht="23" customHeight="1">
      <x:c r="A210" s="21" t="s">
        <x:v>336</x:v>
      </x:c>
      <x:c r="B210" s="45" t="s">
        <x:v>340</x:v>
      </x:c>
      <x:c r="C210" s="52" t="b">
        <x:v>1</x:v>
      </x:c>
      <x:c r="D210" s="80"/>
      <x:c r="E210" s="82"/>
    </x:row>
    <x:row r="211" ht="23" customHeight="1">
      <x:c r="A211" s="24" t="s">
        <x:v>270</x:v>
      </x:c>
      <x:c r="B211" s="53" t="s">
        <x:v>340</x:v>
      </x:c>
      <x:c r="C211" s="57" t="b">
        <x:v>1</x:v>
      </x:c>
      <x:c r="D211" s="80"/>
      <x:c r="E211" s="82"/>
    </x:row>
    <x:row r="212" ht="23" customHeight="1">
      <x:c r="A212" s="21" t="s">
        <x:v>337</x:v>
      </x:c>
      <x:c r="B212" s="45" t="s">
        <x:v>338</x:v>
      </x:c>
      <x:c r="C212" s="52" t="b">
        <x:v>1</x:v>
      </x:c>
      <x:c r="D212" s="80"/>
      <x:c r="E212" s="82"/>
    </x:row>
    <x:row r="213" ht="23" customHeight="1">
      <x:c r="A213" s="24" t="s">
        <x:v>341</x:v>
      </x:c>
      <x:c r="B213" s="53" t="s">
        <x:v>264</x:v>
      </x:c>
      <x:c r="C213" s="57" t="b">
        <x:v>1</x:v>
      </x:c>
      <x:c r="D213" s="80"/>
      <x:c r="E213" s="82"/>
    </x:row>
    <x:row r="214" ht="23" customHeight="1">
      <x:c r="A214" s="21" t="s">
        <x:v>173</x:v>
      </x:c>
      <x:c r="B214" s="45" t="s">
        <x:v>341</x:v>
      </x:c>
      <x:c r="C214" s="52" t="b">
        <x:v>1</x:v>
      </x:c>
      <x:c r="D214" s="80"/>
      <x:c r="E214" s="82"/>
    </x:row>
    <x:row r="215" ht="23" customHeight="1">
      <x:c r="A215" s="24" t="s">
        <x:v>337</x:v>
      </x:c>
      <x:c r="B215" s="53" t="s">
        <x:v>341</x:v>
      </x:c>
      <x:c r="C215" s="57" t="b">
        <x:v>1</x:v>
      </x:c>
      <x:c r="D215" s="80"/>
      <x:c r="E215" s="82"/>
    </x:row>
    <x:row r="216" ht="23" customHeight="1">
      <x:c r="A216" s="21" t="s">
        <x:v>340</x:v>
      </x:c>
      <x:c r="B216" s="45" t="s">
        <x:v>151</x:v>
      </x:c>
      <x:c r="C216" s="52" t="b">
        <x:v>1</x:v>
      </x:c>
      <x:c r="D216" s="80"/>
      <x:c r="E216" s="82"/>
    </x:row>
    <x:row r="217" ht="23" customHeight="1">
      <x:c r="A217" s="24" t="s">
        <x:v>177</x:v>
      </x:c>
      <x:c r="B217" s="53" t="s">
        <x:v>75</x:v>
      </x:c>
      <x:c r="C217" s="57" t="b">
        <x:v>1</x:v>
      </x:c>
      <x:c r="D217" s="80"/>
      <x:c r="E217" s="82"/>
    </x:row>
    <x:row r="218" ht="23" customHeight="1">
      <x:c r="A218" s="21" t="s">
        <x:v>151</x:v>
      </x:c>
      <x:c r="B218" s="45" t="s">
        <x:v>75</x:v>
      </x:c>
      <x:c r="C218" s="52" t="b">
        <x:v>1</x:v>
      </x:c>
      <x:c r="D218" s="80"/>
      <x:c r="E218" s="82"/>
    </x:row>
    <x:row r="219" ht="23" customHeight="1">
      <x:c r="A219" s="24" t="s">
        <x:v>340</x:v>
      </x:c>
      <x:c r="B219" s="53" t="s">
        <x:v>342</x:v>
      </x:c>
      <x:c r="C219" s="57" t="b">
        <x:v>1</x:v>
      </x:c>
      <x:c r="D219" s="80"/>
      <x:c r="E219" s="82"/>
    </x:row>
    <x:row r="220" ht="23" customHeight="1">
      <x:c r="A220" s="21" t="s">
        <x:v>343</x:v>
      </x:c>
      <x:c r="B220" s="45" t="s">
        <x:v>342</x:v>
      </x:c>
      <x:c r="C220" s="52" t="b">
        <x:v>1</x:v>
      </x:c>
      <x:c r="D220" s="80"/>
      <x:c r="E220" s="82"/>
    </x:row>
    <x:row r="221" ht="23" customHeight="1">
      <x:c r="A221" s="24" t="s">
        <x:v>344</x:v>
      </x:c>
      <x:c r="B221" s="53" t="s">
        <x:v>343</x:v>
      </x:c>
      <x:c r="C221" s="57" t="b">
        <x:v>1</x:v>
      </x:c>
      <x:c r="D221" s="80"/>
      <x:c r="E221" s="82"/>
    </x:row>
    <x:row r="222" ht="23" customHeight="1">
      <x:c r="A222" s="21" t="s">
        <x:v>345</x:v>
      </x:c>
      <x:c r="B222" s="45" t="s">
        <x:v>344</x:v>
      </x:c>
      <x:c r="C222" s="52" t="b">
        <x:v>1</x:v>
      </x:c>
      <x:c r="D222" s="80"/>
      <x:c r="E222" s="82"/>
    </x:row>
    <x:row r="223" ht="23" customHeight="1">
      <x:c r="A223" s="24" t="s">
        <x:v>345</x:v>
      </x:c>
      <x:c r="B223" s="53" t="s">
        <x:v>254</x:v>
      </x:c>
      <x:c r="C223" s="57" t="b">
        <x:v>1</x:v>
      </x:c>
      <x:c r="D223" s="80"/>
      <x:c r="E223" s="82"/>
    </x:row>
    <x:row r="224" ht="23" customHeight="1">
      <x:c r="A224" s="21" t="s">
        <x:v>252</x:v>
      </x:c>
      <x:c r="B224" s="45" t="s">
        <x:v>344</x:v>
      </x:c>
      <x:c r="C224" s="52" t="b">
        <x:v>1</x:v>
      </x:c>
      <x:c r="D224" s="80"/>
      <x:c r="E224" s="82"/>
    </x:row>
    <x:row r="225" ht="23" customHeight="1">
      <x:c r="A225" s="24" t="s">
        <x:v>336</x:v>
      </x:c>
      <x:c r="B225" s="53" t="s">
        <x:v>347</x:v>
      </x:c>
      <x:c r="C225" s="57" t="b">
        <x:v>1</x:v>
      </x:c>
      <x:c r="D225" s="80"/>
      <x:c r="E225" s="82"/>
    </x:row>
    <x:row r="226" ht="23" customHeight="1">
      <x:c r="A226" s="21" t="s">
        <x:v>335</x:v>
      </x:c>
      <x:c r="B226" s="45" t="s">
        <x:v>346</x:v>
      </x:c>
      <x:c r="C226" s="52" t="b">
        <x:v>1</x:v>
      </x:c>
      <x:c r="D226" s="80"/>
      <x:c r="E226" s="82"/>
    </x:row>
    <x:row r="227" ht="23" customHeight="1">
      <x:c r="A227" s="24" t="s">
        <x:v>347</x:v>
      </x:c>
      <x:c r="B227" s="53" t="s">
        <x:v>346</x:v>
      </x:c>
      <x:c r="C227" s="57" t="b">
        <x:v>1</x:v>
      </x:c>
      <x:c r="D227" s="80"/>
      <x:c r="E227" s="82"/>
    </x:row>
    <x:row r="228" ht="23" customHeight="1">
      <x:c r="A228" s="21" t="s">
        <x:v>317</x:v>
      </x:c>
      <x:c r="B228" s="45" t="s">
        <x:v>349</x:v>
      </x:c>
      <x:c r="C228" s="52" t="b">
        <x:v>1</x:v>
      </x:c>
      <x:c r="D228" s="80"/>
      <x:c r="E228" s="82"/>
    </x:row>
    <x:row r="229" ht="23" customHeight="1">
      <x:c r="A229" s="24" t="s">
        <x:v>350</x:v>
      </x:c>
      <x:c r="B229" s="53" t="s">
        <x:v>349</x:v>
      </x:c>
      <x:c r="C229" s="57" t="b">
        <x:v>1</x:v>
      </x:c>
      <x:c r="D229" s="80"/>
      <x:c r="E229" s="82"/>
    </x:row>
    <x:row r="230" ht="23" customHeight="1">
      <x:c r="A230" s="21" t="s">
        <x:v>312</x:v>
      </x:c>
      <x:c r="B230" s="45" t="s">
        <x:v>350</x:v>
      </x:c>
      <x:c r="C230" s="52" t="b">
        <x:v>1</x:v>
      </x:c>
      <x:c r="D230" s="80"/>
      <x:c r="E230" s="82"/>
    </x:row>
    <x:row r="231" ht="23" customHeight="1">
      <x:c r="A231" s="24" t="s">
        <x:v>348</x:v>
      </x:c>
      <x:c r="B231" s="53" t="s">
        <x:v>71</x:v>
      </x:c>
      <x:c r="C231" s="57" t="b">
        <x:v>1</x:v>
      </x:c>
      <x:c r="D231" s="80"/>
      <x:c r="E231" s="82"/>
    </x:row>
    <x:row r="232" ht="23" customHeight="1">
      <x:c r="A232" s="21" t="s">
        <x:v>303</x:v>
      </x:c>
      <x:c r="B232" s="45" t="s">
        <x:v>351</x:v>
      </x:c>
      <x:c r="C232" s="52" t="b">
        <x:v>1</x:v>
      </x:c>
      <x:c r="D232" s="80"/>
      <x:c r="E232" s="82"/>
    </x:row>
    <x:row r="233" ht="23" customHeight="1">
      <x:c r="A233" s="24" t="s">
        <x:v>352</x:v>
      </x:c>
      <x:c r="B233" s="53" t="s">
        <x:v>351</x:v>
      </x:c>
      <x:c r="C233" s="57" t="b">
        <x:v>1</x:v>
      </x:c>
      <x:c r="D233" s="80"/>
      <x:c r="E233" s="82"/>
    </x:row>
    <x:row r="234" ht="23" customHeight="1">
      <x:c r="A234" s="21" t="s">
        <x:v>201</x:v>
      </x:c>
      <x:c r="B234" s="45" t="s">
        <x:v>352</x:v>
      </x:c>
      <x:c r="C234" s="52" t="b">
        <x:v>1</x:v>
      </x:c>
      <x:c r="D234" s="80"/>
      <x:c r="E234" s="82"/>
    </x:row>
    <x:row r="235" ht="23" customHeight="1">
      <x:c r="A235" s="24" t="s">
        <x:v>354</x:v>
      </x:c>
      <x:c r="B235" s="53" t="s">
        <x:v>353</x:v>
      </x:c>
      <x:c r="C235" s="57" t="b">
        <x:v>1</x:v>
      </x:c>
      <x:c r="D235" s="80"/>
      <x:c r="E235" s="82"/>
    </x:row>
    <x:row r="236" ht="23" customHeight="1">
      <x:c r="A236" s="21" t="s">
        <x:v>352</x:v>
      </x:c>
      <x:c r="B236" s="45" t="s">
        <x:v>353</x:v>
      </x:c>
      <x:c r="C236" s="52" t="b">
        <x:v>1</x:v>
      </x:c>
      <x:c r="D236" s="80"/>
      <x:c r="E236" s="82"/>
    </x:row>
    <x:row r="237" ht="23" customHeight="1">
      <x:c r="A237" s="24" t="s">
        <x:v>97</x:v>
      </x:c>
      <x:c r="B237" s="53" t="s">
        <x:v>354</x:v>
      </x:c>
      <x:c r="C237" s="57" t="b">
        <x:v>1</x:v>
      </x:c>
      <x:c r="D237" s="80"/>
      <x:c r="E237" s="82"/>
    </x:row>
    <x:row r="238" ht="23" customHeight="1">
      <x:c r="A238" s="21" t="s">
        <x:v>348</x:v>
      </x:c>
      <x:c r="B238" s="45" t="s">
        <x:v>355</x:v>
      </x:c>
      <x:c r="C238" s="52" t="b">
        <x:v>1</x:v>
      </x:c>
      <x:c r="D238" s="80"/>
      <x:c r="E238" s="82"/>
    </x:row>
    <x:row r="239" ht="23" customHeight="1">
      <x:c r="A239" s="24" t="s">
        <x:v>356</x:v>
      </x:c>
      <x:c r="B239" s="53" t="s">
        <x:v>355</x:v>
      </x:c>
      <x:c r="C239" s="57" t="b">
        <x:v>1</x:v>
      </x:c>
      <x:c r="D239" s="80"/>
      <x:c r="E239" s="82"/>
    </x:row>
    <x:row r="240" ht="23" customHeight="1">
      <x:c r="A240" s="21" t="s">
        <x:v>357</x:v>
      </x:c>
      <x:c r="B240" s="45" t="s">
        <x:v>356</x:v>
      </x:c>
      <x:c r="C240" s="52" t="b">
        <x:v>1</x:v>
      </x:c>
      <x:c r="D240" s="80"/>
      <x:c r="E240" s="82"/>
    </x:row>
    <x:row r="241" ht="23" customHeight="1">
      <x:c r="A241" s="24" t="s">
        <x:v>259</x:v>
      </x:c>
      <x:c r="B241" s="53" t="s">
        <x:v>360</x:v>
      </x:c>
      <x:c r="C241" s="57" t="b">
        <x:v>1</x:v>
      </x:c>
      <x:c r="D241" s="80"/>
      <x:c r="E241" s="82"/>
    </x:row>
    <x:row r="242" ht="23" customHeight="1">
      <x:c r="A242" s="21" t="s">
        <x:v>357</x:v>
      </x:c>
      <x:c r="B242" s="45" t="s">
        <x:v>358</x:v>
      </x:c>
      <x:c r="C242" s="52" t="b">
        <x:v>1</x:v>
      </x:c>
      <x:c r="D242" s="80"/>
      <x:c r="E242" s="82"/>
    </x:row>
    <x:row r="243" ht="23" customHeight="1">
      <x:c r="A243" s="24" t="s">
        <x:v>360</x:v>
      </x:c>
      <x:c r="B243" s="53" t="s">
        <x:v>359</x:v>
      </x:c>
      <x:c r="C243" s="57" t="b">
        <x:v>1</x:v>
      </x:c>
      <x:c r="D243" s="80"/>
      <x:c r="E243" s="82"/>
    </x:row>
    <x:row r="244" ht="23" customHeight="1">
      <x:c r="A244" s="21" t="s">
        <x:v>358</x:v>
      </x:c>
      <x:c r="B244" s="45" t="s">
        <x:v>359</x:v>
      </x:c>
      <x:c r="C244" s="52" t="b">
        <x:v>1</x:v>
      </x:c>
      <x:c r="D244" s="80"/>
      <x:c r="E244" s="82"/>
    </x:row>
    <x:row r="245" ht="23" customHeight="1">
      <x:c r="A245" s="24" t="s">
        <x:v>357</x:v>
      </x:c>
      <x:c r="B245" s="53" t="s">
        <x:v>361</x:v>
      </x:c>
      <x:c r="C245" s="57" t="b">
        <x:v>1</x:v>
      </x:c>
      <x:c r="D245" s="80"/>
      <x:c r="E245" s="82"/>
    </x:row>
    <x:row r="246" ht="23" customHeight="1">
      <x:c r="A246" s="21" t="s">
        <x:v>362</x:v>
      </x:c>
      <x:c r="B246" s="45" t="s">
        <x:v>361</x:v>
      </x:c>
      <x:c r="C246" s="52" t="b">
        <x:v>1</x:v>
      </x:c>
      <x:c r="D246" s="80"/>
      <x:c r="E246" s="82"/>
    </x:row>
    <x:row r="247" ht="23" customHeight="1">
      <x:c r="A247" s="24" t="s">
        <x:v>362</x:v>
      </x:c>
      <x:c r="B247" s="53" t="s">
        <x:v>363</x:v>
      </x:c>
      <x:c r="C247" s="57" t="b">
        <x:v>1</x:v>
      </x:c>
      <x:c r="D247" s="80"/>
      <x:c r="E247" s="82"/>
    </x:row>
    <x:row r="248" ht="23" customHeight="1">
      <x:c r="A248" s="21" t="s">
        <x:v>354</x:v>
      </x:c>
      <x:c r="B248" s="45" t="s">
        <x:v>364</x:v>
      </x:c>
      <x:c r="C248" s="52" t="b">
        <x:v>1</x:v>
      </x:c>
      <x:c r="D248" s="80"/>
      <x:c r="E248" s="82"/>
    </x:row>
    <x:row r="249" ht="23" customHeight="1">
      <x:c r="A249" s="24" t="s">
        <x:v>368</x:v>
      </x:c>
      <x:c r="B249" s="53" t="s">
        <x:v>367</x:v>
      </x:c>
      <x:c r="C249" s="57" t="b">
        <x:v>1</x:v>
      </x:c>
      <x:c r="D249" s="80"/>
      <x:c r="E249" s="82"/>
    </x:row>
    <x:row r="250" ht="23" customHeight="1">
      <x:c r="A250" s="21" t="s">
        <x:v>366</x:v>
      </x:c>
      <x:c r="B250" s="45" t="s">
        <x:v>365</x:v>
      </x:c>
      <x:c r="C250" s="52" t="b">
        <x:v>1</x:v>
      </x:c>
      <x:c r="D250" s="80"/>
      <x:c r="E250" s="82"/>
    </x:row>
    <x:row r="251" ht="23" customHeight="1">
      <x:c r="A251" s="24" t="s">
        <x:v>364</x:v>
      </x:c>
      <x:c r="B251" s="53" t="s">
        <x:v>365</x:v>
      </x:c>
      <x:c r="C251" s="57" t="b">
        <x:v>1</x:v>
      </x:c>
      <x:c r="D251" s="80"/>
      <x:c r="E251" s="82"/>
    </x:row>
    <x:row r="252" ht="23" customHeight="1">
      <x:c r="A252" s="21" t="s">
        <x:v>366</x:v>
      </x:c>
      <x:c r="B252" s="45" t="s">
        <x:v>367</x:v>
      </x:c>
      <x:c r="C252" s="52" t="b">
        <x:v>1</x:v>
      </x:c>
      <x:c r="D252" s="80"/>
      <x:c r="E252" s="82"/>
    </x:row>
    <x:row r="253" ht="23" customHeight="1">
      <x:c r="A253" s="24" t="s">
        <x:v>368</x:v>
      </x:c>
      <x:c r="B253" s="53" t="s">
        <x:v>161</x:v>
      </x:c>
      <x:c r="C253" s="57" t="b">
        <x:v>1</x:v>
      </x:c>
      <x:c r="D253" s="80"/>
      <x:c r="E253" s="82"/>
    </x:row>
    <x:row r="254" ht="23" customHeight="1">
      <x:c r="A254" s="21" t="s">
        <x:v>368</x:v>
      </x:c>
      <x:c r="B254" s="45" t="s">
        <x:v>369</x:v>
      </x:c>
      <x:c r="C254" s="52" t="b">
        <x:v>1</x:v>
      </x:c>
      <x:c r="D254" s="80"/>
      <x:c r="E254" s="82"/>
    </x:row>
    <x:row r="255" ht="23" customHeight="1">
      <x:c r="A255" s="24" t="s">
        <x:v>370</x:v>
      </x:c>
      <x:c r="B255" s="53" t="s">
        <x:v>369</x:v>
      </x:c>
      <x:c r="C255" s="57" t="b">
        <x:v>1</x:v>
      </x:c>
      <x:c r="D255" s="80"/>
      <x:c r="E255" s="82"/>
    </x:row>
    <x:row r="256" ht="23" customHeight="1">
      <x:c r="A256" s="21" t="s">
        <x:v>374</x:v>
      </x:c>
      <x:c r="B256" s="45" t="s">
        <x:v>373</x:v>
      </x:c>
      <x:c r="C256" s="52" t="b">
        <x:v>1</x:v>
      </x:c>
      <x:c r="D256" s="80"/>
      <x:c r="E256" s="82"/>
    </x:row>
    <x:row r="257" ht="23" customHeight="1">
      <x:c r="A257" s="24" t="s">
        <x:v>372</x:v>
      </x:c>
      <x:c r="B257" s="53" t="s">
        <x:v>373</x:v>
      </x:c>
      <x:c r="C257" s="57" t="b">
        <x:v>1</x:v>
      </x:c>
      <x:c r="D257" s="80"/>
      <x:c r="E257" s="82"/>
    </x:row>
    <x:row r="258" ht="23" customHeight="1">
      <x:c r="A258" s="21" t="s">
        <x:v>371</x:v>
      </x:c>
      <x:c r="B258" s="45" t="s">
        <x:v>372</x:v>
      </x:c>
      <x:c r="C258" s="52" t="b">
        <x:v>1</x:v>
      </x:c>
      <x:c r="D258" s="80"/>
      <x:c r="E258" s="82"/>
    </x:row>
    <x:row r="259" ht="23" customHeight="1">
      <x:c r="A259" s="24" t="s">
        <x:v>370</x:v>
      </x:c>
      <x:c r="B259" s="53" t="s">
        <x:v>371</x:v>
      </x:c>
      <x:c r="C259" s="57" t="b">
        <x:v>1</x:v>
      </x:c>
      <x:c r="D259" s="80"/>
      <x:c r="E259" s="82"/>
    </x:row>
    <x:row r="260" ht="23" customHeight="1">
      <x:c r="A260" s="21" t="s">
        <x:v>374</x:v>
      </x:c>
      <x:c r="B260" s="45" t="s">
        <x:v>370</x:v>
      </x:c>
      <x:c r="C260" s="52" t="b">
        <x:v>1</x:v>
      </x:c>
      <x:c r="D260" s="80"/>
      <x:c r="E260" s="82"/>
    </x:row>
    <x:row r="261" ht="23" customHeight="1">
      <x:c r="A261" s="24" t="s">
        <x:v>374</x:v>
      </x:c>
      <x:c r="B261" s="53" t="s">
        <x:v>375</x:v>
      </x:c>
      <x:c r="C261" s="57" t="b">
        <x:v>1</x:v>
      </x:c>
      <x:c r="D261" s="80"/>
      <x:c r="E261" s="82"/>
    </x:row>
    <x:row r="262" ht="23" customHeight="1">
      <x:c r="A262" s="21" t="s">
        <x:v>377</x:v>
      </x:c>
      <x:c r="B262" s="45" t="s">
        <x:v>376</x:v>
      </x:c>
      <x:c r="C262" s="52" t="b">
        <x:v>1</x:v>
      </x:c>
      <x:c r="D262" s="80"/>
      <x:c r="E262" s="82"/>
    </x:row>
    <x:row r="263" ht="23" customHeight="1">
      <x:c r="A263" s="24" t="s">
        <x:v>375</x:v>
      </x:c>
      <x:c r="B263" s="53" t="s">
        <x:v>376</x:v>
      </x:c>
      <x:c r="C263" s="57" t="b">
        <x:v>1</x:v>
      </x:c>
      <x:c r="D263" s="80"/>
      <x:c r="E263" s="82"/>
    </x:row>
    <x:row r="264" ht="23" customHeight="1">
      <x:c r="A264" s="21" t="s">
        <x:v>377</x:v>
      </x:c>
      <x:c r="B264" s="45" t="s">
        <x:v>121</x:v>
      </x:c>
      <x:c r="C264" s="52" t="b">
        <x:v>1</x:v>
      </x:c>
      <x:c r="D264" s="80"/>
      <x:c r="E264" s="82"/>
    </x:row>
    <x:row r="265" ht="23" customHeight="1">
      <x:c r="A265" s="24" t="s">
        <x:v>307</x:v>
      </x:c>
      <x:c r="B265" s="53" t="s">
        <x:v>77</x:v>
      </x:c>
      <x:c r="C265" s="57" t="b">
        <x:v>1</x:v>
      </x:c>
      <x:c r="D265" s="80"/>
      <x:c r="E265" s="82"/>
    </x:row>
    <x:row r="266" ht="23" customHeight="1">
      <x:c r="A266" s="21" t="s">
        <x:v>306</x:v>
      </x:c>
      <x:c r="B266" s="45" t="s">
        <x:v>77</x:v>
      </x:c>
      <x:c r="C266" s="52" t="b">
        <x:v>1</x:v>
      </x:c>
      <x:c r="D266" s="80"/>
      <x:c r="E266" s="82"/>
    </x:row>
    <x:row r="267" ht="23" customHeight="1">
      <x:c r="A267" s="24" t="s">
        <x:v>380</x:v>
      </x:c>
      <x:c r="B267" s="53" t="s">
        <x:v>294</x:v>
      </x:c>
      <x:c r="C267" s="57" t="b">
        <x:v>1</x:v>
      </x:c>
      <x:c r="D267" s="80"/>
      <x:c r="E267" s="82"/>
    </x:row>
    <x:row r="268" ht="23" customHeight="1">
      <x:c r="A268" s="21" t="s">
        <x:v>379</x:v>
      </x:c>
      <x:c r="B268" s="45" t="s">
        <x:v>380</x:v>
      </x:c>
      <x:c r="C268" s="52" t="b">
        <x:v>1</x:v>
      </x:c>
      <x:c r="D268" s="80"/>
      <x:c r="E268" s="82"/>
    </x:row>
    <x:row r="269" ht="23" customHeight="1">
      <x:c r="A269" s="24" t="s">
        <x:v>378</x:v>
      </x:c>
      <x:c r="B269" s="53" t="s">
        <x:v>379</x:v>
      </x:c>
      <x:c r="C269" s="57" t="b">
        <x:v>1</x:v>
      </x:c>
      <x:c r="D269" s="80"/>
      <x:c r="E269" s="82"/>
    </x:row>
    <x:row r="270" ht="23" customHeight="1">
      <x:c r="A270" s="21" t="s">
        <x:v>77</x:v>
      </x:c>
      <x:c r="B270" s="45" t="s">
        <x:v>378</x:v>
      </x:c>
      <x:c r="C270" s="52" t="b">
        <x:v>1</x:v>
      </x:c>
      <x:c r="D270" s="80"/>
      <x:c r="E270" s="82"/>
    </x:row>
    <x:row r="271" ht="23" customHeight="1">
      <x:c r="A271" s="24" t="s">
        <x:v>331</x:v>
      </x:c>
      <x:c r="B271" s="53" t="s">
        <x:v>384</x:v>
      </x:c>
      <x:c r="C271" s="57" t="b">
        <x:v>1</x:v>
      </x:c>
      <x:c r="D271" s="80"/>
      <x:c r="E271" s="82"/>
    </x:row>
    <x:row r="272" ht="23" customHeight="1">
      <x:c r="A272" s="21" t="s">
        <x:v>379</x:v>
      </x:c>
      <x:c r="B272" s="45" t="s">
        <x:v>381</x:v>
      </x:c>
      <x:c r="C272" s="52" t="b">
        <x:v>1</x:v>
      </x:c>
      <x:c r="D272" s="80"/>
      <x:c r="E272" s="82"/>
    </x:row>
    <x:row r="273" ht="23" customHeight="1">
      <x:c r="A273" s="24" t="s">
        <x:v>382</x:v>
      </x:c>
      <x:c r="B273" s="53" t="s">
        <x:v>383</x:v>
      </x:c>
      <x:c r="C273" s="57" t="b">
        <x:v>1</x:v>
      </x:c>
      <x:c r="D273" s="80"/>
      <x:c r="E273" s="82"/>
    </x:row>
    <x:row r="274" ht="23" customHeight="1">
      <x:c r="A274" s="21" t="s">
        <x:v>381</x:v>
      </x:c>
      <x:c r="B274" s="45" t="s">
        <x:v>382</x:v>
      </x:c>
      <x:c r="C274" s="52" t="b">
        <x:v>1</x:v>
      </x:c>
      <x:c r="D274" s="80"/>
      <x:c r="E274" s="82"/>
    </x:row>
    <x:row r="275" ht="23" customHeight="1">
      <x:c r="A275" s="24" t="s">
        <x:v>123</x:v>
      </x:c>
      <x:c r="B275" s="53" t="s">
        <x:v>382</x:v>
      </x:c>
      <x:c r="C275" s="57" t="b">
        <x:v>1</x:v>
      </x:c>
      <x:c r="D275" s="80"/>
      <x:c r="E275" s="82"/>
    </x:row>
    <x:row r="276" ht="23" customHeight="1">
      <x:c r="A276" s="21" t="s">
        <x:v>383</x:v>
      </x:c>
      <x:c r="B276" s="45" t="s">
        <x:v>384</x:v>
      </x:c>
      <x:c r="C276" s="52" t="b">
        <x:v>1</x:v>
      </x:c>
      <x:c r="D276" s="80"/>
      <x:c r="E276" s="82"/>
    </x:row>
    <x:row r="277" ht="23" customHeight="1">
      <x:c r="A277" s="24" t="s">
        <x:v>328</x:v>
      </x:c>
      <x:c r="B277" s="53" t="s">
        <x:v>149</x:v>
      </x:c>
      <x:c r="C277" s="57" t="b">
        <x:v>1</x:v>
      </x:c>
      <x:c r="D277" s="80"/>
      <x:c r="E277" s="82"/>
    </x:row>
    <x:row r="278" ht="23" customHeight="1">
      <x:c r="A278" s="21" t="s">
        <x:v>123</x:v>
      </x:c>
      <x:c r="B278" s="45" t="s">
        <x:v>385</x:v>
      </x:c>
      <x:c r="C278" s="52" t="b">
        <x:v>1</x:v>
      </x:c>
      <x:c r="D278" s="80"/>
      <x:c r="E278" s="82"/>
    </x:row>
    <x:row r="279" ht="23" customHeight="1">
      <x:c r="A279" s="24" t="s">
        <x:v>330</x:v>
      </x:c>
      <x:c r="B279" s="53" t="s">
        <x:v>385</x:v>
      </x:c>
      <x:c r="C279" s="57" t="b">
        <x:v>1</x:v>
      </x:c>
      <x:c r="D279" s="80"/>
      <x:c r="E279" s="82"/>
    </x:row>
    <x:row r="280" ht="23" customHeight="1">
      <x:c r="A280" s="21" t="s">
        <x:v>149</x:v>
      </x:c>
      <x:c r="B280" s="45" t="s">
        <x:v>105</x:v>
      </x:c>
      <x:c r="C280" s="52" t="b">
        <x:v>1</x:v>
      </x:c>
      <x:c r="D280" s="80"/>
      <x:c r="E280" s="82"/>
    </x:row>
    <x:row r="281" ht="23" customHeight="1">
      <x:c r="A281" s="24" t="s">
        <x:v>389</x:v>
      </x:c>
      <x:c r="B281" s="53" t="s">
        <x:v>105</x:v>
      </x:c>
      <x:c r="C281" s="57" t="b">
        <x:v>1</x:v>
      </x:c>
      <x:c r="D281" s="80"/>
      <x:c r="E281" s="82"/>
    </x:row>
    <x:row r="282" ht="23" customHeight="1">
      <x:c r="A282" s="21" t="s">
        <x:v>159</x:v>
      </x:c>
      <x:c r="B282" s="45" t="s">
        <x:v>389</x:v>
      </x:c>
      <x:c r="C282" s="52" t="b">
        <x:v>1</x:v>
      </x:c>
      <x:c r="D282" s="80"/>
      <x:c r="E282" s="82"/>
    </x:row>
    <x:row r="283" ht="23" customHeight="1">
      <x:c r="A283" s="24" t="s">
        <x:v>384</x:v>
      </x:c>
      <x:c r="B283" s="53" t="s">
        <x:v>386</x:v>
      </x:c>
      <x:c r="C283" s="57" t="b">
        <x:v>1</x:v>
      </x:c>
      <x:c r="D283" s="80"/>
      <x:c r="E283" s="82"/>
    </x:row>
    <x:row r="284" ht="23" customHeight="1">
      <x:c r="A284" s="21" t="s">
        <x:v>387</x:v>
      </x:c>
      <x:c r="B284" s="45" t="s">
        <x:v>386</x:v>
      </x:c>
      <x:c r="C284" s="52" t="b">
        <x:v>1</x:v>
      </x:c>
      <x:c r="D284" s="80"/>
      <x:c r="E284" s="82"/>
    </x:row>
    <x:row r="285" ht="23" customHeight="1">
      <x:c r="A285" s="24" t="s">
        <x:v>388</x:v>
      </x:c>
      <x:c r="B285" s="53" t="s">
        <x:v>387</x:v>
      </x:c>
      <x:c r="C285" s="57" t="b">
        <x:v>1</x:v>
      </x:c>
      <x:c r="D285" s="80"/>
      <x:c r="E285" s="82"/>
    </x:row>
    <x:row r="286" ht="23" customHeight="1">
      <x:c r="A286" s="21" t="s">
        <x:v>388</x:v>
      </x:c>
      <x:c r="B286" s="45" t="s">
        <x:v>179</x:v>
      </x:c>
      <x:c r="C286" s="52" t="b">
        <x:v>1</x:v>
      </x:c>
      <x:c r="D286" s="80"/>
      <x:c r="E286" s="82"/>
    </x:row>
    <x:row r="287" ht="23" customHeight="1">
      <x:c r="A287" s="24" t="s">
        <x:v>350</x:v>
      </x:c>
      <x:c r="B287" s="53" t="s">
        <x:v>390</x:v>
      </x:c>
      <x:c r="C287" s="57" t="b">
        <x:v>1</x:v>
      </x:c>
      <x:c r="D287" s="80"/>
      <x:c r="E287" s="82"/>
    </x:row>
    <x:row r="288" ht="23" customHeight="1">
      <x:c r="A288" s="21" t="s">
        <x:v>349</x:v>
      </x:c>
      <x:c r="B288" s="45" t="s">
        <x:v>390</x:v>
      </x:c>
      <x:c r="C288" s="52" t="b">
        <x:v>1</x:v>
      </x:c>
      <x:c r="D288" s="80"/>
      <x:c r="E288" s="82"/>
    </x:row>
    <x:row r="289" ht="23" customHeight="1">
      <x:c r="A289" s="24" t="s">
        <x:v>391</x:v>
      </x:c>
      <x:c r="B289" s="53" t="s">
        <x:v>390</x:v>
      </x:c>
      <x:c r="C289" s="57" t="b">
        <x:v>1</x:v>
      </x:c>
      <x:c r="D289" s="80"/>
      <x:c r="E289" s="82"/>
    </x:row>
    <x:row r="290" ht="23" customHeight="1">
      <x:c r="A290" s="21" t="s">
        <x:v>393</x:v>
      </x:c>
      <x:c r="B290" s="45" t="s">
        <x:v>392</x:v>
      </x:c>
      <x:c r="C290" s="52" t="b">
        <x:v>1</x:v>
      </x:c>
      <x:c r="D290" s="80"/>
      <x:c r="E290" s="82"/>
    </x:row>
    <x:row r="291" ht="23" customHeight="1">
      <x:c r="A291" s="24" t="s">
        <x:v>391</x:v>
      </x:c>
      <x:c r="B291" s="53" t="s">
        <x:v>392</x:v>
      </x:c>
      <x:c r="C291" s="57" t="b">
        <x:v>1</x:v>
      </x:c>
      <x:c r="D291" s="80"/>
      <x:c r="E291" s="82"/>
    </x:row>
    <x:row r="292" ht="23" customHeight="1">
      <x:c r="A292" s="21" t="s">
        <x:v>393</x:v>
      </x:c>
      <x:c r="B292" s="45" t="s">
        <x:v>394</x:v>
      </x:c>
      <x:c r="C292" s="52" t="b">
        <x:v>1</x:v>
      </x:c>
      <x:c r="D292" s="80"/>
      <x:c r="E292" s="82"/>
    </x:row>
    <x:row r="293" ht="23" customHeight="1">
      <x:c r="A293" s="24" t="s">
        <x:v>395</x:v>
      </x:c>
      <x:c r="B293" s="53" t="s">
        <x:v>394</x:v>
      </x:c>
      <x:c r="C293" s="57" t="b">
        <x:v>1</x:v>
      </x:c>
      <x:c r="D293" s="80"/>
      <x:c r="E293" s="82"/>
    </x:row>
    <x:row r="294" ht="23" customHeight="1">
      <x:c r="A294" s="21" t="s">
        <x:v>396</x:v>
      </x:c>
      <x:c r="B294" s="45" t="s">
        <x:v>395</x:v>
      </x:c>
      <x:c r="C294" s="52" t="b">
        <x:v>1</x:v>
      </x:c>
      <x:c r="D294" s="80"/>
      <x:c r="E294" s="82"/>
    </x:row>
    <x:row r="295" ht="23" customHeight="1">
      <x:c r="A295" s="24" t="s">
        <x:v>350</x:v>
      </x:c>
      <x:c r="B295" s="53" t="s">
        <x:v>396</x:v>
      </x:c>
      <x:c r="C295" s="57" t="b">
        <x:v>1</x:v>
      </x:c>
      <x:c r="D295" s="80"/>
      <x:c r="E295" s="82"/>
    </x:row>
    <x:row r="296" ht="23" customHeight="1">
      <x:c r="A296" s="21" t="s">
        <x:v>179</x:v>
      </x:c>
      <x:c r="B296" s="45" t="s">
        <x:v>396</x:v>
      </x:c>
      <x:c r="C296" s="52" t="b">
        <x:v>1</x:v>
      </x:c>
      <x:c r="D296" s="80"/>
      <x:c r="E296" s="82"/>
    </x:row>
    <x:row r="297" ht="23" customHeight="1">
      <x:c r="A297" s="24" t="s">
        <x:v>397</x:v>
      </x:c>
      <x:c r="B297" s="53" t="s">
        <x:v>179</x:v>
      </x:c>
      <x:c r="C297" s="57" t="b">
        <x:v>1</x:v>
      </x:c>
      <x:c r="D297" s="80"/>
      <x:c r="E297" s="82"/>
    </x:row>
    <x:row r="298" ht="23" customHeight="1">
      <x:c r="A298" s="21" t="s">
        <x:v>355</x:v>
      </x:c>
      <x:c r="B298" s="45" t="s">
        <x:v>398</x:v>
      </x:c>
      <x:c r="C298" s="52" t="b">
        <x:v>1</x:v>
      </x:c>
      <x:c r="D298" s="80"/>
      <x:c r="E298" s="82"/>
    </x:row>
    <x:row r="299" ht="23" customHeight="1">
      <x:c r="A299" s="24" t="s">
        <x:v>348</x:v>
      </x:c>
      <x:c r="B299" s="53" t="s">
        <x:v>399</x:v>
      </x:c>
      <x:c r="C299" s="57" t="b">
        <x:v>1</x:v>
      </x:c>
      <x:c r="D299" s="80"/>
      <x:c r="E299" s="82"/>
    </x:row>
    <x:row r="300" ht="23" customHeight="1">
      <x:c r="A300" s="21" t="s">
        <x:v>397</x:v>
      </x:c>
      <x:c r="B300" s="45" t="s">
        <x:v>399</x:v>
      </x:c>
      <x:c r="C300" s="52" t="b">
        <x:v>1</x:v>
      </x:c>
      <x:c r="D300" s="80"/>
      <x:c r="E300" s="82"/>
    </x:row>
    <x:row r="301" ht="23" customHeight="1">
      <x:c r="A301" s="24" t="s">
        <x:v>398</x:v>
      </x:c>
      <x:c r="B301" s="53" t="s">
        <x:v>399</x:v>
      </x:c>
      <x:c r="C301" s="57" t="b">
        <x:v>1</x:v>
      </x:c>
      <x:c r="D301" s="80"/>
      <x:c r="E301" s="82"/>
    </x:row>
    <x:row r="302" ht="23" customHeight="1">
      <x:c r="A302" s="21" t="s">
        <x:v>397</x:v>
      </x:c>
      <x:c r="B302" s="45" t="s">
        <x:v>400</x:v>
      </x:c>
      <x:c r="C302" s="52" t="b">
        <x:v>1</x:v>
      </x:c>
      <x:c r="D302" s="80"/>
      <x:c r="E302" s="82"/>
    </x:row>
    <x:row r="303" ht="23" customHeight="1">
      <x:c r="A303" s="24" t="s">
        <x:v>363</x:v>
      </x:c>
      <x:c r="B303" s="53" t="s">
        <x:v>400</x:v>
      </x:c>
      <x:c r="C303" s="57" t="b">
        <x:v>1</x:v>
      </x:c>
      <x:c r="D303" s="80"/>
      <x:c r="E303" s="82"/>
    </x:row>
    <x:row r="304" ht="23" customHeight="1">
      <x:c r="A304" s="21" t="s">
        <x:v>249</x:v>
      </x:c>
      <x:c r="B304" s="45" t="s">
        <x:v>403</x:v>
      </x:c>
      <x:c r="C304" s="52" t="b">
        <x:v>1</x:v>
      </x:c>
      <x:c r="D304" s="80"/>
      <x:c r="E304" s="82"/>
    </x:row>
    <x:row r="305" ht="23" customHeight="1">
      <x:c r="A305" s="24" t="s">
        <x:v>402</x:v>
      </x:c>
      <x:c r="B305" s="53" t="s">
        <x:v>403</x:v>
      </x:c>
      <x:c r="C305" s="57" t="b">
        <x:v>1</x:v>
      </x:c>
      <x:c r="D305" s="80"/>
      <x:c r="E305" s="82"/>
    </x:row>
    <x:row r="306" ht="23" customHeight="1">
      <x:c r="A306" s="21" t="s">
        <x:v>401</x:v>
      </x:c>
      <x:c r="B306" s="45" t="s">
        <x:v>403</x:v>
      </x:c>
      <x:c r="C306" s="52" t="b">
        <x:v>1</x:v>
      </x:c>
      <x:c r="D306" s="80"/>
      <x:c r="E306" s="82"/>
    </x:row>
    <x:row r="307" ht="23" customHeight="1">
      <x:c r="A307" s="24" t="s">
        <x:v>363</x:v>
      </x:c>
      <x:c r="B307" s="53" t="s">
        <x:v>401</x:v>
      </x:c>
      <x:c r="C307" s="57" t="b">
        <x:v>1</x:v>
      </x:c>
      <x:c r="D307" s="80"/>
      <x:c r="E307" s="82"/>
    </x:row>
    <x:row r="308" ht="23" customHeight="1">
      <x:c r="A308" s="21" t="s">
        <x:v>260</x:v>
      </x:c>
      <x:c r="B308" s="45" t="s">
        <x:v>404</x:v>
      </x:c>
      <x:c r="C308" s="52" t="b">
        <x:v>1</x:v>
      </x:c>
      <x:c r="D308" s="80"/>
      <x:c r="E308" s="82"/>
    </x:row>
    <x:row r="309" ht="23" customHeight="1">
      <x:c r="A309" s="24" t="s">
        <x:v>360</x:v>
      </x:c>
      <x:c r="B309" s="53" t="s">
        <x:v>405</x:v>
      </x:c>
      <x:c r="C309" s="57" t="b">
        <x:v>1</x:v>
      </x:c>
      <x:c r="D309" s="80"/>
      <x:c r="E309" s="82"/>
    </x:row>
    <x:row r="310" ht="23" customHeight="1">
      <x:c r="A310" s="21" t="s">
        <x:v>404</x:v>
      </x:c>
      <x:c r="B310" s="45" t="s">
        <x:v>405</x:v>
      </x:c>
      <x:c r="C310" s="52" t="b">
        <x:v>1</x:v>
      </x:c>
      <x:c r="D310" s="80"/>
      <x:c r="E310" s="82"/>
    </x:row>
    <x:row r="311" ht="23" customHeight="1">
      <x:c r="A311" s="24" t="s">
        <x:v>255</x:v>
      </x:c>
      <x:c r="B311" s="53" t="s">
        <x:v>409</x:v>
      </x:c>
      <x:c r="C311" s="57" t="b">
        <x:v>1</x:v>
      </x:c>
      <x:c r="D311" s="80"/>
      <x:c r="E311" s="82"/>
    </x:row>
    <x:row r="312" ht="23" customHeight="1">
      <x:c r="A312" s="21" t="s">
        <x:v>407</x:v>
      </x:c>
      <x:c r="B312" s="45" t="s">
        <x:v>409</x:v>
      </x:c>
      <x:c r="C312" s="52" t="b">
        <x:v>1</x:v>
      </x:c>
      <x:c r="D312" s="80"/>
      <x:c r="E312" s="82"/>
    </x:row>
    <x:row r="313" ht="23" customHeight="1">
      <x:c r="A313" s="24" t="s">
        <x:v>258</x:v>
      </x:c>
      <x:c r="B313" s="53" t="s">
        <x:v>409</x:v>
      </x:c>
      <x:c r="C313" s="57" t="b">
        <x:v>1</x:v>
      </x:c>
      <x:c r="D313" s="80"/>
      <x:c r="E313" s="82"/>
    </x:row>
    <x:row r="314" ht="23" customHeight="1">
      <x:c r="A314" s="21" t="s">
        <x:v>407</x:v>
      </x:c>
      <x:c r="B314" s="45" t="s">
        <x:v>408</x:v>
      </x:c>
      <x:c r="C314" s="52" t="b">
        <x:v>1</x:v>
      </x:c>
      <x:c r="D314" s="80"/>
      <x:c r="E314" s="82"/>
    </x:row>
    <x:row r="315" ht="23" customHeight="1">
      <x:c r="A315" s="24" t="s">
        <x:v>360</x:v>
      </x:c>
      <x:c r="B315" s="53" t="s">
        <x:v>408</x:v>
      </x:c>
      <x:c r="C315" s="57" t="b">
        <x:v>1</x:v>
      </x:c>
      <x:c r="D315" s="80"/>
      <x:c r="E315" s="82"/>
    </x:row>
    <x:row r="316" ht="23" customHeight="1">
      <x:c r="A316" s="21" t="s">
        <x:v>410</x:v>
      </x:c>
      <x:c r="B316" s="45" t="s">
        <x:v>407</x:v>
      </x:c>
      <x:c r="C316" s="52" t="b">
        <x:v>0</x:v>
      </x:c>
      <x:c r="D316" s="80"/>
      <x:c r="E316" s="82"/>
    </x:row>
    <x:row r="317" ht="23" customHeight="1">
      <x:c r="A317" s="24" t="s">
        <x:v>410</x:v>
      </x:c>
      <x:c r="B317" s="53" t="s">
        <x:v>406</x:v>
      </x:c>
      <x:c r="C317" s="57" t="b">
        <x:v>1</x:v>
      </x:c>
      <x:c r="D317" s="80"/>
      <x:c r="E317" s="82"/>
    </x:row>
    <x:row r="318" ht="23" customHeight="1">
      <x:c r="A318" s="21" t="s">
        <x:v>343</x:v>
      </x:c>
      <x:c r="B318" s="45" t="s">
        <x:v>406</x:v>
      </x:c>
      <x:c r="C318" s="52" t="b">
        <x:v>1</x:v>
      </x:c>
      <x:c r="D318" s="80"/>
      <x:c r="E318" s="82"/>
    </x:row>
    <x:row r="319" ht="23" customHeight="1">
      <x:c r="A319" s="24" t="s">
        <x:v>412</x:v>
      </x:c>
      <x:c r="B319" s="53" t="s">
        <x:v>413</x:v>
      </x:c>
      <x:c r="C319" s="57" t="b">
        <x:v>1</x:v>
      </x:c>
      <x:c r="D319" s="80"/>
      <x:c r="E319" s="82"/>
    </x:row>
    <x:row r="320" ht="23" customHeight="1">
      <x:c r="A320" s="21" t="s">
        <x:v>411</x:v>
      </x:c>
      <x:c r="B320" s="45" t="s">
        <x:v>414</x:v>
      </x:c>
      <x:c r="C320" s="52" t="b">
        <x:v>1</x:v>
      </x:c>
      <x:c r="D320" s="80"/>
      <x:c r="E320" s="82"/>
    </x:row>
    <x:row r="321" ht="23" customHeight="1">
      <x:c r="A321" s="24" t="s">
        <x:v>413</x:v>
      </x:c>
      <x:c r="B321" s="53" t="s">
        <x:v>414</x:v>
      </x:c>
      <x:c r="C321" s="57" t="b">
        <x:v>1</x:v>
      </x:c>
      <x:c r="D321" s="80"/>
      <x:c r="E321" s="82"/>
    </x:row>
    <x:row r="322" ht="23" customHeight="1">
      <x:c r="A322" s="21" t="s">
        <x:v>415</x:v>
      </x:c>
      <x:c r="B322" s="45" t="s">
        <x:v>414</x:v>
      </x:c>
      <x:c r="C322" s="52" t="b">
        <x:v>1</x:v>
      </x:c>
      <x:c r="D322" s="80"/>
      <x:c r="E322" s="82"/>
    </x:row>
    <x:row r="323" ht="23" customHeight="1">
      <x:c r="A323" s="24" t="s">
        <x:v>87</x:v>
      </x:c>
      <x:c r="B323" s="53" t="s">
        <x:v>416</x:v>
      </x:c>
      <x:c r="C323" s="57" t="b">
        <x:v>1</x:v>
      </x:c>
      <x:c r="D323" s="80"/>
      <x:c r="E323" s="82"/>
    </x:row>
    <x:row r="324" ht="23" customHeight="1">
      <x:c r="A324" s="21" t="s">
        <x:v>415</x:v>
      </x:c>
      <x:c r="B324" s="45" t="s">
        <x:v>416</x:v>
      </x:c>
      <x:c r="C324" s="52" t="b">
        <x:v>1</x:v>
      </x:c>
      <x:c r="D324" s="80"/>
      <x:c r="E324" s="82"/>
    </x:row>
    <x:row r="325" ht="23" customHeight="1">
      <x:c r="A325" s="24" t="s">
        <x:v>412</x:v>
      </x:c>
      <x:c r="B325" s="53" t="s">
        <x:v>417</x:v>
      </x:c>
      <x:c r="C325" s="57" t="b">
        <x:v>1</x:v>
      </x:c>
      <x:c r="D325" s="80"/>
      <x:c r="E325" s="82"/>
    </x:row>
    <x:row r="326" ht="23" customHeight="1">
      <x:c r="A326" s="21" t="s">
        <x:v>418</x:v>
      </x:c>
      <x:c r="B326" s="45" t="s">
        <x:v>417</x:v>
      </x:c>
      <x:c r="C326" s="52" t="b">
        <x:v>1</x:v>
      </x:c>
      <x:c r="D326" s="80"/>
      <x:c r="E326" s="82"/>
    </x:row>
    <x:row r="327" ht="23" customHeight="1">
      <x:c r="A327" s="24" t="s">
        <x:v>418</x:v>
      </x:c>
      <x:c r="B327" s="53" t="s">
        <x:v>419</x:v>
      </x:c>
      <x:c r="C327" s="57" t="b">
        <x:v>1</x:v>
      </x:c>
      <x:c r="D327" s="80"/>
      <x:c r="E327" s="82"/>
    </x:row>
    <x:row r="328" ht="23" customHeight="1">
      <x:c r="A328" s="21" t="s">
        <x:v>415</x:v>
      </x:c>
      <x:c r="B328" s="45" t="s">
        <x:v>419</x:v>
      </x:c>
      <x:c r="C328" s="52" t="b">
        <x:v>1</x:v>
      </x:c>
      <x:c r="D328" s="80"/>
      <x:c r="E328" s="82"/>
    </x:row>
    <x:row r="329" ht="23" customHeight="1">
      <x:c r="A329" s="24" t="s">
        <x:v>418</x:v>
      </x:c>
      <x:c r="B329" s="53" t="s">
        <x:v>205</x:v>
      </x:c>
      <x:c r="C329" s="57" t="b">
        <x:v>1</x:v>
      </x:c>
      <x:c r="D329" s="80"/>
      <x:c r="E329" s="82"/>
    </x:row>
    <x:row r="330" ht="23" customHeight="1">
      <x:c r="A330" s="21" t="s">
        <x:v>420</x:v>
      </x:c>
      <x:c r="B330" s="45" t="s">
        <x:v>419</x:v>
      </x:c>
      <x:c r="C330" s="52" t="b">
        <x:v>1</x:v>
      </x:c>
      <x:c r="D330" s="80"/>
      <x:c r="E330" s="82"/>
    </x:row>
    <x:row r="331" ht="23" customHeight="1">
      <x:c r="A331" s="24" t="s">
        <x:v>415</x:v>
      </x:c>
      <x:c r="B331" s="53" t="s">
        <x:v>420</x:v>
      </x:c>
      <x:c r="C331" s="57" t="b">
        <x:v>1</x:v>
      </x:c>
      <x:c r="D331" s="80"/>
      <x:c r="E331" s="82"/>
    </x:row>
    <x:row r="332" ht="23" customHeight="1">
      <x:c r="A332" s="21" t="s">
        <x:v>424</x:v>
      </x:c>
      <x:c r="B332" s="45" t="s">
        <x:v>367</x:v>
      </x:c>
      <x:c r="C332" s="52" t="b">
        <x:v>1</x:v>
      </x:c>
      <x:c r="D332" s="80"/>
      <x:c r="E332" s="82"/>
    </x:row>
    <x:row r="333" ht="23" customHeight="1">
      <x:c r="A333" s="24" t="s">
        <x:v>161</x:v>
      </x:c>
      <x:c r="B333" s="53" t="s">
        <x:v>424</x:v>
      </x:c>
      <x:c r="C333" s="57" t="b">
        <x:v>1</x:v>
      </x:c>
      <x:c r="D333" s="80"/>
      <x:c r="E333" s="82"/>
    </x:row>
    <x:row r="334" ht="23" customHeight="1">
      <x:c r="A334" s="21" t="s">
        <x:v>423</x:v>
      </x:c>
      <x:c r="B334" s="45" t="s">
        <x:v>424</x:v>
      </x:c>
      <x:c r="C334" s="52" t="b">
        <x:v>1</x:v>
      </x:c>
      <x:c r="D334" s="80"/>
      <x:c r="E334" s="82"/>
    </x:row>
    <x:row r="335" ht="23" customHeight="1">
      <x:c r="A335" s="24" t="s">
        <x:v>422</x:v>
      </x:c>
      <x:c r="B335" s="53" t="s">
        <x:v>423</x:v>
      </x:c>
      <x:c r="C335" s="57" t="b">
        <x:v>1</x:v>
      </x:c>
      <x:c r="D335" s="80"/>
      <x:c r="E335" s="82"/>
    </x:row>
    <x:row r="336" ht="23" customHeight="1">
      <x:c r="A336" s="21" t="s">
        <x:v>420</x:v>
      </x:c>
      <x:c r="B336" s="45" t="s">
        <x:v>422</x:v>
      </x:c>
      <x:c r="C336" s="52" t="b">
        <x:v>1</x:v>
      </x:c>
      <x:c r="D336" s="80"/>
      <x:c r="E336" s="82"/>
    </x:row>
    <x:row r="337" ht="23" customHeight="1">
      <x:c r="A337" s="24" t="s">
        <x:v>421</x:v>
      </x:c>
      <x:c r="B337" s="53" t="s">
        <x:v>420</x:v>
      </x:c>
      <x:c r="C337" s="57" t="b">
        <x:v>1</x:v>
      </x:c>
      <x:c r="D337" s="80"/>
      <x:c r="E337" s="82"/>
    </x:row>
    <x:row r="338" ht="23" customHeight="1">
      <x:c r="A338" s="21" t="s">
        <x:v>421</x:v>
      </x:c>
      <x:c r="B338" s="45" t="s">
        <x:v>425</x:v>
      </x:c>
      <x:c r="C338" s="52" t="b">
        <x:v>0</x:v>
      </x:c>
      <x:c r="D338" s="80"/>
      <x:c r="E338" s="82"/>
    </x:row>
    <x:row r="339" ht="23" customHeight="1">
      <x:c r="A339" s="24" t="s">
        <x:v>351</x:v>
      </x:c>
      <x:c r="B339" s="53" t="s">
        <x:v>425</x:v>
      </x:c>
      <x:c r="C339" s="57" t="b">
        <x:v>1</x:v>
      </x:c>
      <x:c r="D339" s="80"/>
      <x:c r="E339" s="82"/>
    </x:row>
    <x:row r="340" ht="23" customHeight="1">
      <x:c r="A340" s="21" t="s">
        <x:v>185</x:v>
      </x:c>
      <x:c r="B340" s="45" t="s">
        <x:v>427</x:v>
      </x:c>
      <x:c r="C340" s="52" t="b">
        <x:v>1</x:v>
      </x:c>
      <x:c r="D340" s="80"/>
      <x:c r="E340" s="82"/>
    </x:row>
    <x:row r="341" ht="23" customHeight="1">
      <x:c r="A341" s="24" t="s">
        <x:v>426</x:v>
      </x:c>
      <x:c r="B341" s="53" t="s">
        <x:v>427</x:v>
      </x:c>
      <x:c r="C341" s="57" t="b">
        <x:v>1</x:v>
      </x:c>
      <x:c r="D341" s="80"/>
      <x:c r="E341" s="82"/>
    </x:row>
    <x:row r="342" ht="23" customHeight="1">
      <x:c r="A342" s="21" t="s">
        <x:v>280</x:v>
      </x:c>
      <x:c r="B342" s="45" t="s">
        <x:v>426</x:v>
      </x:c>
      <x:c r="C342" s="52" t="b">
        <x:v>1</x:v>
      </x:c>
      <x:c r="D342" s="80"/>
      <x:c r="E342" s="82"/>
    </x:row>
    <x:row r="343" ht="23" customHeight="1">
      <x:c r="A343" s="24" t="s">
        <x:v>197</x:v>
      </x:c>
      <x:c r="B343" s="53" t="s">
        <x:v>428</x:v>
      </x:c>
      <x:c r="C343" s="57" t="b">
        <x:v>1</x:v>
      </x:c>
      <x:c r="D343" s="80"/>
      <x:c r="E343" s="82"/>
    </x:row>
    <x:row r="344" ht="23" customHeight="1">
      <x:c r="A344" s="21" t="s">
        <x:v>280</x:v>
      </x:c>
      <x:c r="B344" s="45" t="s">
        <x:v>428</x:v>
      </x:c>
      <x:c r="C344" s="52" t="b">
        <x:v>1</x:v>
      </x:c>
      <x:c r="D344" s="80"/>
      <x:c r="E344" s="82"/>
    </x:row>
    <x:row r="345" ht="23" customHeight="1">
      <x:c r="A345" s="24" t="s">
        <x:v>279</x:v>
      </x:c>
      <x:c r="B345" s="53" t="s">
        <x:v>428</x:v>
      </x:c>
      <x:c r="C345" s="57" t="b">
        <x:v>1</x:v>
      </x:c>
      <x:c r="D345" s="80"/>
      <x:c r="E345" s="82"/>
    </x:row>
    <x:row r="346" ht="23" customHeight="1">
      <x:c r="A346" s="21" t="s">
        <x:v>411</x:v>
      </x:c>
      <x:c r="B346" s="45" t="s">
        <x:v>429</x:v>
      </x:c>
      <x:c r="C346" s="52" t="b">
        <x:v>1</x:v>
      </x:c>
      <x:c r="D346" s="80"/>
      <x:c r="E346" s="82"/>
    </x:row>
    <x:row r="347" ht="23" customHeight="1">
      <x:c r="A347" s="24" t="s">
        <x:v>333</x:v>
      </x:c>
      <x:c r="B347" s="53" t="s">
        <x:v>429</x:v>
      </x:c>
      <x:c r="C347" s="57" t="b">
        <x:v>1</x:v>
      </x:c>
      <x:c r="D347" s="80"/>
      <x:c r="E347" s="82"/>
    </x:row>
    <x:row r="348" ht="23" customHeight="1">
      <x:c r="A348" s="21" t="s">
        <x:v>431</x:v>
      </x:c>
      <x:c r="B348" s="45" t="s">
        <x:v>430</x:v>
      </x:c>
      <x:c r="C348" s="52" t="b">
        <x:v>1</x:v>
      </x:c>
      <x:c r="D348" s="80"/>
      <x:c r="E348" s="82"/>
    </x:row>
    <x:row r="349" ht="23" customHeight="1">
      <x:c r="A349" s="24" t="s">
        <x:v>429</x:v>
      </x:c>
      <x:c r="B349" s="53" t="s">
        <x:v>430</x:v>
      </x:c>
      <x:c r="C349" s="57" t="b">
        <x:v>1</x:v>
      </x:c>
      <x:c r="D349" s="80"/>
      <x:c r="E349" s="82"/>
    </x:row>
    <x:row r="350" ht="23" customHeight="1">
      <x:c r="A350" s="21" t="s">
        <x:v>431</x:v>
      </x:c>
      <x:c r="B350" s="45" t="s">
        <x:v>432</x:v>
      </x:c>
      <x:c r="C350" s="52" t="b">
        <x:v>1</x:v>
      </x:c>
      <x:c r="D350" s="80"/>
      <x:c r="E350" s="82"/>
    </x:row>
    <x:row r="351" ht="23" customHeight="1">
      <x:c r="A351" s="24" t="s">
        <x:v>83</x:v>
      </x:c>
      <x:c r="B351" s="53" t="s">
        <x:v>433</x:v>
      </x:c>
      <x:c r="C351" s="57" t="b">
        <x:v>1</x:v>
      </x:c>
      <x:c r="D351" s="80"/>
      <x:c r="E351" s="82"/>
    </x:row>
    <x:row r="352" ht="23" customHeight="1">
      <x:c r="A352" s="21" t="s">
        <x:v>432</x:v>
      </x:c>
      <x:c r="B352" s="45" t="s">
        <x:v>433</x:v>
      </x:c>
      <x:c r="C352" s="52" t="b">
        <x:v>1</x:v>
      </x:c>
      <x:c r="D352" s="80"/>
      <x:c r="E352" s="82"/>
    </x:row>
    <x:row r="353" ht="23" customHeight="1">
      <x:c r="A353" s="24" t="s">
        <x:v>434</x:v>
      </x:c>
      <x:c r="B353" s="53" t="s">
        <x:v>432</x:v>
      </x:c>
      <x:c r="C353" s="57" t="b">
        <x:v>1</x:v>
      </x:c>
      <x:c r="D353" s="80"/>
      <x:c r="E353" s="82"/>
    </x:row>
    <x:row r="354" ht="23" customHeight="1">
      <x:c r="A354" s="21" t="s">
        <x:v>435</x:v>
      </x:c>
      <x:c r="B354" s="45" t="s">
        <x:v>434</x:v>
      </x:c>
      <x:c r="C354" s="52" t="b">
        <x:v>1</x:v>
      </x:c>
      <x:c r="D354" s="80"/>
      <x:c r="E354" s="82"/>
    </x:row>
    <x:row r="355" ht="23" customHeight="1">
      <x:c r="A355" s="24" t="s">
        <x:v>412</x:v>
      </x:c>
      <x:c r="B355" s="53" t="s">
        <x:v>436</x:v>
      </x:c>
      <x:c r="C355" s="57" t="b">
        <x:v>1</x:v>
      </x:c>
      <x:c r="D355" s="80"/>
      <x:c r="E355" s="82"/>
    </x:row>
    <x:row r="356" ht="23" customHeight="1">
      <x:c r="A356" s="21" t="s">
        <x:v>81</x:v>
      </x:c>
      <x:c r="B356" s="45" t="s">
        <x:v>436</x:v>
      </x:c>
      <x:c r="C356" s="52" t="b">
        <x:v>1</x:v>
      </x:c>
      <x:c r="D356" s="80"/>
      <x:c r="E356" s="82"/>
    </x:row>
    <x:row r="357" ht="23" customHeight="1">
      <x:c r="A357" s="24" t="s">
        <x:v>375</x:v>
      </x:c>
      <x:c r="B357" s="53" t="s">
        <x:v>437</x:v>
      </x:c>
      <x:c r="C357" s="57" t="b">
        <x:v>1</x:v>
      </x:c>
      <x:c r="D357" s="80"/>
      <x:c r="E357" s="82"/>
    </x:row>
    <x:row r="358" ht="23" customHeight="1">
      <x:c r="A358" s="21" t="s">
        <x:v>388</x:v>
      </x:c>
      <x:c r="B358" s="45" t="s">
        <x:v>437</x:v>
      </x:c>
      <x:c r="C358" s="52" t="b">
        <x:v>1</x:v>
      </x:c>
      <x:c r="D358" s="80"/>
      <x:c r="E358" s="82"/>
    </x:row>
    <x:row r="359" ht="23" customHeight="1">
      <x:c r="A359" s="24" t="s">
        <x:v>346</x:v>
      </x:c>
      <x:c r="B359" s="53" t="s">
        <x:v>438</x:v>
      </x:c>
      <x:c r="C359" s="57" t="b">
        <x:v>1</x:v>
      </x:c>
      <x:c r="D359" s="80"/>
      <x:c r="E359" s="82"/>
    </x:row>
    <x:row r="360" ht="23" customHeight="1">
      <x:c r="A360" s="21" t="s">
        <x:v>392</x:v>
      </x:c>
      <x:c r="B360" s="45" t="s">
        <x:v>438</x:v>
      </x:c>
      <x:c r="C360" s="52" t="b">
        <x:v>1</x:v>
      </x:c>
      <x:c r="D360" s="80"/>
      <x:c r="E360" s="82"/>
    </x:row>
    <x:row r="361" ht="23" customHeight="1">
      <x:c r="A361" s="24" t="s">
        <x:v>348</x:v>
      </x:c>
      <x:c r="B361" s="53" t="s">
        <x:v>438</x:v>
      </x:c>
      <x:c r="C361" s="57" t="b">
        <x:v>1</x:v>
      </x:c>
      <x:c r="D361" s="80"/>
      <x:c r="E361" s="82"/>
    </x:row>
    <x:row r="362" ht="23" customHeight="1">
      <x:c r="A362" s="21" t="s">
        <x:v>435</x:v>
      </x:c>
      <x:c r="B362" s="45" t="s">
        <x:v>439</x:v>
      </x:c>
      <x:c r="C362" s="52" t="b">
        <x:v>1</x:v>
      </x:c>
      <x:c r="D362" s="80"/>
      <x:c r="E362" s="82"/>
    </x:row>
    <x:row r="363" ht="23" customHeight="1">
      <x:c r="A363" s="24" t="s">
        <x:v>139</x:v>
      </x:c>
      <x:c r="B363" s="53" t="s">
        <x:v>439</x:v>
      </x:c>
      <x:c r="C363" s="57" t="b">
        <x:v>1</x:v>
      </x:c>
      <x:c r="D363" s="80"/>
      <x:c r="E363" s="82"/>
    </x:row>
    <x:row r="364" ht="23" customHeight="1">
      <x:c r="A364" s="21" t="s">
        <x:v>189</x:v>
      </x:c>
      <x:c r="B364" s="45" t="s">
        <x:v>439</x:v>
      </x:c>
      <x:c r="C364" s="52" t="b">
        <x:v>1</x:v>
      </x:c>
      <x:c r="D364" s="80"/>
      <x:c r="E364" s="82"/>
    </x:row>
    <x:row r="365" ht="23" customHeight="1">
      <x:c r="A365" s="24" t="s">
        <x:v>89</x:v>
      </x:c>
      <x:c r="B365" s="53" t="s">
        <x:v>439</x:v>
      </x:c>
      <x:c r="C365" s="57" t="b">
        <x:v>1</x:v>
      </x:c>
      <x:c r="D365" s="80"/>
      <x:c r="E365" s="82"/>
    </x:row>
    <x:row r="366" ht="23" customHeight="1">
      <x:c r="A366" s="21" t="s">
        <x:v>440</x:v>
      </x:c>
      <x:c r="B366" s="45" t="s">
        <x:v>439</x:v>
      </x:c>
      <x:c r="C366" s="52" t="b">
        <x:v>1</x:v>
      </x:c>
      <x:c r="D366" s="80"/>
      <x:c r="E366" s="82"/>
    </x:row>
    <x:row r="367" ht="23" customHeight="1">
      <x:c r="A367" s="24" t="s">
        <x:v>89</x:v>
      </x:c>
      <x:c r="B367" s="53" t="s">
        <x:v>440</x:v>
      </x:c>
      <x:c r="C367" s="57" t="b">
        <x:v>1</x:v>
      </x:c>
      <x:c r="D367" s="80"/>
      <x:c r="E367" s="82"/>
    </x:row>
    <x:row r="368" ht="23" customHeight="1">
      <x:c r="A368" s="21" t="s">
        <x:v>439</x:v>
      </x:c>
      <x:c r="B368" s="45" t="s">
        <x:v>442</x:v>
      </x:c>
      <x:c r="C368" s="52" t="b">
        <x:v>1</x:v>
      </x:c>
      <x:c r="D368" s="80"/>
      <x:c r="E368" s="82"/>
    </x:row>
    <x:row r="369" ht="23" customHeight="1">
      <x:c r="A369" s="24" t="s">
        <x:v>441</x:v>
      </x:c>
      <x:c r="B369" s="53" t="s">
        <x:v>443</x:v>
      </x:c>
      <x:c r="C369" s="57" t="b">
        <x:v>1</x:v>
      </x:c>
      <x:c r="D369" s="80"/>
      <x:c r="E369" s="82"/>
    </x:row>
    <x:row r="370" ht="23" customHeight="1">
      <x:c r="A370" s="21" t="s">
        <x:v>442</x:v>
      </x:c>
      <x:c r="B370" s="45" t="s">
        <x:v>443</x:v>
      </x:c>
      <x:c r="C370" s="52" t="b">
        <x:v>1</x:v>
      </x:c>
      <x:c r="D370" s="80"/>
      <x:c r="E370" s="82"/>
    </x:row>
    <x:row r="371" ht="23" customHeight="1">
      <x:c r="A371" s="24" t="s">
        <x:v>445</x:v>
      </x:c>
      <x:c r="B371" s="53" t="s">
        <x:v>444</x:v>
      </x:c>
      <x:c r="C371" s="57" t="b">
        <x:v>1</x:v>
      </x:c>
      <x:c r="D371" s="80"/>
      <x:c r="E371" s="82"/>
    </x:row>
    <x:row r="372" ht="23" customHeight="1">
      <x:c r="A372" s="21" t="s">
        <x:v>443</x:v>
      </x:c>
      <x:c r="B372" s="45" t="s">
        <x:v>444</x:v>
      </x:c>
      <x:c r="C372" s="52" t="b">
        <x:v>1</x:v>
      </x:c>
      <x:c r="D372" s="80"/>
      <x:c r="E372" s="82"/>
    </x:row>
    <x:row r="373" ht="23" customHeight="1">
      <x:c r="A373" s="24" t="s">
        <x:v>446</x:v>
      </x:c>
      <x:c r="B373" s="53" t="s">
        <x:v>444</x:v>
      </x:c>
      <x:c r="C373" s="57" t="b">
        <x:v>1</x:v>
      </x:c>
      <x:c r="D373" s="80"/>
      <x:c r="E373" s="82"/>
    </x:row>
    <x:row r="374" ht="23" customHeight="1">
      <x:c r="A374" s="21" t="s">
        <x:v>442</x:v>
      </x:c>
      <x:c r="B374" s="45" t="s">
        <x:v>445</x:v>
      </x:c>
      <x:c r="C374" s="52" t="b">
        <x:v>1</x:v>
      </x:c>
      <x:c r="D374" s="80"/>
      <x:c r="E374" s="82"/>
    </x:row>
    <x:row r="375" ht="23" customHeight="1">
      <x:c r="A375" s="24" t="s">
        <x:v>446</x:v>
      </x:c>
      <x:c r="B375" s="53" t="s">
        <x:v>436</x:v>
      </x:c>
      <x:c r="C375" s="57" t="b">
        <x:v>1</x:v>
      </x:c>
      <x:c r="D375" s="80"/>
      <x:c r="E375" s="82"/>
    </x:row>
    <x:row r="376" ht="23" customHeight="1">
      <x:c r="A376" s="21" t="s">
        <x:v>1294</x:v>
      </x:c>
      <x:c r="B376" s="45" t="s">
        <x:v>449</x:v>
      </x:c>
      <x:c r="C376" s="52" t="b">
        <x:v>1</x:v>
      </x:c>
      <x:c r="D376" s="80"/>
      <x:c r="E376" s="82"/>
    </x:row>
    <x:row r="377" ht="23" customHeight="1">
      <x:c r="A377" s="24" t="s">
        <x:v>448</x:v>
      </x:c>
      <x:c r="B377" s="53" t="s">
        <x:v>449</x:v>
      </x:c>
      <x:c r="C377" s="57" t="b">
        <x:v>1</x:v>
      </x:c>
      <x:c r="D377" s="80"/>
      <x:c r="E377" s="82"/>
    </x:row>
    <x:row r="378" ht="23" customHeight="1">
      <x:c r="A378" s="21" t="s">
        <x:v>446</x:v>
      </x:c>
      <x:c r="B378" s="45" t="s">
        <x:v>447</x:v>
      </x:c>
      <x:c r="C378" s="52" t="b">
        <x:v>1</x:v>
      </x:c>
      <x:c r="D378" s="80"/>
      <x:c r="E378" s="82"/>
    </x:row>
    <x:row r="379" ht="23" customHeight="1">
      <x:c r="A379" s="24" t="s">
        <x:v>436</x:v>
      </x:c>
      <x:c r="B379" s="53" t="s">
        <x:v>448</x:v>
      </x:c>
      <x:c r="C379" s="57" t="b">
        <x:v>1</x:v>
      </x:c>
      <x:c r="D379" s="80"/>
      <x:c r="E379" s="82"/>
    </x:row>
    <x:row r="380" ht="23" customHeight="1">
      <x:c r="A380" s="21" t="s">
        <x:v>447</x:v>
      </x:c>
      <x:c r="B380" s="45" t="s">
        <x:v>448</x:v>
      </x:c>
      <x:c r="C380" s="52" t="b">
        <x:v>1</x:v>
      </x:c>
      <x:c r="D380" s="80"/>
      <x:c r="E380" s="82"/>
    </x:row>
    <x:row r="381" ht="23" customHeight="1">
      <x:c r="A381" s="24" t="s">
        <x:v>449</x:v>
      </x:c>
      <x:c r="B381" s="53" t="s">
        <x:v>451</x:v>
      </x:c>
      <x:c r="C381" s="57" t="b">
        <x:v>1</x:v>
      </x:c>
      <x:c r="D381" s="80"/>
      <x:c r="E381" s="82"/>
    </x:row>
    <x:row r="382" ht="23" customHeight="1">
      <x:c r="A382" s="21" t="s">
        <x:v>369</x:v>
      </x:c>
      <x:c r="B382" s="45" t="s">
        <x:v>451</x:v>
      </x:c>
      <x:c r="C382" s="52" t="b">
        <x:v>1</x:v>
      </x:c>
      <x:c r="D382" s="80"/>
      <x:c r="E382" s="82"/>
    </x:row>
    <x:row r="383" ht="23" customHeight="1">
      <x:c r="A383" s="24" t="s">
        <x:v>450</x:v>
      </x:c>
      <x:c r="B383" s="53" t="s">
        <x:v>451</x:v>
      </x:c>
      <x:c r="C383" s="57" t="b">
        <x:v>1</x:v>
      </x:c>
      <x:c r="D383" s="80"/>
      <x:c r="E383" s="82"/>
    </x:row>
    <x:row r="384" ht="23" customHeight="1">
      <x:c r="A384" s="21" t="s">
        <x:v>452</x:v>
      </x:c>
      <x:c r="B384" s="45" t="s">
        <x:v>85</x:v>
      </x:c>
      <x:c r="C384" s="52" t="b">
        <x:v>1</x:v>
      </x:c>
      <x:c r="D384" s="80"/>
      <x:c r="E384" s="82"/>
    </x:row>
    <x:row r="385" ht="23" customHeight="1">
      <x:c r="A385" s="24" t="s">
        <x:v>453</x:v>
      </x:c>
      <x:c r="B385" s="53" t="s">
        <x:v>452</x:v>
      </x:c>
      <x:c r="C385" s="57" t="b">
        <x:v>1</x:v>
      </x:c>
      <x:c r="D385" s="80"/>
      <x:c r="E385" s="82"/>
    </x:row>
    <x:row r="386" ht="23" customHeight="1">
      <x:c r="A386" s="21" t="s">
        <x:v>456</x:v>
      </x:c>
      <x:c r="B386" s="45" t="s">
        <x:v>450</x:v>
      </x:c>
      <x:c r="C386" s="52" t="b">
        <x:v>1</x:v>
      </x:c>
      <x:c r="D386" s="80"/>
      <x:c r="E386" s="82"/>
    </x:row>
    <x:row r="387" ht="23" customHeight="1">
      <x:c r="A387" s="24" t="s">
        <x:v>455</x:v>
      </x:c>
      <x:c r="B387" s="53" t="s">
        <x:v>456</x:v>
      </x:c>
      <x:c r="C387" s="57" t="b">
        <x:v>1</x:v>
      </x:c>
      <x:c r="D387" s="80"/>
      <x:c r="E387" s="82"/>
    </x:row>
    <x:row r="388" ht="23" customHeight="1">
      <x:c r="A388" s="21" t="s">
        <x:v>453</x:v>
      </x:c>
      <x:c r="B388" s="45" t="s">
        <x:v>455</x:v>
      </x:c>
      <x:c r="C388" s="52" t="b">
        <x:v>1</x:v>
      </x:c>
      <x:c r="D388" s="80"/>
      <x:c r="E388" s="82"/>
    </x:row>
    <x:row r="389" ht="23" customHeight="1">
      <x:c r="A389" s="24" t="s">
        <x:v>452</x:v>
      </x:c>
      <x:c r="B389" s="53" t="s">
        <x:v>450</x:v>
      </x:c>
      <x:c r="C389" s="57" t="b">
        <x:v>1</x:v>
      </x:c>
      <x:c r="D389" s="80"/>
      <x:c r="E389" s="82"/>
    </x:row>
    <x:row r="390" ht="23" customHeight="1">
      <x:c r="A390" s="21" t="s">
        <x:v>454</x:v>
      </x:c>
      <x:c r="B390" s="45" t="s">
        <x:v>455</x:v>
      </x:c>
      <x:c r="C390" s="52" t="b">
        <x:v>1</x:v>
      </x:c>
      <x:c r="D390" s="80"/>
      <x:c r="E390" s="82"/>
    </x:row>
    <x:row r="391" ht="23" customHeight="1">
      <x:c r="A391" s="24" t="s">
        <x:v>457</x:v>
      </x:c>
      <x:c r="B391" s="53" t="s">
        <x:v>454</x:v>
      </x:c>
      <x:c r="C391" s="57" t="b">
        <x:v>1</x:v>
      </x:c>
      <x:c r="D391" s="80"/>
      <x:c r="E391" s="82"/>
    </x:row>
    <x:row r="392" ht="23" customHeight="1">
      <x:c r="A392" s="21" t="s">
        <x:v>447</x:v>
      </x:c>
      <x:c r="B392" s="45" t="s">
        <x:v>458</x:v>
      </x:c>
      <x:c r="C392" s="52" t="b">
        <x:v>1</x:v>
      </x:c>
      <x:c r="D392" s="80"/>
      <x:c r="E392" s="82"/>
    </x:row>
    <x:row r="393" ht="23" customHeight="1">
      <x:c r="A393" s="24" t="s">
        <x:v>448</x:v>
      </x:c>
      <x:c r="B393" s="53" t="s">
        <x:v>458</x:v>
      </x:c>
      <x:c r="C393" s="57" t="b">
        <x:v>1</x:v>
      </x:c>
      <x:c r="D393" s="80"/>
      <x:c r="E393" s="82"/>
    </x:row>
    <x:row r="394" ht="23" customHeight="1">
      <x:c r="A394" s="21" t="s">
        <x:v>457</x:v>
      </x:c>
      <x:c r="B394" s="45" t="s">
        <x:v>458</x:v>
      </x:c>
      <x:c r="C394" s="52" t="b">
        <x:v>1</x:v>
      </x:c>
      <x:c r="D394" s="80"/>
      <x:c r="E394" s="82"/>
    </x:row>
    <x:row r="395" ht="23" customHeight="1">
      <x:c r="A395" s="24" t="s">
        <x:v>454</x:v>
      </x:c>
      <x:c r="B395" s="53" t="s">
        <x:v>461</x:v>
      </x:c>
      <x:c r="C395" s="57" t="b">
        <x:v>1</x:v>
      </x:c>
      <x:c r="D395" s="80"/>
      <x:c r="E395" s="82"/>
    </x:row>
    <x:row r="396" ht="23" customHeight="1">
      <x:c r="A396" s="21" t="s">
        <x:v>460</x:v>
      </x:c>
      <x:c r="B396" s="45" t="s">
        <x:v>461</x:v>
      </x:c>
      <x:c r="C396" s="52" t="b">
        <x:v>1</x:v>
      </x:c>
      <x:c r="D396" s="80"/>
      <x:c r="E396" s="82"/>
    </x:row>
    <x:row r="397" ht="23" customHeight="1">
      <x:c r="A397" s="24" t="s">
        <x:v>459</x:v>
      </x:c>
      <x:c r="B397" s="53" t="s">
        <x:v>461</x:v>
      </x:c>
      <x:c r="C397" s="57" t="b">
        <x:v>1</x:v>
      </x:c>
      <x:c r="D397" s="80"/>
      <x:c r="E397" s="82"/>
    </x:row>
    <x:row r="398" ht="23" customHeight="1">
      <x:c r="A398" s="21" t="s">
        <x:v>437</x:v>
      </x:c>
      <x:c r="B398" s="45" t="s">
        <x:v>463</x:v>
      </x:c>
      <x:c r="C398" s="52" t="b">
        <x:v>1</x:v>
      </x:c>
      <x:c r="D398" s="80"/>
      <x:c r="E398" s="82"/>
    </x:row>
    <x:row r="399" ht="23" customHeight="1">
      <x:c r="A399" s="24" t="s">
        <x:v>459</x:v>
      </x:c>
      <x:c r="B399" s="53" t="s">
        <x:v>462</x:v>
      </x:c>
      <x:c r="C399" s="57" t="b">
        <x:v>1</x:v>
      </x:c>
      <x:c r="D399" s="80"/>
      <x:c r="E399" s="82"/>
    </x:row>
    <x:row r="400" ht="23" customHeight="1">
      <x:c r="A400" s="21" t="s">
        <x:v>464</x:v>
      </x:c>
      <x:c r="B400" s="45" t="s">
        <x:v>462</x:v>
      </x:c>
      <x:c r="C400" s="52" t="b">
        <x:v>1</x:v>
      </x:c>
      <x:c r="D400" s="80"/>
      <x:c r="E400" s="82"/>
    </x:row>
    <x:row r="401" ht="23" customHeight="1">
      <x:c r="A401" s="24" t="s">
        <x:v>463</x:v>
      </x:c>
      <x:c r="B401" s="53" t="s">
        <x:v>464</x:v>
      </x:c>
      <x:c r="C401" s="57" t="b">
        <x:v>1</x:v>
      </x:c>
      <x:c r="D401" s="80"/>
      <x:c r="E401" s="82"/>
    </x:row>
    <x:row r="402" ht="23" customHeight="1">
      <x:c r="A402" s="21" t="s">
        <x:v>465</x:v>
      </x:c>
      <x:c r="B402" s="45" t="s">
        <x:v>466</x:v>
      </x:c>
      <x:c r="C402" s="52" t="b">
        <x:v>1</x:v>
      </x:c>
      <x:c r="D402" s="80"/>
      <x:c r="E402" s="82"/>
    </x:row>
    <x:row r="403" ht="23" customHeight="1">
      <x:c r="A403" s="24" t="s">
        <x:v>467</x:v>
      </x:c>
      <x:c r="B403" s="53" t="s">
        <x:v>471</x:v>
      </x:c>
      <x:c r="C403" s="57" t="b">
        <x:v>1</x:v>
      </x:c>
      <x:c r="D403" s="80"/>
      <x:c r="E403" s="82"/>
    </x:row>
    <x:row r="404" ht="23" customHeight="1">
      <x:c r="A404" s="21" t="s">
        <x:v>466</x:v>
      </x:c>
      <x:c r="B404" s="45" t="s">
        <x:v>471</x:v>
      </x:c>
      <x:c r="C404" s="52" t="b">
        <x:v>1</x:v>
      </x:c>
      <x:c r="D404" s="80"/>
      <x:c r="E404" s="82"/>
    </x:row>
    <x:row r="405" ht="23" customHeight="1">
      <x:c r="A405" s="24" t="s">
        <x:v>470</x:v>
      </x:c>
      <x:c r="B405" s="53" t="s">
        <x:v>471</x:v>
      </x:c>
      <x:c r="C405" s="57" t="b">
        <x:v>1</x:v>
      </x:c>
      <x:c r="D405" s="80"/>
      <x:c r="E405" s="82"/>
    </x:row>
    <x:row r="406" ht="23" customHeight="1">
      <x:c r="A406" s="21" t="s">
        <x:v>469</x:v>
      </x:c>
      <x:c r="B406" s="45" t="s">
        <x:v>470</x:v>
      </x:c>
      <x:c r="C406" s="52" t="b">
        <x:v>1</x:v>
      </x:c>
      <x:c r="D406" s="80"/>
      <x:c r="E406" s="82"/>
    </x:row>
    <x:row r="407" ht="23" customHeight="1">
      <x:c r="A407" s="24" t="s">
        <x:v>468</x:v>
      </x:c>
      <x:c r="B407" s="53" t="s">
        <x:v>469</x:v>
      </x:c>
      <x:c r="C407" s="57" t="b">
        <x:v>1</x:v>
      </x:c>
      <x:c r="D407" s="80"/>
      <x:c r="E407" s="82"/>
    </x:row>
    <x:row r="408" ht="23" customHeight="1">
      <x:c r="A408" s="21" t="s">
        <x:v>467</x:v>
      </x:c>
      <x:c r="B408" s="45" t="s">
        <x:v>468</x:v>
      </x:c>
      <x:c r="C408" s="52" t="b">
        <x:v>1</x:v>
      </x:c>
      <x:c r="D408" s="80"/>
      <x:c r="E408" s="82"/>
    </x:row>
    <x:row r="409" ht="23" customHeight="1">
      <x:c r="A409" s="24" t="s">
        <x:v>470</x:v>
      </x:c>
      <x:c r="B409" s="53" t="s">
        <x:v>129</x:v>
      </x:c>
      <x:c r="C409" s="57" t="b">
        <x:v>1</x:v>
      </x:c>
      <x:c r="D409" s="80"/>
      <x:c r="E409" s="82"/>
    </x:row>
    <x:row r="410" ht="23" customHeight="1">
      <x:c r="A410" s="21" t="s">
        <x:v>441</x:v>
      </x:c>
      <x:c r="B410" s="45" t="s">
        <x:v>473</x:v>
      </x:c>
      <x:c r="C410" s="52" t="b">
        <x:v>1</x:v>
      </x:c>
      <x:c r="D410" s="80"/>
      <x:c r="E410" s="82"/>
    </x:row>
    <x:row r="411" ht="23" customHeight="1">
      <x:c r="A411" s="24" t="s">
        <x:v>468</x:v>
      </x:c>
      <x:c r="B411" s="53" t="s">
        <x:v>473</x:v>
      </x:c>
      <x:c r="C411" s="57" t="b">
        <x:v>1</x:v>
      </x:c>
      <x:c r="D411" s="80"/>
      <x:c r="E411" s="82"/>
    </x:row>
    <x:row r="412" ht="23" customHeight="1">
      <x:c r="A412" s="21" t="s">
        <x:v>440</x:v>
      </x:c>
      <x:c r="B412" s="45" t="s">
        <x:v>473</x:v>
      </x:c>
      <x:c r="C412" s="52" t="b">
        <x:v>1</x:v>
      </x:c>
      <x:c r="D412" s="80"/>
      <x:c r="E412" s="82"/>
    </x:row>
    <x:row r="413" ht="23" customHeight="1">
      <x:c r="A413" s="24" t="s">
        <x:v>441</x:v>
      </x:c>
      <x:c r="B413" s="53" t="s">
        <x:v>472</x:v>
      </x:c>
      <x:c r="C413" s="57" t="b">
        <x:v>1</x:v>
      </x:c>
      <x:c r="D413" s="80"/>
      <x:c r="E413" s="82"/>
    </x:row>
    <x:row r="414" ht="23" customHeight="1">
      <x:c r="A414" s="21" t="s">
        <x:v>465</x:v>
      </x:c>
      <x:c r="B414" s="45" t="s">
        <x:v>472</x:v>
      </x:c>
      <x:c r="C414" s="52" t="b">
        <x:v>1</x:v>
      </x:c>
      <x:c r="D414" s="80"/>
      <x:c r="E414" s="82"/>
    </x:row>
    <x:row r="415" ht="23" customHeight="1">
      <x:c r="A415" s="24" t="s">
        <x:v>471</x:v>
      </x:c>
      <x:c r="B415" s="53" t="s">
        <x:v>472</x:v>
      </x:c>
      <x:c r="C415" s="57" t="b">
        <x:v>1</x:v>
      </x:c>
      <x:c r="D415" s="80"/>
      <x:c r="E415" s="82"/>
    </x:row>
    <x:row r="416" ht="23" customHeight="1">
      <x:c r="A416" s="21" t="s">
        <x:v>465</x:v>
      </x:c>
      <x:c r="B416" s="45" t="s">
        <x:v>477</x:v>
      </x:c>
      <x:c r="C416" s="52" t="b">
        <x:v>1</x:v>
      </x:c>
      <x:c r="D416" s="80"/>
      <x:c r="E416" s="82"/>
    </x:row>
    <x:row r="417" ht="23" customHeight="1">
      <x:c r="A417" s="24" t="s">
        <x:v>135</x:v>
      </x:c>
      <x:c r="B417" s="53" t="s">
        <x:v>476</x:v>
      </x:c>
      <x:c r="C417" s="57" t="b">
        <x:v>1</x:v>
      </x:c>
      <x:c r="D417" s="80"/>
      <x:c r="E417" s="82"/>
    </x:row>
    <x:row r="418" ht="23" customHeight="1">
      <x:c r="A418" s="21" t="s">
        <x:v>477</x:v>
      </x:c>
      <x:c r="B418" s="45" t="s">
        <x:v>476</x:v>
      </x:c>
      <x:c r="C418" s="52" t="b">
        <x:v>1</x:v>
      </x:c>
      <x:c r="D418" s="80"/>
      <x:c r="E418" s="82"/>
    </x:row>
    <x:row r="419" ht="23" customHeight="1">
      <x:c r="A419" s="24" t="s">
        <x:v>475</x:v>
      </x:c>
      <x:c r="B419" s="53" t="s">
        <x:v>476</x:v>
      </x:c>
      <x:c r="C419" s="57" t="b">
        <x:v>1</x:v>
      </x:c>
      <x:c r="D419" s="80"/>
      <x:c r="E419" s="82"/>
    </x:row>
    <x:row r="420" ht="23" customHeight="1">
      <x:c r="A420" s="21" t="s">
        <x:v>474</x:v>
      </x:c>
      <x:c r="B420" s="45" t="s">
        <x:v>475</x:v>
      </x:c>
      <x:c r="C420" s="52" t="b">
        <x:v>1</x:v>
      </x:c>
      <x:c r="D420" s="80"/>
      <x:c r="E420" s="82"/>
    </x:row>
    <x:row r="421" ht="23" customHeight="1">
      <x:c r="A421" s="24" t="s">
        <x:v>466</x:v>
      </x:c>
      <x:c r="B421" s="53" t="s">
        <x:v>474</x:v>
      </x:c>
      <x:c r="C421" s="57" t="b">
        <x:v>1</x:v>
      </x:c>
      <x:c r="D421" s="80"/>
      <x:c r="E421" s="82"/>
    </x:row>
    <x:row r="422" ht="23" customHeight="1">
      <x:c r="A422" s="21" t="s">
        <x:v>477</x:v>
      </x:c>
      <x:c r="B422" s="45" t="s">
        <x:v>211</x:v>
      </x:c>
      <x:c r="C422" s="52" t="b">
        <x:v>1</x:v>
      </x:c>
      <x:c r="D422" s="80"/>
      <x:c r="E422" s="82"/>
    </x:row>
    <x:row r="423" ht="23" customHeight="1">
      <x:c r="A423" s="24" t="s">
        <x:v>432</x:v>
      </x:c>
      <x:c r="B423" s="53" t="s">
        <x:v>480</x:v>
      </x:c>
      <x:c r="C423" s="57" t="b">
        <x:v>1</x:v>
      </x:c>
      <x:c r="D423" s="80"/>
      <x:c r="E423" s="82"/>
    </x:row>
    <x:row r="424" ht="23" customHeight="1">
      <x:c r="A424" s="21" t="s">
        <x:v>479</x:v>
      </x:c>
      <x:c r="B424" s="45" t="s">
        <x:v>480</x:v>
      </x:c>
      <x:c r="C424" s="52" t="b">
        <x:v>1</x:v>
      </x:c>
      <x:c r="D424" s="80"/>
      <x:c r="E424" s="82"/>
    </x:row>
    <x:row r="425" ht="23" customHeight="1">
      <x:c r="A425" s="24" t="s">
        <x:v>478</x:v>
      </x:c>
      <x:c r="B425" s="53" t="s">
        <x:v>479</x:v>
      </x:c>
      <x:c r="C425" s="57" t="b">
        <x:v>1</x:v>
      </x:c>
      <x:c r="D425" s="80"/>
      <x:c r="E425" s="82"/>
    </x:row>
    <x:row r="426" ht="23" customHeight="1">
      <x:c r="A426" s="21" t="s">
        <x:v>474</x:v>
      </x:c>
      <x:c r="B426" s="45" t="s">
        <x:v>478</x:v>
      </x:c>
      <x:c r="C426" s="52" t="b">
        <x:v>1</x:v>
      </x:c>
      <x:c r="D426" s="80"/>
      <x:c r="E426" s="82"/>
    </x:row>
    <x:row r="427" ht="23" customHeight="1">
      <x:c r="A427" s="24" t="s">
        <x:v>219</x:v>
      </x:c>
      <x:c r="B427" s="53" t="s">
        <x:v>95</x:v>
      </x:c>
      <x:c r="C427" s="57" t="b">
        <x:v>1</x:v>
      </x:c>
      <x:c r="D427" s="80"/>
      <x:c r="E427" s="82"/>
    </x:row>
    <x:row r="428" ht="23" customHeight="1">
      <x:c r="A428" s="21" t="s">
        <x:v>481</x:v>
      </x:c>
      <x:c r="B428" s="45" t="s">
        <x:v>219</x:v>
      </x:c>
      <x:c r="C428" s="52" t="b">
        <x:v>1</x:v>
      </x:c>
      <x:c r="D428" s="80"/>
      <x:c r="E428" s="82"/>
    </x:row>
    <x:row r="429" ht="23" customHeight="1">
      <x:c r="A429" s="24" t="s">
        <x:v>233</x:v>
      </x:c>
      <x:c r="B429" s="53" t="s">
        <x:v>481</x:v>
      </x:c>
      <x:c r="C429" s="57" t="b">
        <x:v>1</x:v>
      </x:c>
      <x:c r="D429" s="80"/>
      <x:c r="E429" s="82"/>
    </x:row>
    <x:row r="430" ht="23" customHeight="1">
      <x:c r="A430" s="21" t="s">
        <x:v>482</x:v>
      </x:c>
      <x:c r="B430" s="45" t="s">
        <x:v>481</x:v>
      </x:c>
      <x:c r="C430" s="52" t="b">
        <x:v>1</x:v>
      </x:c>
      <x:c r="D430" s="80"/>
      <x:c r="E430" s="82"/>
    </x:row>
    <x:row r="431" ht="23" customHeight="1">
      <x:c r="A431" s="24" t="s">
        <x:v>482</x:v>
      </x:c>
      <x:c r="B431" s="53" t="s">
        <x:v>95</x:v>
      </x:c>
      <x:c r="C431" s="57" t="b">
        <x:v>1</x:v>
      </x:c>
      <x:c r="D431" s="80"/>
      <x:c r="E431" s="82"/>
    </x:row>
    <x:row r="432" ht="23" customHeight="1">
      <x:c r="A432" s="21" t="s">
        <x:v>482</x:v>
      </x:c>
      <x:c r="B432" s="45" t="s">
        <x:v>483</x:v>
      </x:c>
      <x:c r="C432" s="52" t="b">
        <x:v>1</x:v>
      </x:c>
      <x:c r="D432" s="80"/>
      <x:c r="E432" s="82"/>
    </x:row>
    <x:row r="433" ht="23" customHeight="1">
      <x:c r="A433" s="24" t="s">
        <x:v>95</x:v>
      </x:c>
      <x:c r="B433" s="53" t="s">
        <x:v>485</x:v>
      </x:c>
      <x:c r="C433" s="57" t="b">
        <x:v>1</x:v>
      </x:c>
      <x:c r="D433" s="80"/>
      <x:c r="E433" s="82"/>
    </x:row>
    <x:row r="434" ht="23" customHeight="1">
      <x:c r="A434" s="21" t="s">
        <x:v>483</x:v>
      </x:c>
      <x:c r="B434" s="45" t="s">
        <x:v>484</x:v>
      </x:c>
      <x:c r="C434" s="52" t="b">
        <x:v>1</x:v>
      </x:c>
      <x:c r="D434" s="80"/>
      <x:c r="E434" s="82"/>
    </x:row>
    <x:row r="435" ht="23" customHeight="1">
      <x:c r="A435" s="24" t="s">
        <x:v>485</x:v>
      </x:c>
      <x:c r="B435" s="53" t="s">
        <x:v>484</x:v>
      </x:c>
      <x:c r="C435" s="57" t="b">
        <x:v>1</x:v>
      </x:c>
      <x:c r="D435" s="80"/>
      <x:c r="E435" s="82"/>
    </x:row>
    <x:row r="436" ht="23" customHeight="1">
      <x:c r="A436" s="21" t="s">
        <x:v>486</x:v>
      </x:c>
      <x:c r="B436" s="45" t="s">
        <x:v>485</x:v>
      </x:c>
      <x:c r="C436" s="52" t="b">
        <x:v>1</x:v>
      </x:c>
      <x:c r="D436" s="80"/>
      <x:c r="E436" s="82"/>
    </x:row>
    <x:row r="437" ht="23" customHeight="1">
      <x:c r="A437" s="24" t="s">
        <x:v>488</x:v>
      </x:c>
      <x:c r="B437" s="53" t="s">
        <x:v>487</x:v>
      </x:c>
      <x:c r="C437" s="57" t="b">
        <x:v>1</x:v>
      </x:c>
      <x:c r="D437" s="80"/>
      <x:c r="E437" s="82"/>
    </x:row>
    <x:row r="438" ht="23" customHeight="1">
      <x:c r="A438" s="21" t="s">
        <x:v>486</x:v>
      </x:c>
      <x:c r="B438" s="45" t="s">
        <x:v>487</x:v>
      </x:c>
      <x:c r="C438" s="52" t="b">
        <x:v>1</x:v>
      </x:c>
      <x:c r="D438" s="80"/>
      <x:c r="E438" s="82"/>
    </x:row>
    <x:row r="439" ht="23" customHeight="1">
      <x:c r="A439" s="24" t="s">
        <x:v>490</x:v>
      </x:c>
      <x:c r="B439" s="53" t="s">
        <x:v>489</x:v>
      </x:c>
      <x:c r="C439" s="57" t="b">
        <x:v>1</x:v>
      </x:c>
      <x:c r="D439" s="80"/>
      <x:c r="E439" s="82"/>
    </x:row>
    <x:row r="440" ht="23" customHeight="1">
      <x:c r="A440" s="21" t="s">
        <x:v>488</x:v>
      </x:c>
      <x:c r="B440" s="45" t="s">
        <x:v>489</x:v>
      </x:c>
      <x:c r="C440" s="52" t="b">
        <x:v>1</x:v>
      </x:c>
      <x:c r="D440" s="80"/>
      <x:c r="E440" s="82"/>
    </x:row>
    <x:row r="441" ht="23" customHeight="1">
      <x:c r="A441" s="24" t="s">
        <x:v>490</x:v>
      </x:c>
      <x:c r="B441" s="53" t="s">
        <x:v>491</x:v>
      </x:c>
      <x:c r="C441" s="57" t="b">
        <x:v>1</x:v>
      </x:c>
      <x:c r="D441" s="80"/>
      <x:c r="E441" s="82"/>
    </x:row>
    <x:row r="442" ht="23" customHeight="1">
      <x:c r="A442" s="21" t="s">
        <x:v>492</x:v>
      </x:c>
      <x:c r="B442" s="45" t="s">
        <x:v>491</x:v>
      </x:c>
      <x:c r="C442" s="52" t="b">
        <x:v>1</x:v>
      </x:c>
      <x:c r="D442" s="80"/>
      <x:c r="E442" s="82"/>
    </x:row>
    <x:row r="443" ht="23" customHeight="1">
      <x:c r="A443" s="24" t="s">
        <x:v>230</x:v>
      </x:c>
      <x:c r="B443" s="53" t="s">
        <x:v>495</x:v>
      </x:c>
      <x:c r="C443" s="57" t="b">
        <x:v>1</x:v>
      </x:c>
      <x:c r="D443" s="80"/>
      <x:c r="E443" s="82"/>
    </x:row>
    <x:row r="444" ht="23" customHeight="1">
      <x:c r="A444" s="21" t="s">
        <x:v>493</x:v>
      </x:c>
      <x:c r="B444" s="45" t="s">
        <x:v>495</x:v>
      </x:c>
      <x:c r="C444" s="52" t="b">
        <x:v>1</x:v>
      </x:c>
      <x:c r="D444" s="80"/>
      <x:c r="E444" s="82"/>
    </x:row>
    <x:row r="445" ht="23" customHeight="1">
      <x:c r="A445" s="24" t="s">
        <x:v>208</x:v>
      </x:c>
      <x:c r="B445" s="53" t="s">
        <x:v>495</x:v>
      </x:c>
      <x:c r="C445" s="57" t="b">
        <x:v>1</x:v>
      </x:c>
      <x:c r="D445" s="80"/>
      <x:c r="E445" s="82"/>
    </x:row>
    <x:row r="446" ht="23" customHeight="1">
      <x:c r="A446" s="21" t="s">
        <x:v>494</x:v>
      </x:c>
      <x:c r="B446" s="45" t="s">
        <x:v>493</x:v>
      </x:c>
      <x:c r="C446" s="52" t="b">
        <x:v>1</x:v>
      </x:c>
      <x:c r="D446" s="80"/>
      <x:c r="E446" s="82"/>
    </x:row>
    <x:row r="447" ht="23" customHeight="1">
      <x:c r="A447" s="24" t="s">
        <x:v>208</x:v>
      </x:c>
      <x:c r="B447" s="53" t="s">
        <x:v>494</x:v>
      </x:c>
      <x:c r="C447" s="57" t="b">
        <x:v>1</x:v>
      </x:c>
      <x:c r="D447" s="80"/>
      <x:c r="E447" s="82"/>
    </x:row>
    <x:row r="448" ht="23" customHeight="1">
      <x:c r="A448" s="21" t="s">
        <x:v>492</x:v>
      </x:c>
      <x:c r="B448" s="45" t="s">
        <x:v>494</x:v>
      </x:c>
      <x:c r="C448" s="52" t="b">
        <x:v>1</x:v>
      </x:c>
      <x:c r="D448" s="80"/>
      <x:c r="E448" s="82"/>
    </x:row>
    <x:row r="449" ht="23" customHeight="1">
      <x:c r="A449" s="24" t="s">
        <x:v>488</x:v>
      </x:c>
      <x:c r="B449" s="53" t="s">
        <x:v>496</x:v>
      </x:c>
      <x:c r="C449" s="57" t="b">
        <x:v>1</x:v>
      </x:c>
      <x:c r="D449" s="80"/>
      <x:c r="E449" s="82"/>
    </x:row>
    <x:row r="450" ht="23" customHeight="1">
      <x:c r="A450" s="21" t="s">
        <x:v>497</x:v>
      </x:c>
      <x:c r="B450" s="45" t="s">
        <x:v>496</x:v>
      </x:c>
      <x:c r="C450" s="52" t="b">
        <x:v>1</x:v>
      </x:c>
      <x:c r="D450" s="80"/>
      <x:c r="E450" s="82"/>
    </x:row>
    <x:row r="451" ht="23" customHeight="1">
      <x:c r="A451" s="24" t="s">
        <x:v>230</x:v>
      </x:c>
      <x:c r="B451" s="53" t="s">
        <x:v>497</x:v>
      </x:c>
      <x:c r="C451" s="57" t="b">
        <x:v>1</x:v>
      </x:c>
      <x:c r="D451" s="80"/>
      <x:c r="E451" s="82"/>
    </x:row>
    <x:row r="452" ht="23" customHeight="1">
      <x:c r="A452" s="21" t="s">
        <x:v>219</x:v>
      </x:c>
      <x:c r="B452" s="45" t="s">
        <x:v>497</x:v>
      </x:c>
      <x:c r="C452" s="52" t="b">
        <x:v>1</x:v>
      </x:c>
      <x:c r="D452" s="80"/>
      <x:c r="E452" s="82"/>
    </x:row>
    <x:row r="453" ht="23" customHeight="1">
      <x:c r="A453" s="24" t="s">
        <x:v>496</x:v>
      </x:c>
      <x:c r="B453" s="53" t="s">
        <x:v>95</x:v>
      </x:c>
      <x:c r="C453" s="57" t="b">
        <x:v>1</x:v>
      </x:c>
      <x:c r="D453" s="80"/>
      <x:c r="E453" s="82"/>
    </x:row>
    <x:row r="454" ht="23" customHeight="1">
      <x:c r="A454" s="21" t="s">
        <x:v>498</x:v>
      </x:c>
      <x:c r="B454" s="45" t="s">
        <x:v>492</x:v>
      </x:c>
      <x:c r="C454" s="52" t="b">
        <x:v>1</x:v>
      </x:c>
      <x:c r="D454" s="80"/>
      <x:c r="E454" s="82"/>
    </x:row>
    <x:row r="455" ht="23" customHeight="1">
      <x:c r="A455" s="24" t="s">
        <x:v>498</x:v>
      </x:c>
      <x:c r="B455" s="53" t="s">
        <x:v>490</x:v>
      </x:c>
      <x:c r="C455" s="57" t="b">
        <x:v>1</x:v>
      </x:c>
      <x:c r="D455" s="80"/>
      <x:c r="E455" s="82"/>
    </x:row>
    <x:row r="456" ht="23" customHeight="1">
      <x:c r="A456" s="21" t="s">
        <x:v>499</x:v>
      </x:c>
      <x:c r="B456" s="45" t="s">
        <x:v>137</x:v>
      </x:c>
      <x:c r="C456" s="52" t="b">
        <x:v>1</x:v>
      </x:c>
      <x:c r="D456" s="80"/>
      <x:c r="E456" s="82"/>
    </x:row>
    <x:row r="457" ht="23" customHeight="1">
      <x:c r="A457" s="24" t="s">
        <x:v>502</x:v>
      </x:c>
      <x:c r="B457" s="53" t="s">
        <x:v>137</x:v>
      </x:c>
      <x:c r="C457" s="57" t="b">
        <x:v>1</x:v>
      </x:c>
      <x:c r="D457" s="80"/>
      <x:c r="E457" s="82"/>
    </x:row>
    <x:row r="458" ht="23" customHeight="1">
      <x:c r="A458" s="21" t="s">
        <x:v>490</x:v>
      </x:c>
      <x:c r="B458" s="45" t="s">
        <x:v>502</x:v>
      </x:c>
      <x:c r="C458" s="52" t="b">
        <x:v>1</x:v>
      </x:c>
      <x:c r="D458" s="80"/>
      <x:c r="E458" s="82"/>
    </x:row>
    <x:row r="459" ht="23" customHeight="1">
      <x:c r="A459" s="24" t="s">
        <x:v>501</x:v>
      </x:c>
      <x:c r="B459" s="53" t="s">
        <x:v>502</x:v>
      </x:c>
      <x:c r="C459" s="57" t="b">
        <x:v>1</x:v>
      </x:c>
      <x:c r="D459" s="80"/>
      <x:c r="E459" s="82"/>
    </x:row>
    <x:row r="460" ht="23" customHeight="1">
      <x:c r="A460" s="21" t="s">
        <x:v>500</x:v>
      </x:c>
      <x:c r="B460" s="45" t="s">
        <x:v>501</x:v>
      </x:c>
      <x:c r="C460" s="52" t="b">
        <x:v>1</x:v>
      </x:c>
      <x:c r="D460" s="80"/>
      <x:c r="E460" s="82"/>
    </x:row>
    <x:row r="461" ht="23" customHeight="1">
      <x:c r="A461" s="24" t="s">
        <x:v>498</x:v>
      </x:c>
      <x:c r="B461" s="53" t="s">
        <x:v>499</x:v>
      </x:c>
      <x:c r="C461" s="57" t="b">
        <x:v>1</x:v>
      </x:c>
      <x:c r="D461" s="80"/>
      <x:c r="E461" s="82"/>
    </x:row>
    <x:row r="462" ht="23" customHeight="1">
      <x:c r="A462" s="21" t="s">
        <x:v>500</x:v>
      </x:c>
      <x:c r="B462" s="45" t="s">
        <x:v>499</x:v>
      </x:c>
      <x:c r="C462" s="52" t="b">
        <x:v>1</x:v>
      </x:c>
      <x:c r="D462" s="80"/>
      <x:c r="E462" s="82"/>
    </x:row>
    <x:row r="463" ht="23" customHeight="1">
      <x:c r="A463" s="24" t="s">
        <x:v>489</x:v>
      </x:c>
      <x:c r="B463" s="53" t="s">
        <x:v>503</x:v>
      </x:c>
      <x:c r="C463" s="57" t="b">
        <x:v>1</x:v>
      </x:c>
      <x:c r="D463" s="80"/>
      <x:c r="E463" s="82"/>
    </x:row>
    <x:row r="464" ht="23" customHeight="1">
      <x:c r="A464" s="21" t="s">
        <x:v>501</x:v>
      </x:c>
      <x:c r="B464" s="45" t="s">
        <x:v>505</x:v>
      </x:c>
      <x:c r="C464" s="52" t="b">
        <x:v>1</x:v>
      </x:c>
      <x:c r="D464" s="80"/>
      <x:c r="E464" s="82"/>
    </x:row>
    <x:row r="465" ht="23" customHeight="1">
      <x:c r="A465" s="24" t="s">
        <x:v>503</x:v>
      </x:c>
      <x:c r="B465" s="53" t="s">
        <x:v>505</x:v>
      </x:c>
      <x:c r="C465" s="57" t="b">
        <x:v>1</x:v>
      </x:c>
      <x:c r="D465" s="80"/>
      <x:c r="E465" s="82"/>
    </x:row>
    <x:row r="466" ht="23" customHeight="1">
      <x:c r="A466" s="21" t="s">
        <x:v>504</x:v>
      </x:c>
      <x:c r="B466" s="45" t="s">
        <x:v>505</x:v>
      </x:c>
      <x:c r="C466" s="52" t="b">
        <x:v>1</x:v>
      </x:c>
      <x:c r="D466" s="80"/>
      <x:c r="E466" s="82"/>
    </x:row>
    <x:row r="467" ht="23" customHeight="1">
      <x:c r="A467" s="24" t="s">
        <x:v>504</x:v>
      </x:c>
      <x:c r="B467" s="53" t="s">
        <x:v>506</x:v>
      </x:c>
      <x:c r="C467" s="57" t="b">
        <x:v>1</x:v>
      </x:c>
      <x:c r="D467" s="80"/>
      <x:c r="E467" s="82"/>
    </x:row>
    <x:row r="468" ht="23" customHeight="1">
      <x:c r="A468" s="21" t="s">
        <x:v>169</x:v>
      </x:c>
      <x:c r="B468" s="45" t="s">
        <x:v>507</x:v>
      </x:c>
      <x:c r="C468" s="52" t="b">
        <x:v>1</x:v>
      </x:c>
      <x:c r="D468" s="80"/>
      <x:c r="E468" s="82"/>
    </x:row>
    <x:row r="469" ht="23" customHeight="1">
      <x:c r="A469" s="24" t="s">
        <x:v>506</x:v>
      </x:c>
      <x:c r="B469" s="53" t="s">
        <x:v>507</x:v>
      </x:c>
      <x:c r="C469" s="57" t="b">
        <x:v>1</x:v>
      </x:c>
      <x:c r="D469" s="80"/>
      <x:c r="E469" s="82"/>
    </x:row>
    <x:row r="470" ht="23" customHeight="1">
      <x:c r="A470" s="21" t="s">
        <x:v>508</x:v>
      </x:c>
      <x:c r="B470" s="45" t="s">
        <x:v>507</x:v>
      </x:c>
      <x:c r="C470" s="52" t="b">
        <x:v>1</x:v>
      </x:c>
      <x:c r="D470" s="80"/>
      <x:c r="E470" s="82"/>
    </x:row>
    <x:row r="471" ht="23" customHeight="1">
      <x:c r="A471" s="24" t="s">
        <x:v>509</x:v>
      </x:c>
      <x:c r="B471" s="53" t="s">
        <x:v>508</x:v>
      </x:c>
      <x:c r="C471" s="57" t="b">
        <x:v>1</x:v>
      </x:c>
      <x:c r="D471" s="80"/>
      <x:c r="E471" s="82"/>
    </x:row>
    <x:row r="472" ht="23" customHeight="1">
      <x:c r="A472" s="21" t="s">
        <x:v>484</x:v>
      </x:c>
      <x:c r="B472" s="45" t="s">
        <x:v>509</x:v>
      </x:c>
      <x:c r="C472" s="52" t="b">
        <x:v>1</x:v>
      </x:c>
      <x:c r="D472" s="80"/>
      <x:c r="E472" s="82"/>
    </x:row>
    <x:row r="473" ht="23" customHeight="1">
      <x:c r="A473" s="24" t="s">
        <x:v>506</x:v>
      </x:c>
      <x:c r="B473" s="53" t="s">
        <x:v>510</x:v>
      </x:c>
      <x:c r="C473" s="57" t="b">
        <x:v>1</x:v>
      </x:c>
      <x:c r="D473" s="80"/>
      <x:c r="E473" s="82"/>
    </x:row>
    <x:row r="474" ht="23" customHeight="1">
      <x:c r="A474" s="21" t="s">
        <x:v>511</x:v>
      </x:c>
      <x:c r="B474" s="45" t="s">
        <x:v>510</x:v>
      </x:c>
      <x:c r="C474" s="52" t="b">
        <x:v>1</x:v>
      </x:c>
      <x:c r="D474" s="80"/>
      <x:c r="E474" s="82"/>
    </x:row>
    <x:row r="475" ht="23" customHeight="1">
      <x:c r="A475" s="24" t="s">
        <x:v>513</x:v>
      </x:c>
      <x:c r="B475" s="53" t="s">
        <x:v>512</x:v>
      </x:c>
      <x:c r="C475" s="57" t="b">
        <x:v>1</x:v>
      </x:c>
      <x:c r="D475" s="80"/>
      <x:c r="E475" s="82"/>
    </x:row>
    <x:row r="476" ht="23" customHeight="1">
      <x:c r="A476" s="21" t="s">
        <x:v>511</x:v>
      </x:c>
      <x:c r="B476" s="45" t="s">
        <x:v>512</x:v>
      </x:c>
      <x:c r="C476" s="52" t="b">
        <x:v>1</x:v>
      </x:c>
      <x:c r="D476" s="80"/>
      <x:c r="E476" s="82"/>
    </x:row>
    <x:row r="477" ht="23" customHeight="1">
      <x:c r="A477" s="24" t="s">
        <x:v>504</x:v>
      </x:c>
      <x:c r="B477" s="53" t="s">
        <x:v>514</x:v>
      </x:c>
      <x:c r="C477" s="57" t="b">
        <x:v>1</x:v>
      </x:c>
      <x:c r="D477" s="80"/>
      <x:c r="E477" s="82"/>
    </x:row>
    <x:row r="478" ht="23" customHeight="1">
      <x:c r="A478" s="21" t="s">
        <x:v>515</x:v>
      </x:c>
      <x:c r="B478" s="45" t="s">
        <x:v>514</x:v>
      </x:c>
      <x:c r="C478" s="52" t="b">
        <x:v>1</x:v>
      </x:c>
      <x:c r="D478" s="80"/>
      <x:c r="E478" s="82"/>
    </x:row>
    <x:row r="479" ht="23" customHeight="1">
      <x:c r="A479" s="24" t="s">
        <x:v>119</x:v>
      </x:c>
      <x:c r="B479" s="53" t="s">
        <x:v>515</x:v>
      </x:c>
      <x:c r="C479" s="57" t="b">
        <x:v>1</x:v>
      </x:c>
      <x:c r="D479" s="80"/>
      <x:c r="E479" s="82"/>
    </x:row>
    <x:row r="480" ht="23" customHeight="1">
      <x:c r="A480" s="21" t="s">
        <x:v>516</x:v>
      </x:c>
      <x:c r="B480" s="45" t="s">
        <x:v>515</x:v>
      </x:c>
      <x:c r="C480" s="52" t="b">
        <x:v>1</x:v>
      </x:c>
      <x:c r="D480" s="80"/>
      <x:c r="E480" s="82"/>
    </x:row>
    <x:row r="481" ht="23" customHeight="1">
      <x:c r="A481" s="24" t="s">
        <x:v>500</x:v>
      </x:c>
      <x:c r="B481" s="53" t="s">
        <x:v>516</x:v>
      </x:c>
      <x:c r="C481" s="57" t="b">
        <x:v>1</x:v>
      </x:c>
      <x:c r="D481" s="80"/>
      <x:c r="E481" s="82"/>
    </x:row>
    <x:row r="482" ht="23" customHeight="1">
      <x:c r="A482" s="21" t="s">
        <x:v>513</x:v>
      </x:c>
      <x:c r="B482" s="45" t="s">
        <x:v>517</x:v>
      </x:c>
      <x:c r="C482" s="52" t="b">
        <x:v>1</x:v>
      </x:c>
      <x:c r="D482" s="80"/>
      <x:c r="E482" s="82"/>
    </x:row>
    <x:row r="483" ht="23" customHeight="1">
      <x:c r="A483" s="24" t="s">
        <x:v>518</x:v>
      </x:c>
      <x:c r="B483" s="53" t="s">
        <x:v>517</x:v>
      </x:c>
      <x:c r="C483" s="57" t="b">
        <x:v>1</x:v>
      </x:c>
      <x:c r="D483" s="80"/>
      <x:c r="E483" s="82"/>
    </x:row>
    <x:row r="484" ht="23" customHeight="1">
      <x:c r="A484" s="21" t="s">
        <x:v>519</x:v>
      </x:c>
      <x:c r="B484" s="45" t="s">
        <x:v>518</x:v>
      </x:c>
      <x:c r="C484" s="52" t="b">
        <x:v>1</x:v>
      </x:c>
      <x:c r="D484" s="80"/>
      <x:c r="E484" s="82"/>
    </x:row>
    <x:row r="485" ht="23" customHeight="1">
      <x:c r="A485" s="24" t="s">
        <x:v>519</x:v>
      </x:c>
      <x:c r="B485" s="53" t="s">
        <x:v>520</x:v>
      </x:c>
      <x:c r="C485" s="57" t="b">
        <x:v>1</x:v>
      </x:c>
      <x:c r="D485" s="80"/>
      <x:c r="E485" s="82"/>
    </x:row>
    <x:row r="486" ht="23" customHeight="1">
      <x:c r="A486" s="21" t="s">
        <x:v>127</x:v>
      </x:c>
      <x:c r="B486" s="45" t="s">
        <x:v>520</x:v>
      </x:c>
      <x:c r="C486" s="52" t="b">
        <x:v>1</x:v>
      </x:c>
      <x:c r="D486" s="80"/>
      <x:c r="E486" s="82"/>
    </x:row>
    <x:row r="487" ht="23" customHeight="1">
      <x:c r="A487" s="24" t="s">
        <x:v>517</x:v>
      </x:c>
      <x:c r="B487" s="53" t="s">
        <x:v>521</x:v>
      </x:c>
      <x:c r="C487" s="57" t="b">
        <x:v>1</x:v>
      </x:c>
      <x:c r="D487" s="80"/>
      <x:c r="E487" s="82"/>
    </x:row>
    <x:row r="488" ht="23" customHeight="1">
      <x:c r="A488" s="21" t="s">
        <x:v>522</x:v>
      </x:c>
      <x:c r="B488" s="45" t="s">
        <x:v>521</x:v>
      </x:c>
      <x:c r="C488" s="52" t="b">
        <x:v>1</x:v>
      </x:c>
      <x:c r="D488" s="80"/>
      <x:c r="E488" s="82"/>
    </x:row>
    <x:row r="489" ht="23" customHeight="1">
      <x:c r="A489" s="24" t="s">
        <x:v>523</x:v>
      </x:c>
      <x:c r="B489" s="53" t="s">
        <x:v>522</x:v>
      </x:c>
      <x:c r="C489" s="57" t="b">
        <x:v>1</x:v>
      </x:c>
      <x:c r="D489" s="80"/>
      <x:c r="E489" s="82"/>
    </x:row>
    <x:row r="490" ht="23" customHeight="1">
      <x:c r="A490" s="21" t="s">
        <x:v>521</x:v>
      </x:c>
      <x:c r="B490" s="45" t="s">
        <x:v>524</x:v>
      </x:c>
      <x:c r="C490" s="52" t="b">
        <x:v>1</x:v>
      </x:c>
      <x:c r="D490" s="80"/>
      <x:c r="E490" s="82"/>
    </x:row>
    <x:row r="491" ht="23" customHeight="1">
      <x:c r="A491" s="24" t="s">
        <x:v>504</x:v>
      </x:c>
      <x:c r="B491" s="53" t="s">
        <x:v>526</x:v>
      </x:c>
      <x:c r="C491" s="57" t="b">
        <x:v>1</x:v>
      </x:c>
      <x:c r="D491" s="80"/>
      <x:c r="E491" s="82"/>
    </x:row>
    <x:row r="492" ht="23" customHeight="1">
      <x:c r="A492" s="21" t="s">
        <x:v>513</x:v>
      </x:c>
      <x:c r="B492" s="45" t="s">
        <x:v>526</x:v>
      </x:c>
      <x:c r="C492" s="52" t="b">
        <x:v>1</x:v>
      </x:c>
      <x:c r="D492" s="80"/>
      <x:c r="E492" s="82"/>
    </x:row>
    <x:row r="493" ht="23" customHeight="1">
      <x:c r="A493" s="24" t="s">
        <x:v>521</x:v>
      </x:c>
      <x:c r="B493" s="53" t="s">
        <x:v>529</x:v>
      </x:c>
      <x:c r="C493" s="57" t="b">
        <x:v>1</x:v>
      </x:c>
      <x:c r="D493" s="80"/>
      <x:c r="E493" s="82"/>
    </x:row>
    <x:row r="494" ht="23" customHeight="1">
      <x:c r="A494" s="21" t="s">
        <x:v>527</x:v>
      </x:c>
      <x:c r="B494" s="45" t="s">
        <x:v>528</x:v>
      </x:c>
      <x:c r="C494" s="52" t="b">
        <x:v>1</x:v>
      </x:c>
      <x:c r="D494" s="80"/>
      <x:c r="E494" s="82"/>
    </x:row>
    <x:row r="495" ht="23" customHeight="1">
      <x:c r="A495" s="24" t="s">
        <x:v>513</x:v>
      </x:c>
      <x:c r="B495" s="53" t="s">
        <x:v>527</x:v>
      </x:c>
      <x:c r="C495" s="57" t="b">
        <x:v>1</x:v>
      </x:c>
      <x:c r="D495" s="80"/>
      <x:c r="E495" s="82"/>
    </x:row>
    <x:row r="496" ht="23" customHeight="1">
      <x:c r="A496" s="21" t="s">
        <x:v>525</x:v>
      </x:c>
      <x:c r="B496" s="45" t="s">
        <x:v>528</x:v>
      </x:c>
      <x:c r="C496" s="52" t="b">
        <x:v>1</x:v>
      </x:c>
      <x:c r="D496" s="80"/>
      <x:c r="E496" s="82"/>
    </x:row>
    <x:row r="497" ht="23" customHeight="1">
      <x:c r="A497" s="24" t="s">
        <x:v>525</x:v>
      </x:c>
      <x:c r="B497" s="53" t="s">
        <x:v>526</x:v>
      </x:c>
      <x:c r="C497" s="57" t="b">
        <x:v>1</x:v>
      </x:c>
      <x:c r="D497" s="80"/>
      <x:c r="E497" s="82"/>
    </x:row>
    <x:row r="498" ht="23" customHeight="1">
      <x:c r="A498" s="21" t="s">
        <x:v>530</x:v>
      </x:c>
      <x:c r="B498" s="45" t="s">
        <x:v>515</x:v>
      </x:c>
      <x:c r="C498" s="52" t="b">
        <x:v>1</x:v>
      </x:c>
      <x:c r="D498" s="80"/>
      <x:c r="E498" s="82"/>
    </x:row>
    <x:row r="499" ht="23" customHeight="1">
      <x:c r="A499" s="24" t="s">
        <x:v>531</x:v>
      </x:c>
      <x:c r="B499" s="53" t="s">
        <x:v>534</x:v>
      </x:c>
      <x:c r="C499" s="57" t="b">
        <x:v>1</x:v>
      </x:c>
      <x:c r="D499" s="80"/>
      <x:c r="E499" s="82"/>
    </x:row>
    <x:row r="500" ht="23" customHeight="1">
      <x:c r="A500" s="21" t="s">
        <x:v>530</x:v>
      </x:c>
      <x:c r="B500" s="45" t="s">
        <x:v>531</x:v>
      </x:c>
      <x:c r="C500" s="52" t="b">
        <x:v>1</x:v>
      </x:c>
      <x:c r="D500" s="80"/>
      <x:c r="E500" s="82"/>
    </x:row>
    <x:row r="501" ht="23" customHeight="1">
      <x:c r="A501" s="24" t="s">
        <x:v>534</x:v>
      </x:c>
      <x:c r="B501" s="53" t="s">
        <x:v>533</x:v>
      </x:c>
      <x:c r="C501" s="57" t="b">
        <x:v>1</x:v>
      </x:c>
      <x:c r="D501" s="80"/>
      <x:c r="E501" s="82"/>
    </x:row>
    <x:row r="502" ht="23" customHeight="1">
      <x:c r="A502" s="21" t="s">
        <x:v>532</x:v>
      </x:c>
      <x:c r="B502" s="45" t="s">
        <x:v>533</x:v>
      </x:c>
      <x:c r="C502" s="52" t="b">
        <x:v>1</x:v>
      </x:c>
      <x:c r="D502" s="80"/>
      <x:c r="E502" s="82"/>
    </x:row>
    <x:row r="503" ht="23" customHeight="1">
      <x:c r="A503" s="24" t="s">
        <x:v>195</x:v>
      </x:c>
      <x:c r="B503" s="53" t="s">
        <x:v>532</x:v>
      </x:c>
      <x:c r="C503" s="57" t="b">
        <x:v>1</x:v>
      </x:c>
      <x:c r="D503" s="80"/>
      <x:c r="E503" s="82"/>
    </x:row>
    <x:row r="504" ht="23" customHeight="1">
      <x:c r="A504" s="21" t="s">
        <x:v>195</x:v>
      </x:c>
      <x:c r="B504" s="45" t="s">
        <x:v>531</x:v>
      </x:c>
      <x:c r="C504" s="52" t="b">
        <x:v>1</x:v>
      </x:c>
      <x:c r="D504" s="80"/>
      <x:c r="E504" s="82"/>
    </x:row>
    <x:row r="505" ht="23" customHeight="1">
      <x:c r="A505" s="24" t="s">
        <x:v>532</x:v>
      </x:c>
      <x:c r="B505" s="53" t="s">
        <x:v>531</x:v>
      </x:c>
      <x:c r="C505" s="57" t="b">
        <x:v>1</x:v>
      </x:c>
      <x:c r="D505" s="80"/>
      <x:c r="E505" s="82"/>
    </x:row>
    <x:row r="506" ht="23" customHeight="1">
      <x:c r="A506" s="21" t="s">
        <x:v>534</x:v>
      </x:c>
      <x:c r="B506" s="45" t="s">
        <x:v>195</x:v>
      </x:c>
      <x:c r="C506" s="52" t="b">
        <x:v>1</x:v>
      </x:c>
      <x:c r="D506" s="80"/>
      <x:c r="E506" s="82"/>
    </x:row>
    <x:row r="507" ht="23" customHeight="1">
      <x:c r="A507" s="24" t="s">
        <x:v>533</x:v>
      </x:c>
      <x:c r="B507" s="53" t="s">
        <x:v>195</x:v>
      </x:c>
      <x:c r="C507" s="57" t="b">
        <x:v>1</x:v>
      </x:c>
      <x:c r="D507" s="80"/>
      <x:c r="E507" s="82"/>
    </x:row>
    <x:row r="508" ht="23" customHeight="1">
      <x:c r="A508" s="21" t="s">
        <x:v>533</x:v>
      </x:c>
      <x:c r="B508" s="45" t="s">
        <x:v>535</x:v>
      </x:c>
      <x:c r="C508" s="52" t="b">
        <x:v>1</x:v>
      </x:c>
      <x:c r="D508" s="80"/>
      <x:c r="E508" s="82"/>
    </x:row>
    <x:row r="509" ht="23" customHeight="1">
      <x:c r="A509" s="24" t="s">
        <x:v>524</x:v>
      </x:c>
      <x:c r="B509" s="53" t="s">
        <x:v>535</x:v>
      </x:c>
      <x:c r="C509" s="57" t="b">
        <x:v>1</x:v>
      </x:c>
      <x:c r="D509" s="80"/>
      <x:c r="E509" s="82"/>
    </x:row>
    <x:row r="510" ht="23" customHeight="1">
      <x:c r="A510" s="21" t="s">
        <x:v>528</x:v>
      </x:c>
      <x:c r="B510" s="45" t="s">
        <x:v>535</x:v>
      </x:c>
      <x:c r="C510" s="52" t="b">
        <x:v>1</x:v>
      </x:c>
      <x:c r="D510" s="80"/>
      <x:c r="E510" s="82"/>
    </x:row>
    <x:row r="511" ht="23" customHeight="1">
      <x:c r="A511" s="24" t="s">
        <x:v>537</x:v>
      </x:c>
      <x:c r="B511" s="53" t="s">
        <x:v>536</x:v>
      </x:c>
      <x:c r="C511" s="57" t="b">
        <x:v>1</x:v>
      </x:c>
      <x:c r="D511" s="80"/>
      <x:c r="E511" s="82"/>
    </x:row>
    <x:row r="512" ht="23" customHeight="1">
      <x:c r="A512" s="21" t="s">
        <x:v>524</x:v>
      </x:c>
      <x:c r="B512" s="45" t="s">
        <x:v>536</x:v>
      </x:c>
      <x:c r="C512" s="52" t="b">
        <x:v>1</x:v>
      </x:c>
      <x:c r="D512" s="80"/>
      <x:c r="E512" s="82"/>
    </x:row>
    <x:row r="513" ht="23" customHeight="1">
      <x:c r="A513" s="24" t="s">
        <x:v>533</x:v>
      </x:c>
      <x:c r="B513" s="53" t="s">
        <x:v>542</x:v>
      </x:c>
      <x:c r="C513" s="57" t="b">
        <x:v>1</x:v>
      </x:c>
      <x:c r="D513" s="80"/>
      <x:c r="E513" s="82"/>
    </x:row>
    <x:row r="514" ht="23" customHeight="1">
      <x:c r="A514" s="21" t="s">
        <x:v>541</x:v>
      </x:c>
      <x:c r="B514" s="45" t="s">
        <x:v>542</x:v>
      </x:c>
      <x:c r="C514" s="52" t="b">
        <x:v>1</x:v>
      </x:c>
      <x:c r="D514" s="80"/>
      <x:c r="E514" s="82"/>
    </x:row>
    <x:row r="515" ht="23" customHeight="1">
      <x:c r="A515" s="24" t="s">
        <x:v>540</x:v>
      </x:c>
      <x:c r="B515" s="53" t="s">
        <x:v>541</x:v>
      </x:c>
      <x:c r="C515" s="57" t="b">
        <x:v>1</x:v>
      </x:c>
      <x:c r="D515" s="80"/>
      <x:c r="E515" s="82"/>
    </x:row>
    <x:row r="516" ht="23" customHeight="1">
      <x:c r="A516" s="21" t="s">
        <x:v>539</x:v>
      </x:c>
      <x:c r="B516" s="45" t="s">
        <x:v>540</x:v>
      </x:c>
      <x:c r="C516" s="52" t="b">
        <x:v>1</x:v>
      </x:c>
      <x:c r="D516" s="80"/>
      <x:c r="E516" s="82"/>
    </x:row>
    <x:row r="517" ht="23" customHeight="1">
      <x:c r="A517" s="24" t="s">
        <x:v>538</x:v>
      </x:c>
      <x:c r="B517" s="53" t="s">
        <x:v>539</x:v>
      </x:c>
      <x:c r="C517" s="57" t="b">
        <x:v>1</x:v>
      </x:c>
      <x:c r="D517" s="80"/>
      <x:c r="E517" s="82"/>
    </x:row>
    <x:row r="518" ht="23" customHeight="1">
      <x:c r="A518" s="21" t="s">
        <x:v>538</x:v>
      </x:c>
      <x:c r="B518" s="45" t="s">
        <x:v>537</x:v>
      </x:c>
      <x:c r="C518" s="52" t="b">
        <x:v>1</x:v>
      </x:c>
      <x:c r="D518" s="80"/>
      <x:c r="E518" s="82"/>
    </x:row>
    <x:row r="519" ht="23" customHeight="1">
      <x:c r="A519" s="24" t="s">
        <x:v>534</x:v>
      </x:c>
      <x:c r="B519" s="53" t="s">
        <x:v>543</x:v>
      </x:c>
      <x:c r="C519" s="57" t="b">
        <x:v>1</x:v>
      </x:c>
      <x:c r="D519" s="80"/>
      <x:c r="E519" s="82"/>
    </x:row>
    <x:row r="520" ht="23" customHeight="1">
      <x:c r="A520" s="21" t="s">
        <x:v>540</x:v>
      </x:c>
      <x:c r="B520" s="45" t="s">
        <x:v>543</x:v>
      </x:c>
      <x:c r="C520" s="52" t="b">
        <x:v>1</x:v>
      </x:c>
      <x:c r="D520" s="80"/>
      <x:c r="E520" s="82"/>
    </x:row>
    <x:row r="521" ht="23" customHeight="1">
      <x:c r="A521" s="24" t="s">
        <x:v>167</x:v>
      </x:c>
      <x:c r="B521" s="53" t="s">
        <x:v>544</x:v>
      </x:c>
      <x:c r="C521" s="57" t="b">
        <x:v>1</x:v>
      </x:c>
      <x:c r="D521" s="80"/>
      <x:c r="E521" s="82"/>
    </x:row>
    <x:row r="522" ht="23" customHeight="1">
      <x:c r="A522" s="21" t="s">
        <x:v>537</x:v>
      </x:c>
      <x:c r="B522" s="45" t="s">
        <x:v>544</x:v>
      </x:c>
      <x:c r="C522" s="52" t="b">
        <x:v>1</x:v>
      </x:c>
      <x:c r="D522" s="80"/>
      <x:c r="E522" s="82"/>
    </x:row>
    <x:row r="523" ht="23" customHeight="1">
      <x:c r="A523" s="24" t="s">
        <x:v>193</x:v>
      </x:c>
      <x:c r="B523" s="53" t="s">
        <x:v>545</x:v>
      </x:c>
      <x:c r="C523" s="57" t="b">
        <x:v>1</x:v>
      </x:c>
      <x:c r="D523" s="80"/>
      <x:c r="E523" s="82"/>
    </x:row>
    <x:row r="524" ht="23" customHeight="1">
      <x:c r="A524" s="21" t="s">
        <x:v>539</x:v>
      </x:c>
      <x:c r="B524" s="45" t="s">
        <x:v>545</x:v>
      </x:c>
      <x:c r="C524" s="52" t="b">
        <x:v>1</x:v>
      </x:c>
      <x:c r="D524" s="80"/>
      <x:c r="E524" s="82"/>
    </x:row>
    <x:row r="525" ht="23" customHeight="1">
      <x:c r="A525" s="24" t="s">
        <x:v>548</x:v>
      </x:c>
      <x:c r="B525" s="53" t="s">
        <x:v>547</x:v>
      </x:c>
      <x:c r="C525" s="57" t="b">
        <x:v>1</x:v>
      </x:c>
      <x:c r="D525" s="80"/>
      <x:c r="E525" s="82"/>
    </x:row>
    <x:row r="526" ht="23" customHeight="1">
      <x:c r="A526" s="21" t="s">
        <x:v>193</x:v>
      </x:c>
      <x:c r="B526" s="45" t="s">
        <x:v>546</x:v>
      </x:c>
      <x:c r="C526" s="52" t="b">
        <x:v>1</x:v>
      </x:c>
      <x:c r="D526" s="80"/>
      <x:c r="E526" s="82"/>
    </x:row>
    <x:row r="527" ht="23" customHeight="1">
      <x:c r="A527" s="24" t="s">
        <x:v>547</x:v>
      </x:c>
      <x:c r="B527" s="53" t="s">
        <x:v>546</x:v>
      </x:c>
      <x:c r="C527" s="57" t="b">
        <x:v>1</x:v>
      </x:c>
      <x:c r="D527" s="80"/>
      <x:c r="E527" s="82"/>
    </x:row>
    <x:row r="528" ht="23" customHeight="1">
      <x:c r="A528" s="21" t="s">
        <x:v>549</x:v>
      </x:c>
      <x:c r="B528" s="45" t="s">
        <x:v>167</x:v>
      </x:c>
      <x:c r="C528" s="52" t="b">
        <x:v>1</x:v>
      </x:c>
      <x:c r="D528" s="80"/>
      <x:c r="E528" s="82"/>
    </x:row>
    <x:row r="529" ht="23" customHeight="1">
      <x:c r="A529" s="24" t="s">
        <x:v>548</x:v>
      </x:c>
      <x:c r="B529" s="53" t="s">
        <x:v>549</x:v>
      </x:c>
      <x:c r="C529" s="57" t="b">
        <x:v>1</x:v>
      </x:c>
      <x:c r="D529" s="80"/>
      <x:c r="E529" s="82"/>
    </x:row>
    <x:row r="530" ht="23" customHeight="1">
      <x:c r="A530" s="21" t="s">
        <x:v>550</x:v>
      </x:c>
      <x:c r="B530" s="45" t="s">
        <x:v>548</x:v>
      </x:c>
      <x:c r="C530" s="52" t="b">
        <x:v>1</x:v>
      </x:c>
      <x:c r="D530" s="80"/>
      <x:c r="E530" s="82"/>
    </x:row>
    <x:row r="531" ht="23" customHeight="1">
      <x:c r="A531" s="24" t="s">
        <x:v>558</x:v>
      </x:c>
      <x:c r="B531" s="53" t="s">
        <x:v>93</x:v>
      </x:c>
      <x:c r="C531" s="57" t="b">
        <x:v>1</x:v>
      </x:c>
      <x:c r="D531" s="80"/>
      <x:c r="E531" s="82"/>
    </x:row>
    <x:row r="532" ht="23" customHeight="1">
      <x:c r="A532" s="21" t="s">
        <x:v>549</x:v>
      </x:c>
      <x:c r="B532" s="45" t="s">
        <x:v>559</x:v>
      </x:c>
      <x:c r="C532" s="52" t="b">
        <x:v>1</x:v>
      </x:c>
      <x:c r="D532" s="80"/>
      <x:c r="E532" s="82"/>
    </x:row>
    <x:row r="533" ht="23" customHeight="1">
      <x:c r="A533" s="24" t="s">
        <x:v>557</x:v>
      </x:c>
      <x:c r="B533" s="53" t="s">
        <x:v>555</x:v>
      </x:c>
      <x:c r="C533" s="57" t="b">
        <x:v>1</x:v>
      </x:c>
      <x:c r="D533" s="80"/>
      <x:c r="E533" s="82"/>
    </x:row>
    <x:row r="534" ht="23" customHeight="1">
      <x:c r="A534" s="21" t="s">
        <x:v>558</x:v>
      </x:c>
      <x:c r="B534" s="45" t="s">
        <x:v>557</x:v>
      </x:c>
      <x:c r="C534" s="52" t="b">
        <x:v>1</x:v>
      </x:c>
      <x:c r="D534" s="80"/>
      <x:c r="E534" s="82"/>
    </x:row>
    <x:row r="535" ht="23" customHeight="1">
      <x:c r="A535" s="24" t="s">
        <x:v>553</x:v>
      </x:c>
      <x:c r="B535" s="53" t="s">
        <x:v>558</x:v>
      </x:c>
      <x:c r="C535" s="57" t="b">
        <x:v>1</x:v>
      </x:c>
      <x:c r="D535" s="80"/>
      <x:c r="E535" s="82"/>
    </x:row>
    <x:row r="536" ht="23" customHeight="1">
      <x:c r="A536" s="21" t="s">
        <x:v>556</x:v>
      </x:c>
      <x:c r="B536" s="45" t="s">
        <x:v>551</x:v>
      </x:c>
      <x:c r="C536" s="52" t="b">
        <x:v>1</x:v>
      </x:c>
      <x:c r="D536" s="80"/>
      <x:c r="E536" s="82"/>
    </x:row>
    <x:row r="537" ht="23" customHeight="1">
      <x:c r="A537" s="24" t="s">
        <x:v>552</x:v>
      </x:c>
      <x:c r="B537" s="53" t="s">
        <x:v>553</x:v>
      </x:c>
      <x:c r="C537" s="57" t="b">
        <x:v>1</x:v>
      </x:c>
      <x:c r="D537" s="80"/>
      <x:c r="E537" s="82"/>
    </x:row>
    <x:row r="538" ht="23" customHeight="1">
      <x:c r="A538" s="21" t="s">
        <x:v>552</x:v>
      </x:c>
      <x:c r="B538" s="45" t="s">
        <x:v>551</x:v>
      </x:c>
      <x:c r="C538" s="52" t="b">
        <x:v>1</x:v>
      </x:c>
      <x:c r="D538" s="80"/>
      <x:c r="E538" s="82"/>
    </x:row>
    <x:row r="539" ht="23" customHeight="1">
      <x:c r="A539" s="24" t="s">
        <x:v>554</x:v>
      </x:c>
      <x:c r="B539" s="53" t="s">
        <x:v>555</x:v>
      </x:c>
      <x:c r="C539" s="57" t="b">
        <x:v>1</x:v>
      </x:c>
      <x:c r="D539" s="80"/>
      <x:c r="E539" s="82"/>
    </x:row>
    <x:row r="540" ht="23" customHeight="1">
      <x:c r="A540" s="21" t="s">
        <x:v>559</x:v>
      </x:c>
      <x:c r="B540" s="45" t="s">
        <x:v>554</x:v>
      </x:c>
      <x:c r="C540" s="52" t="b">
        <x:v>1</x:v>
      </x:c>
      <x:c r="D540" s="80"/>
      <x:c r="E540" s="82"/>
    </x:row>
    <x:row r="541" ht="23" customHeight="1">
      <x:c r="A541" s="24" t="s">
        <x:v>551</x:v>
      </x:c>
      <x:c r="B541" s="53" t="s">
        <x:v>554</x:v>
      </x:c>
      <x:c r="C541" s="57" t="b">
        <x:v>1</x:v>
      </x:c>
      <x:c r="D541" s="80"/>
      <x:c r="E541" s="82"/>
    </x:row>
    <x:row r="542" ht="23" customHeight="1">
      <x:c r="A542" s="21" t="s">
        <x:v>552</x:v>
      </x:c>
      <x:c r="B542" s="45" t="s">
        <x:v>550</x:v>
      </x:c>
      <x:c r="C542" s="52" t="b">
        <x:v>1</x:v>
      </x:c>
      <x:c r="D542" s="80"/>
      <x:c r="E542" s="82"/>
    </x:row>
    <x:row r="543" ht="23" customHeight="1">
      <x:c r="A543" s="24" t="s">
        <x:v>133</x:v>
      </x:c>
      <x:c r="B543" s="53" t="s">
        <x:v>560</x:v>
      </x:c>
      <x:c r="C543" s="57" t="b">
        <x:v>1</x:v>
      </x:c>
      <x:c r="D543" s="80"/>
      <x:c r="E543" s="82"/>
    </x:row>
    <x:row r="544" ht="23" customHeight="1">
      <x:c r="A544" s="21" t="s">
        <x:v>516</x:v>
      </x:c>
      <x:c r="B544" s="45" t="s">
        <x:v>560</x:v>
      </x:c>
      <x:c r="C544" s="52" t="b">
        <x:v>1</x:v>
      </x:c>
      <x:c r="D544" s="80"/>
      <x:c r="E544" s="82"/>
    </x:row>
    <x:row r="545" ht="23" customHeight="1">
      <x:c r="A545" s="24" t="s">
        <x:v>561</x:v>
      </x:c>
      <x:c r="B545" s="53" t="s">
        <x:v>543</x:v>
      </x:c>
      <x:c r="C545" s="57" t="b">
        <x:v>1</x:v>
      </x:c>
      <x:c r="D545" s="80"/>
      <x:c r="E545" s="82"/>
    </x:row>
    <x:row r="546" ht="23" customHeight="1">
      <x:c r="A546" s="21" t="s">
        <x:v>562</x:v>
      </x:c>
      <x:c r="B546" s="45" t="s">
        <x:v>561</x:v>
      </x:c>
      <x:c r="C546" s="52" t="b">
        <x:v>1</x:v>
      </x:c>
      <x:c r="D546" s="80"/>
      <x:c r="E546" s="82"/>
    </x:row>
    <x:row r="547" ht="23" customHeight="1">
      <x:c r="A547" s="24" t="s">
        <x:v>563</x:v>
      </x:c>
      <x:c r="B547" s="53" t="s">
        <x:v>562</x:v>
      </x:c>
      <x:c r="C547" s="57" t="b">
        <x:v>1</x:v>
      </x:c>
      <x:c r="D547" s="80"/>
      <x:c r="E547" s="82"/>
    </x:row>
    <x:row r="548" ht="23" customHeight="1">
      <x:c r="A548" s="21" t="s">
        <x:v>566</x:v>
      </x:c>
      <x:c r="B548" s="45" t="s">
        <x:v>563</x:v>
      </x:c>
      <x:c r="C548" s="52" t="b">
        <x:v>1</x:v>
      </x:c>
      <x:c r="D548" s="80"/>
      <x:c r="E548" s="82"/>
    </x:row>
    <x:row r="549" ht="23" customHeight="1">
      <x:c r="A549" s="24" t="s">
        <x:v>564</x:v>
      </x:c>
      <x:c r="B549" s="53" t="s">
        <x:v>563</x:v>
      </x:c>
      <x:c r="C549" s="57" t="b">
        <x:v>1</x:v>
      </x:c>
      <x:c r="D549" s="80"/>
      <x:c r="E549" s="82"/>
    </x:row>
    <x:row r="550" ht="23" customHeight="1">
      <x:c r="A550" s="21" t="s">
        <x:v>565</x:v>
      </x:c>
      <x:c r="B550" s="45" t="s">
        <x:v>566</x:v>
      </x:c>
      <x:c r="C550" s="52" t="b">
        <x:v>1</x:v>
      </x:c>
      <x:c r="D550" s="80"/>
      <x:c r="E550" s="82"/>
    </x:row>
    <x:row r="551" ht="23" customHeight="1">
      <x:c r="A551" s="24" t="s">
        <x:v>565</x:v>
      </x:c>
      <x:c r="B551" s="53" t="s">
        <x:v>564</x:v>
      </x:c>
      <x:c r="C551" s="57" t="b">
        <x:v>1</x:v>
      </x:c>
      <x:c r="D551" s="80"/>
      <x:c r="E551" s="82"/>
    </x:row>
    <x:row r="552" ht="23" customHeight="1">
      <x:c r="A552" s="21" t="s">
        <x:v>563</x:v>
      </x:c>
      <x:c r="B552" s="45" t="s">
        <x:v>567</x:v>
      </x:c>
      <x:c r="C552" s="52" t="b">
        <x:v>1</x:v>
      </x:c>
      <x:c r="D552" s="80"/>
      <x:c r="E552" s="82"/>
    </x:row>
    <x:row r="553" ht="23" customHeight="1">
      <x:c r="A553" s="24" t="s">
        <x:v>171</x:v>
      </x:c>
      <x:c r="B553" s="53" t="s">
        <x:v>567</x:v>
      </x:c>
      <x:c r="C553" s="57" t="b">
        <x:v>1</x:v>
      </x:c>
      <x:c r="D553" s="80"/>
      <x:c r="E553" s="82"/>
    </x:row>
    <x:row r="554" ht="23" customHeight="1">
      <x:c r="A554" s="21" t="s">
        <x:v>570</x:v>
      </x:c>
      <x:c r="B554" s="45" t="s">
        <x:v>569</x:v>
      </x:c>
      <x:c r="C554" s="52" t="b">
        <x:v>1</x:v>
      </x:c>
      <x:c r="D554" s="80"/>
      <x:c r="E554" s="82"/>
    </x:row>
    <x:row r="555" ht="23" customHeight="1">
      <x:c r="A555" s="24" t="s">
        <x:v>568</x:v>
      </x:c>
      <x:c r="B555" s="53" t="s">
        <x:v>569</x:v>
      </x:c>
      <x:c r="C555" s="57" t="b">
        <x:v>1</x:v>
      </x:c>
      <x:c r="D555" s="80"/>
      <x:c r="E555" s="82"/>
    </x:row>
    <x:row r="556" ht="23" customHeight="1">
      <x:c r="A556" s="21" t="s">
        <x:v>561</x:v>
      </x:c>
      <x:c r="B556" s="45" t="s">
        <x:v>568</x:v>
      </x:c>
      <x:c r="C556" s="52" t="b">
        <x:v>1</x:v>
      </x:c>
      <x:c r="D556" s="80"/>
      <x:c r="E556" s="82"/>
    </x:row>
    <x:row r="557" ht="23" customHeight="1">
      <x:c r="A557" s="24" t="s">
        <x:v>564</x:v>
      </x:c>
      <x:c r="B557" s="53" t="s">
        <x:v>570</x:v>
      </x:c>
      <x:c r="C557" s="57" t="b">
        <x:v>1</x:v>
      </x:c>
      <x:c r="D557" s="80"/>
      <x:c r="E557" s="82"/>
    </x:row>
    <x:row r="558" ht="23" customHeight="1">
      <x:c r="A558" s="21" t="s">
        <x:v>550</x:v>
      </x:c>
      <x:c r="B558" s="45" t="s">
        <x:v>570</x:v>
      </x:c>
      <x:c r="C558" s="52" t="b">
        <x:v>1</x:v>
      </x:c>
      <x:c r="D558" s="80"/>
      <x:c r="E558" s="82"/>
    </x:row>
    <x:row r="559" ht="23" customHeight="1">
      <x:c r="A559" s="24" t="s">
        <x:v>548</x:v>
      </x:c>
      <x:c r="B559" s="53" t="s">
        <x:v>568</x:v>
      </x:c>
      <x:c r="C559" s="57" t="b">
        <x:v>1</x:v>
      </x:c>
      <x:c r="D559" s="80"/>
      <x:c r="E559" s="82"/>
    </x:row>
    <x:row r="560" ht="23" customHeight="1">
      <x:c r="A560" s="21" t="s">
        <x:v>566</x:v>
      </x:c>
      <x:c r="B560" s="45" t="s">
        <x:v>530</x:v>
      </x:c>
      <x:c r="C560" s="52" t="b">
        <x:v>1</x:v>
      </x:c>
      <x:c r="D560" s="80"/>
      <x:c r="E560" s="82"/>
    </x:row>
    <x:row r="561" ht="23" customHeight="1">
      <x:c r="A561" s="24" t="s">
        <x:v>572</x:v>
      </x:c>
      <x:c r="B561" s="53" t="s">
        <x:v>571</x:v>
      </x:c>
      <x:c r="C561" s="57" t="b">
        <x:v>1</x:v>
      </x:c>
      <x:c r="D561" s="80"/>
      <x:c r="E561" s="82"/>
    </x:row>
    <x:row r="562" ht="23" customHeight="1">
      <x:c r="A562" s="21" t="s">
        <x:v>570</x:v>
      </x:c>
      <x:c r="B562" s="45" t="s">
        <x:v>571</x:v>
      </x:c>
      <x:c r="C562" s="52" t="b">
        <x:v>1</x:v>
      </x:c>
      <x:c r="D562" s="80"/>
      <x:c r="E562" s="82"/>
    </x:row>
    <x:row r="563" ht="23" customHeight="1">
      <x:c r="A563" s="24" t="s">
        <x:v>574</x:v>
      </x:c>
      <x:c r="B563" s="53" t="s">
        <x:v>575</x:v>
      </x:c>
      <x:c r="C563" s="57" t="b">
        <x:v>1</x:v>
      </x:c>
      <x:c r="D563" s="80"/>
      <x:c r="E563" s="82"/>
    </x:row>
    <x:row r="564" ht="23" customHeight="1">
      <x:c r="A564" s="21" t="s">
        <x:v>565</x:v>
      </x:c>
      <x:c r="B564" s="45" t="s">
        <x:v>576</x:v>
      </x:c>
      <x:c r="C564" s="52" t="b">
        <x:v>1</x:v>
      </x:c>
      <x:c r="D564" s="80"/>
      <x:c r="E564" s="82"/>
    </x:row>
    <x:row r="565" ht="23" customHeight="1">
      <x:c r="A565" s="24" t="s">
        <x:v>575</x:v>
      </x:c>
      <x:c r="B565" s="53" t="s">
        <x:v>576</x:v>
      </x:c>
      <x:c r="C565" s="57" t="b">
        <x:v>1</x:v>
      </x:c>
      <x:c r="D565" s="80"/>
      <x:c r="E565" s="82"/>
    </x:row>
    <x:row r="566" ht="23" customHeight="1">
      <x:c r="A566" s="21" t="s">
        <x:v>574</x:v>
      </x:c>
      <x:c r="B566" s="45" t="s">
        <x:v>573</x:v>
      </x:c>
      <x:c r="C566" s="52" t="b">
        <x:v>1</x:v>
      </x:c>
      <x:c r="D566" s="80"/>
      <x:c r="E566" s="82"/>
    </x:row>
    <x:row r="567" ht="23" customHeight="1">
      <x:c r="A567" s="24" t="s">
        <x:v>565</x:v>
      </x:c>
      <x:c r="B567" s="53" t="s">
        <x:v>573</x:v>
      </x:c>
      <x:c r="C567" s="57" t="b">
        <x:v>1</x:v>
      </x:c>
      <x:c r="D567" s="80"/>
      <x:c r="E567" s="82"/>
    </x:row>
    <x:row r="568" ht="23" customHeight="1">
      <x:c r="A568" s="21" t="s">
        <x:v>576</x:v>
      </x:c>
      <x:c r="B568" s="45" t="s">
        <x:v>577</x:v>
      </x:c>
      <x:c r="C568" s="52" t="b">
        <x:v>1</x:v>
      </x:c>
      <x:c r="D568" s="80"/>
      <x:c r="E568" s="82"/>
    </x:row>
    <x:row r="569" ht="23" customHeight="1">
      <x:c r="A569" s="24" t="s">
        <x:v>208</x:v>
      </x:c>
      <x:c r="B569" s="53" t="s">
        <x:v>577</x:v>
      </x:c>
      <x:c r="C569" s="57" t="b">
        <x:v>1</x:v>
      </x:c>
      <x:c r="D569" s="80"/>
      <x:c r="E569" s="82"/>
    </x:row>
    <x:row r="570" ht="23" customHeight="1">
      <x:c r="A570" s="21" t="s">
        <x:v>580</x:v>
      </x:c>
      <x:c r="B570" s="45" t="s">
        <x:v>578</x:v>
      </x:c>
      <x:c r="C570" s="52" t="b">
        <x:v>1</x:v>
      </x:c>
      <x:c r="D570" s="80"/>
      <x:c r="E570" s="82"/>
    </x:row>
    <x:row r="571" ht="23" customHeight="1">
      <x:c r="A571" s="24" t="s">
        <x:v>579</x:v>
      </x:c>
      <x:c r="B571" s="53" t="s">
        <x:v>578</x:v>
      </x:c>
      <x:c r="C571" s="57" t="b">
        <x:v>1</x:v>
      </x:c>
      <x:c r="D571" s="80"/>
      <x:c r="E571" s="82"/>
    </x:row>
    <x:row r="572" ht="23" customHeight="1">
      <x:c r="A572" s="21" t="s">
        <x:v>577</x:v>
      </x:c>
      <x:c r="B572" s="45" t="s">
        <x:v>578</x:v>
      </x:c>
      <x:c r="C572" s="52" t="b">
        <x:v>1</x:v>
      </x:c>
      <x:c r="D572" s="80"/>
      <x:c r="E572" s="82"/>
    </x:row>
    <x:row r="573" ht="23" customHeight="1">
      <x:c r="A573" s="24" t="s">
        <x:v>581</x:v>
      </x:c>
      <x:c r="B573" s="53" t="s">
        <x:v>578</x:v>
      </x:c>
      <x:c r="C573" s="57" t="b">
        <x:v>1</x:v>
      </x:c>
      <x:c r="D573" s="80"/>
      <x:c r="E573" s="82"/>
    </x:row>
    <x:row r="574" ht="23" customHeight="1">
      <x:c r="A574" s="21" t="s">
        <x:v>574</x:v>
      </x:c>
      <x:c r="B574" s="45" t="s">
        <x:v>582</x:v>
      </x:c>
      <x:c r="C574" s="52" t="b">
        <x:v>1</x:v>
      </x:c>
      <x:c r="D574" s="80"/>
      <x:c r="E574" s="82"/>
    </x:row>
    <x:row r="575" ht="23" customHeight="1">
      <x:c r="A575" s="24" t="s">
        <x:v>581</x:v>
      </x:c>
      <x:c r="B575" s="53" t="s">
        <x:v>582</x:v>
      </x:c>
      <x:c r="C575" s="57" t="b">
        <x:v>1</x:v>
      </x:c>
      <x:c r="D575" s="80"/>
      <x:c r="E575" s="82"/>
    </x:row>
    <x:row r="576" ht="23" customHeight="1">
      <x:c r="A576" s="21" t="s">
        <x:v>211</x:v>
      </x:c>
      <x:c r="B576" s="45" t="s">
        <x:v>581</x:v>
      </x:c>
      <x:c r="C576" s="52" t="b">
        <x:v>1</x:v>
      </x:c>
      <x:c r="D576" s="80"/>
      <x:c r="E576" s="82"/>
    </x:row>
    <x:row r="577" ht="23" customHeight="1">
      <x:c r="A577" s="24" t="s">
        <x:v>575</x:v>
      </x:c>
      <x:c r="B577" s="53" t="s">
        <x:v>583</x:v>
      </x:c>
      <x:c r="C577" s="57" t="b">
        <x:v>1</x:v>
      </x:c>
      <x:c r="D577" s="80"/>
      <x:c r="E577" s="82"/>
    </x:row>
    <x:row r="578" ht="23" customHeight="1">
      <x:c r="A578" s="21" t="s">
        <x:v>107</x:v>
      </x:c>
      <x:c r="B578" s="45" t="s">
        <x:v>583</x:v>
      </x:c>
      <x:c r="C578" s="52" t="b">
        <x:v>1</x:v>
      </x:c>
      <x:c r="D578" s="80"/>
      <x:c r="E578" s="82"/>
    </x:row>
    <x:row r="579" ht="23" customHeight="1">
      <x:c r="A579" s="24" t="s">
        <x:v>584</x:v>
      </x:c>
      <x:c r="B579" s="53" t="s">
        <x:v>283</x:v>
      </x:c>
      <x:c r="C579" s="57" t="b">
        <x:v>1</x:v>
      </x:c>
      <x:c r="D579" s="80"/>
      <x:c r="E579" s="82"/>
    </x:row>
    <x:row r="580" ht="23" customHeight="1">
      <x:c r="A580" s="21" t="s">
        <x:v>282</x:v>
      </x:c>
      <x:c r="B580" s="45" t="s">
        <x:v>584</x:v>
      </x:c>
      <x:c r="C580" s="52" t="b">
        <x:v>0</x:v>
      </x:c>
      <x:c r="D580" s="80"/>
      <x:c r="E580" s="82"/>
    </x:row>
    <x:row r="581" ht="23" customHeight="1">
      <x:c r="A581" s="24" t="s">
        <x:v>321</x:v>
      </x:c>
      <x:c r="B581" s="53" t="s">
        <x:v>584</x:v>
      </x:c>
      <x:c r="C581" s="57" t="b">
        <x:v>1</x:v>
      </x:c>
      <x:c r="D581" s="80"/>
      <x:c r="E581" s="82"/>
    </x:row>
    <x:row r="582" ht="23" customHeight="1">
      <x:c r="A582" s="21" t="s">
        <x:v>424</x:v>
      </x:c>
      <x:c r="B582" s="45" t="s">
        <x:v>353</x:v>
      </x:c>
      <x:c r="C582" s="52" t="b">
        <x:v>0</x:v>
      </x:c>
      <x:c r="D582" s="80"/>
      <x:c r="E582" s="82"/>
    </x:row>
    <x:row r="583" ht="23" customHeight="1">
      <x:c r="A583" s="24" t="s">
        <x:v>306</x:v>
      </x:c>
      <x:c r="B583" s="53" t="s">
        <x:v>353</x:v>
      </x:c>
      <x:c r="C583" s="57" t="b">
        <x:v>1</x:v>
      </x:c>
      <x:c r="D583" s="80"/>
      <x:c r="E583" s="82"/>
    </x:row>
    <x:row r="584" ht="23" customHeight="1">
      <x:c r="A584" s="21" t="s">
        <x:v>165</x:v>
      </x:c>
      <x:c r="B584" s="45" t="s">
        <x:v>585</x:v>
      </x:c>
      <x:c r="C584" s="52" t="b">
        <x:v>1</x:v>
      </x:c>
      <x:c r="D584" s="80"/>
      <x:c r="E584" s="82"/>
    </x:row>
    <x:row r="585" ht="23" customHeight="1">
      <x:c r="A585" s="24" t="s">
        <x:v>266</x:v>
      </x:c>
      <x:c r="B585" s="53" t="s">
        <x:v>585</x:v>
      </x:c>
      <x:c r="C585" s="57" t="b">
        <x:v>1</x:v>
      </x:c>
      <x:c r="D585" s="80"/>
      <x:c r="E585" s="82"/>
    </x:row>
    <x:row r="586" ht="15" customHeight="1">
      <x:c r="A586" s="24" t="str">
        <x:v>Winslow Building</x:v>
      </x:c>
      <x:c r="B586" s="53" t="str">
        <x:v>N71</x:v>
      </x:c>
      <x:c r="C586" s="57" t="str">
        <x:v>unknown</x:v>
      </x:c>
      <x:c r="D586" s="39"/>
      <x:c r="E586" s="40"/>
    </x:row>
  </x:sheetData>
  <x:pageMargins left="0.7" right="0.7" top="0.75" bottom="0.75" header="0.3" footer="0.3"/>
</x:worksheet>
</file>